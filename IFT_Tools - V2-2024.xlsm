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checkCompatibility="1" defaultThemeVersion="124226"/>
  <mc:AlternateContent xmlns:mc="http://schemas.openxmlformats.org/markup-compatibility/2006">
    <mc:Choice Requires="x15">
      <x15ac:absPath xmlns:x15ac="http://schemas.microsoft.com/office/spreadsheetml/2010/11/ac" url="https://cooperactions.sharepoint.com/sites/GAM-E-Risques-Financiers-Performances/Documents partages/RMP/1.PROD/4.REPORTINGS SPEC CLIENTS/1.Groupe - IFT (CB-JB)/"/>
    </mc:Choice>
  </mc:AlternateContent>
  <xr:revisionPtr revIDLastSave="12959" documentId="8_{A881934B-CA89-457A-93C4-908567BDC3BE}" xr6:coauthVersionLast="47" xr6:coauthVersionMax="47" xr10:uidLastSave="{72C44BF6-EA25-4CA9-9A9C-DD12EDFBE17F}"/>
  <bookViews>
    <workbookView xWindow="28680" yWindow="-120" windowWidth="29040" windowHeight="15840" tabRatio="815" xr2:uid="{00000000-000D-0000-FFFF-FFFF00000000}"/>
  </bookViews>
  <sheets>
    <sheet name="Main" sheetId="5" r:id="rId1"/>
    <sheet name="IRS - INF – XCCY" sheetId="26" r:id="rId2"/>
    <sheet name="Backup IRS - INF – XCCY" sheetId="34" r:id="rId3"/>
    <sheet name="IRS - INF – XCCY précédent" sheetId="15" r:id="rId4"/>
    <sheet name="Feuil1" sheetId="39" r:id="rId5"/>
    <sheet name="BND FWD" sheetId="31" r:id="rId6"/>
    <sheet name="BND FWD précédent" sheetId="33" r:id="rId7"/>
    <sheet name="FX FWD" sheetId="17" r:id="rId8"/>
    <sheet name="FX FWD precedent" sheetId="19" r:id="rId9"/>
    <sheet name="TRS" sheetId="37" r:id="rId10"/>
    <sheet name="TRS precedent" sheetId="38" r:id="rId11"/>
    <sheet name="Triopti" sheetId="8" r:id="rId12"/>
    <sheet name="analyse trimestrielle" sheetId="11" r:id="rId13"/>
    <sheet name="IFT précédent" sheetId="12" r:id="rId14"/>
    <sheet name="check report collat" sheetId="20" r:id="rId15"/>
    <sheet name="TCD check report collat" sheetId="21" r:id="rId16"/>
    <sheet name="TCD Sensi SD IPA" sheetId="29" r:id="rId17"/>
    <sheet name="Sensi SD IPA input" sheetId="35" r:id="rId18"/>
    <sheet name="Check2" sheetId="36" state="hidden" r:id="rId19"/>
  </sheets>
  <functionGroups builtInGroupCount="19"/>
  <externalReferences>
    <externalReference r:id="rId20"/>
  </externalReferences>
  <definedNames>
    <definedName name="_xlnm._FilterDatabase" localSheetId="12" hidden="1">'analyse trimestrielle'!$A$2:$CH$43</definedName>
    <definedName name="_xlnm._FilterDatabase" localSheetId="5" hidden="1">'BND FWD'!$A$1:$L$41</definedName>
    <definedName name="_xlnm._FilterDatabase" localSheetId="14" hidden="1">'check report collat'!$A$1:$E$106</definedName>
    <definedName name="_xlnm._FilterDatabase" localSheetId="18" hidden="1">Check2!$AS$4:$AS$18</definedName>
    <definedName name="_xlnm._FilterDatabase" localSheetId="7" hidden="1">'FX FWD'!$A$1:$U$11</definedName>
    <definedName name="_xlnm._FilterDatabase" localSheetId="8" hidden="1">'FX FWD precedent'!$A$1:$O$15</definedName>
    <definedName name="_xlnm._FilterDatabase" localSheetId="13" hidden="1">'IFT précédent'!$A$2:$CI$82</definedName>
    <definedName name="_xlnm._FilterDatabase" localSheetId="1" hidden="1">'IRS - INF – XCCY'!$A$1:$F$24</definedName>
    <definedName name="_xlnm._FilterDatabase" localSheetId="3" hidden="1">'IRS - INF – XCCY précédent'!$A$1:$CH$78</definedName>
    <definedName name="_xlnm._FilterDatabase" localSheetId="11" hidden="1">Triopti!$A$5:$E$121</definedName>
  </definedNames>
  <calcPr calcId="191029"/>
  <pivotCaches>
    <pivotCache cacheId="1" r:id="rId21"/>
    <pivotCache cacheId="2" r:id="rId22"/>
    <pivotCache cacheId="3" r:id="rId23"/>
    <pivotCache cacheId="9" r:id="rId2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6" i="26" l="1"/>
  <c r="AU26" i="26"/>
  <c r="AT27" i="26"/>
  <c r="AU27" i="26"/>
  <c r="AT28" i="26"/>
  <c r="AU28" i="26"/>
  <c r="AT29" i="26"/>
  <c r="AU29" i="26"/>
  <c r="AT30" i="26"/>
  <c r="AU30" i="26"/>
  <c r="AT31" i="26"/>
  <c r="AU31" i="26"/>
  <c r="AT32" i="26"/>
  <c r="AU32" i="26"/>
  <c r="AT33" i="26"/>
  <c r="AU33" i="26"/>
  <c r="AU25" i="26"/>
  <c r="AT25" i="26"/>
  <c r="AK26" i="26"/>
  <c r="AL26" i="26"/>
  <c r="AK27" i="26"/>
  <c r="AL27" i="26"/>
  <c r="AK28" i="26"/>
  <c r="AL28" i="26"/>
  <c r="AK29" i="26"/>
  <c r="AL29" i="26"/>
  <c r="AK30" i="26"/>
  <c r="AL30" i="26"/>
  <c r="AK31" i="26"/>
  <c r="AL31" i="26"/>
  <c r="AK32" i="26"/>
  <c r="AL32" i="26"/>
  <c r="AK33" i="26"/>
  <c r="AL33" i="26"/>
  <c r="AL25" i="26"/>
  <c r="AK25" i="26"/>
  <c r="U26" i="26"/>
  <c r="U27" i="26"/>
  <c r="U28" i="26"/>
  <c r="U29" i="26"/>
  <c r="U30" i="26"/>
  <c r="U31" i="26"/>
  <c r="U32" i="26"/>
  <c r="U33" i="26"/>
  <c r="U25" i="26"/>
  <c r="T26" i="26"/>
  <c r="T27" i="26"/>
  <c r="T28" i="26"/>
  <c r="T29" i="26"/>
  <c r="T30" i="26"/>
  <c r="T31" i="26"/>
  <c r="T32" i="26"/>
  <c r="T33" i="26"/>
  <c r="T25" i="26"/>
  <c r="B88" i="33"/>
  <c r="B87" i="33"/>
  <c r="B86" i="33"/>
  <c r="A40" i="33" s="1"/>
  <c r="B85" i="33"/>
  <c r="B84" i="33"/>
  <c r="A38" i="33" s="1"/>
  <c r="B83" i="33"/>
  <c r="A37" i="33" s="1"/>
  <c r="B82" i="33"/>
  <c r="B81" i="33"/>
  <c r="B80" i="33"/>
  <c r="B79" i="33"/>
  <c r="B78" i="33"/>
  <c r="B77" i="33"/>
  <c r="A31" i="33" s="1"/>
  <c r="B76" i="33"/>
  <c r="A30" i="33" s="1"/>
  <c r="B75" i="33"/>
  <c r="A29" i="33" s="1"/>
  <c r="B74" i="33"/>
  <c r="A28" i="33" s="1"/>
  <c r="B73" i="33"/>
  <c r="A27" i="33" s="1"/>
  <c r="B72" i="33"/>
  <c r="B71" i="33"/>
  <c r="B70" i="33"/>
  <c r="B69" i="33"/>
  <c r="B68" i="33"/>
  <c r="A22" i="33" s="1"/>
  <c r="B67" i="33"/>
  <c r="A21" i="33" s="1"/>
  <c r="B66" i="33"/>
  <c r="B65" i="33"/>
  <c r="B64" i="33"/>
  <c r="B63" i="33"/>
  <c r="B62" i="33"/>
  <c r="B61" i="33"/>
  <c r="A15" i="33" s="1"/>
  <c r="B60" i="33"/>
  <c r="A14" i="33" s="1"/>
  <c r="B59" i="33"/>
  <c r="B58" i="33"/>
  <c r="B57" i="33"/>
  <c r="A11" i="33" s="1"/>
  <c r="B56" i="33"/>
  <c r="B55" i="33"/>
  <c r="B54" i="33"/>
  <c r="B53" i="33"/>
  <c r="B52" i="33"/>
  <c r="A6" i="33" s="1"/>
  <c r="B51" i="33"/>
  <c r="B50" i="33"/>
  <c r="B49" i="33"/>
  <c r="B48" i="33"/>
  <c r="H42" i="33"/>
  <c r="G42" i="33"/>
  <c r="K42" i="33" s="1"/>
  <c r="F42" i="33"/>
  <c r="E42" i="33"/>
  <c r="D42" i="33"/>
  <c r="C42" i="33"/>
  <c r="A42" i="33"/>
  <c r="F41" i="33"/>
  <c r="H41" i="33" s="1"/>
  <c r="E41" i="33"/>
  <c r="G41" i="33" s="1"/>
  <c r="D41" i="33"/>
  <c r="C41" i="33"/>
  <c r="A41" i="33"/>
  <c r="F40" i="33"/>
  <c r="H40" i="33" s="1"/>
  <c r="E40" i="33"/>
  <c r="G40" i="33" s="1"/>
  <c r="D40" i="33"/>
  <c r="C40" i="33"/>
  <c r="F39" i="33"/>
  <c r="H39" i="33" s="1"/>
  <c r="E39" i="33"/>
  <c r="G39" i="33" s="1"/>
  <c r="D39" i="33"/>
  <c r="C39" i="33"/>
  <c r="A39" i="33"/>
  <c r="G38" i="33"/>
  <c r="F38" i="33"/>
  <c r="H38" i="33" s="1"/>
  <c r="E38" i="33"/>
  <c r="D38" i="33"/>
  <c r="C38" i="33"/>
  <c r="F37" i="33"/>
  <c r="E37" i="33"/>
  <c r="D37" i="33"/>
  <c r="H37" i="33" s="1"/>
  <c r="C37" i="33"/>
  <c r="H36" i="33"/>
  <c r="K36" i="33" s="1"/>
  <c r="G36" i="33"/>
  <c r="F36" i="33"/>
  <c r="E36" i="33"/>
  <c r="D36" i="33"/>
  <c r="C36" i="33"/>
  <c r="A36" i="33"/>
  <c r="G35" i="33"/>
  <c r="F35" i="33"/>
  <c r="H35" i="33" s="1"/>
  <c r="E35" i="33"/>
  <c r="D35" i="33"/>
  <c r="C35" i="33"/>
  <c r="A35" i="33"/>
  <c r="F34" i="33"/>
  <c r="E34" i="33"/>
  <c r="G34" i="33" s="1"/>
  <c r="D34" i="33"/>
  <c r="H34" i="33" s="1"/>
  <c r="C34" i="33"/>
  <c r="A34" i="33"/>
  <c r="H33" i="33"/>
  <c r="F33" i="33"/>
  <c r="E33" i="33"/>
  <c r="G33" i="33" s="1"/>
  <c r="D33" i="33"/>
  <c r="C33" i="33"/>
  <c r="A33" i="33"/>
  <c r="F32" i="33"/>
  <c r="H32" i="33" s="1"/>
  <c r="E32" i="33"/>
  <c r="G32" i="33" s="1"/>
  <c r="D32" i="33"/>
  <c r="C32" i="33"/>
  <c r="A32" i="33"/>
  <c r="F31" i="33"/>
  <c r="H31" i="33" s="1"/>
  <c r="E31" i="33"/>
  <c r="G31" i="33" s="1"/>
  <c r="D31" i="33"/>
  <c r="C31" i="33"/>
  <c r="G30" i="33"/>
  <c r="F30" i="33"/>
  <c r="H30" i="33" s="1"/>
  <c r="E30" i="33"/>
  <c r="D30" i="33"/>
  <c r="C30" i="33"/>
  <c r="H29" i="33"/>
  <c r="G29" i="33"/>
  <c r="J29" i="33" s="1"/>
  <c r="F29" i="33"/>
  <c r="E29" i="33"/>
  <c r="D29" i="33"/>
  <c r="C29" i="33"/>
  <c r="H28" i="33"/>
  <c r="F28" i="33"/>
  <c r="E28" i="33"/>
  <c r="G28" i="33" s="1"/>
  <c r="D28" i="33"/>
  <c r="C28" i="33"/>
  <c r="G27" i="33"/>
  <c r="F27" i="33"/>
  <c r="E27" i="33"/>
  <c r="D27" i="33"/>
  <c r="H27" i="33" s="1"/>
  <c r="C27" i="33"/>
  <c r="H26" i="33"/>
  <c r="G26" i="33"/>
  <c r="K26" i="33" s="1"/>
  <c r="F26" i="33"/>
  <c r="E26" i="33"/>
  <c r="D26" i="33"/>
  <c r="C26" i="33"/>
  <c r="A26" i="33"/>
  <c r="F25" i="33"/>
  <c r="H25" i="33" s="1"/>
  <c r="E25" i="33"/>
  <c r="G25" i="33" s="1"/>
  <c r="D25" i="33"/>
  <c r="C25" i="33"/>
  <c r="A25" i="33"/>
  <c r="F24" i="33"/>
  <c r="H24" i="33" s="1"/>
  <c r="E24" i="33"/>
  <c r="G24" i="33" s="1"/>
  <c r="D24" i="33"/>
  <c r="C24" i="33"/>
  <c r="A24" i="33"/>
  <c r="F23" i="33"/>
  <c r="H23" i="33" s="1"/>
  <c r="E23" i="33"/>
  <c r="G23" i="33" s="1"/>
  <c r="D23" i="33"/>
  <c r="C23" i="33"/>
  <c r="A23" i="33"/>
  <c r="G22" i="33"/>
  <c r="F22" i="33"/>
  <c r="H22" i="33" s="1"/>
  <c r="E22" i="33"/>
  <c r="D22" i="33"/>
  <c r="C22" i="33"/>
  <c r="F21" i="33"/>
  <c r="E21" i="33"/>
  <c r="D21" i="33"/>
  <c r="G21" i="33" s="1"/>
  <c r="C21" i="33"/>
  <c r="H20" i="33"/>
  <c r="K20" i="33" s="1"/>
  <c r="G20" i="33"/>
  <c r="F20" i="33"/>
  <c r="E20" i="33"/>
  <c r="D20" i="33"/>
  <c r="C20" i="33"/>
  <c r="A20" i="33"/>
  <c r="G19" i="33"/>
  <c r="F19" i="33"/>
  <c r="H19" i="33" s="1"/>
  <c r="E19" i="33"/>
  <c r="D19" i="33"/>
  <c r="C19" i="33"/>
  <c r="A19" i="33"/>
  <c r="F18" i="33"/>
  <c r="E18" i="33"/>
  <c r="G18" i="33" s="1"/>
  <c r="D18" i="33"/>
  <c r="H18" i="33" s="1"/>
  <c r="C18" i="33"/>
  <c r="A18" i="33"/>
  <c r="H17" i="33"/>
  <c r="F17" i="33"/>
  <c r="E17" i="33"/>
  <c r="G17" i="33" s="1"/>
  <c r="D17" i="33"/>
  <c r="C17" i="33"/>
  <c r="A17" i="33"/>
  <c r="F16" i="33"/>
  <c r="H16" i="33" s="1"/>
  <c r="E16" i="33"/>
  <c r="G16" i="33" s="1"/>
  <c r="D16" i="33"/>
  <c r="C16" i="33"/>
  <c r="A16" i="33"/>
  <c r="F15" i="33"/>
  <c r="H15" i="33" s="1"/>
  <c r="E15" i="33"/>
  <c r="G15" i="33" s="1"/>
  <c r="D15" i="33"/>
  <c r="C15" i="33"/>
  <c r="G14" i="33"/>
  <c r="F14" i="33"/>
  <c r="H14" i="33" s="1"/>
  <c r="E14" i="33"/>
  <c r="D14" i="33"/>
  <c r="C14" i="33"/>
  <c r="H13" i="33"/>
  <c r="G13" i="33"/>
  <c r="K13" i="33" s="1"/>
  <c r="F13" i="33"/>
  <c r="E13" i="33"/>
  <c r="D13" i="33"/>
  <c r="C13" i="33"/>
  <c r="A13" i="33"/>
  <c r="H12" i="33"/>
  <c r="F12" i="33"/>
  <c r="E12" i="33"/>
  <c r="G12" i="33" s="1"/>
  <c r="D12" i="33"/>
  <c r="C12" i="33"/>
  <c r="A12" i="33"/>
  <c r="K11" i="33"/>
  <c r="J11" i="33"/>
  <c r="H11" i="33"/>
  <c r="G11" i="33"/>
  <c r="F11" i="33"/>
  <c r="E11" i="33"/>
  <c r="D11" i="33"/>
  <c r="C11" i="33"/>
  <c r="H10" i="33"/>
  <c r="G10" i="33"/>
  <c r="K10" i="33" s="1"/>
  <c r="F10" i="33"/>
  <c r="E10" i="33"/>
  <c r="D10" i="33"/>
  <c r="C10" i="33"/>
  <c r="A10" i="33"/>
  <c r="F9" i="33"/>
  <c r="H9" i="33" s="1"/>
  <c r="E9" i="33"/>
  <c r="G9" i="33" s="1"/>
  <c r="D9" i="33"/>
  <c r="C9" i="33"/>
  <c r="A9" i="33"/>
  <c r="F8" i="33"/>
  <c r="H8" i="33" s="1"/>
  <c r="E8" i="33"/>
  <c r="G8" i="33" s="1"/>
  <c r="D8" i="33"/>
  <c r="C8" i="33"/>
  <c r="A8" i="33"/>
  <c r="F7" i="33"/>
  <c r="H7" i="33" s="1"/>
  <c r="E7" i="33"/>
  <c r="G7" i="33" s="1"/>
  <c r="D7" i="33"/>
  <c r="C7" i="33"/>
  <c r="A7" i="33"/>
  <c r="G6" i="33"/>
  <c r="F6" i="33"/>
  <c r="H6" i="33" s="1"/>
  <c r="E6" i="33"/>
  <c r="D6" i="33"/>
  <c r="C6" i="33"/>
  <c r="F5" i="33"/>
  <c r="E5" i="33"/>
  <c r="E43" i="33" s="1"/>
  <c r="D5" i="33"/>
  <c r="H5" i="33" s="1"/>
  <c r="C5" i="33"/>
  <c r="A5" i="33"/>
  <c r="H4" i="33"/>
  <c r="J4" i="33" s="1"/>
  <c r="G4" i="33"/>
  <c r="K4" i="33" s="1"/>
  <c r="F4" i="33"/>
  <c r="E4" i="33"/>
  <c r="D4" i="33"/>
  <c r="C4" i="33"/>
  <c r="A4" i="33"/>
  <c r="G3" i="33"/>
  <c r="F3" i="33"/>
  <c r="H3" i="33" s="1"/>
  <c r="E3" i="33"/>
  <c r="D3" i="33"/>
  <c r="C3" i="33"/>
  <c r="A3" i="33"/>
  <c r="F2" i="33"/>
  <c r="F43" i="33" s="1"/>
  <c r="E2" i="33"/>
  <c r="G2" i="33" s="1"/>
  <c r="D2" i="33"/>
  <c r="H2" i="33" s="1"/>
  <c r="C2" i="33"/>
  <c r="A2" i="33"/>
  <c r="DB33" i="15"/>
  <c r="AW33" i="15"/>
  <c r="BK33" i="15" s="1"/>
  <c r="AU33" i="15"/>
  <c r="AT33" i="15"/>
  <c r="AL33" i="15"/>
  <c r="AK33" i="15"/>
  <c r="DB32" i="15"/>
  <c r="AW32" i="15"/>
  <c r="BK32" i="15" s="1"/>
  <c r="AU32" i="15"/>
  <c r="AT32" i="15"/>
  <c r="AL32" i="15"/>
  <c r="AK32" i="15"/>
  <c r="DB31" i="15"/>
  <c r="AW31" i="15"/>
  <c r="BK31" i="15" s="1"/>
  <c r="AU31" i="15"/>
  <c r="AT31" i="15"/>
  <c r="AL31" i="15"/>
  <c r="AK31" i="15"/>
  <c r="DB30" i="15"/>
  <c r="AW30" i="15"/>
  <c r="BK30" i="15" s="1"/>
  <c r="AU30" i="15"/>
  <c r="AT30" i="15"/>
  <c r="AL30" i="15"/>
  <c r="AK30" i="15"/>
  <c r="DB29" i="15"/>
  <c r="AW29" i="15"/>
  <c r="BK29" i="15" s="1"/>
  <c r="AU29" i="15"/>
  <c r="AT29" i="15"/>
  <c r="AL29" i="15"/>
  <c r="AK29" i="15"/>
  <c r="DB28" i="15"/>
  <c r="AW28" i="15"/>
  <c r="BK28" i="15" s="1"/>
  <c r="AU28" i="15"/>
  <c r="AT28" i="15"/>
  <c r="AL28" i="15"/>
  <c r="AK28" i="15"/>
  <c r="DB27" i="15"/>
  <c r="AW27" i="15"/>
  <c r="BK27" i="15" s="1"/>
  <c r="AU27" i="15"/>
  <c r="AT27" i="15"/>
  <c r="AL27" i="15"/>
  <c r="AK27" i="15"/>
  <c r="DB26" i="15"/>
  <c r="AW26" i="15"/>
  <c r="BK26" i="15" s="1"/>
  <c r="AU26" i="15"/>
  <c r="AT26" i="15"/>
  <c r="AL26" i="15"/>
  <c r="AK26" i="15"/>
  <c r="DB25" i="15"/>
  <c r="AW25" i="15"/>
  <c r="BK25" i="15" s="1"/>
  <c r="AU25" i="15"/>
  <c r="AT25" i="15"/>
  <c r="AL25" i="15"/>
  <c r="AK25" i="15"/>
  <c r="DB24" i="15"/>
  <c r="AW24" i="15"/>
  <c r="AX24" i="15" s="1"/>
  <c r="BL24" i="15" s="1"/>
  <c r="DB23" i="15"/>
  <c r="BK23" i="15"/>
  <c r="AW23" i="15"/>
  <c r="AX23" i="15" s="1"/>
  <c r="BL23" i="15" s="1"/>
  <c r="DB22" i="15"/>
  <c r="AW22" i="15"/>
  <c r="AX22" i="15" s="1"/>
  <c r="BL22" i="15" s="1"/>
  <c r="DB21" i="15"/>
  <c r="AW21" i="15"/>
  <c r="BK21" i="15" s="1"/>
  <c r="DB20" i="15"/>
  <c r="AW20" i="15"/>
  <c r="BK20" i="15" s="1"/>
  <c r="DB19" i="15"/>
  <c r="AW19" i="15"/>
  <c r="BK19" i="15" s="1"/>
  <c r="DB18" i="15"/>
  <c r="AW18" i="15"/>
  <c r="AX18" i="15" s="1"/>
  <c r="BL18" i="15" s="1"/>
  <c r="DB17" i="15"/>
  <c r="BK17" i="15"/>
  <c r="AX17" i="15"/>
  <c r="BL17" i="15" s="1"/>
  <c r="AW17" i="15"/>
  <c r="DB16" i="15"/>
  <c r="AW16" i="15"/>
  <c r="AX16" i="15" s="1"/>
  <c r="BL16" i="15" s="1"/>
  <c r="DB15" i="15"/>
  <c r="AW15" i="15"/>
  <c r="BK15" i="15" s="1"/>
  <c r="DB14" i="15"/>
  <c r="AW14" i="15"/>
  <c r="BK14" i="15" s="1"/>
  <c r="DB13" i="15"/>
  <c r="BK13" i="15"/>
  <c r="AX13" i="15"/>
  <c r="BL13" i="15" s="1"/>
  <c r="AW13" i="15"/>
  <c r="DB12" i="15"/>
  <c r="AW12" i="15"/>
  <c r="BK12" i="15" s="1"/>
  <c r="DB11" i="15"/>
  <c r="AW11" i="15"/>
  <c r="BK11" i="15" s="1"/>
  <c r="DB10" i="15"/>
  <c r="BL10" i="15"/>
  <c r="BK10" i="15"/>
  <c r="AX10" i="15"/>
  <c r="AW10" i="15"/>
  <c r="DB9" i="15"/>
  <c r="AW9" i="15"/>
  <c r="AX9" i="15" s="1"/>
  <c r="BL9" i="15" s="1"/>
  <c r="DB8" i="15"/>
  <c r="AW8" i="15"/>
  <c r="BK8" i="15" s="1"/>
  <c r="DB7" i="15"/>
  <c r="BK7" i="15"/>
  <c r="AW7" i="15"/>
  <c r="AX7" i="15" s="1"/>
  <c r="BL7" i="15" s="1"/>
  <c r="DC29" i="15" a="1"/>
  <c r="DC30" i="15" a="1"/>
  <c r="DC31" i="15" a="1"/>
  <c r="DC32" i="15" a="1"/>
  <c r="DC33" i="15" a="1"/>
  <c r="DC23" i="15" a="1"/>
  <c r="DC7" i="15" a="1"/>
  <c r="DC11" i="15" a="1"/>
  <c r="DC10" i="15" a="1"/>
  <c r="DC24" i="15" a="1"/>
  <c r="DC8" i="15" a="1"/>
  <c r="DC21" i="15" a="1"/>
  <c r="DC25" i="15" a="1"/>
  <c r="DC19" i="15" a="1"/>
  <c r="DC16" i="15" a="1"/>
  <c r="DC20" i="15" a="1"/>
  <c r="DC26" i="15" a="1"/>
  <c r="DC18" i="15" a="1"/>
  <c r="DC13" i="15" a="1"/>
  <c r="DC17" i="15" a="1"/>
  <c r="DC27" i="15" a="1"/>
  <c r="DC15" i="15" a="1"/>
  <c r="DC12" i="15" a="1"/>
  <c r="DC9" i="15" a="1"/>
  <c r="DC22" i="15" a="1"/>
  <c r="DC14" i="15" a="1"/>
  <c r="DC28" i="15" a="1"/>
  <c r="J3" i="33" l="1"/>
  <c r="K3" i="33"/>
  <c r="K23" i="33"/>
  <c r="J23" i="33"/>
  <c r="K35" i="33"/>
  <c r="J35" i="33"/>
  <c r="K38" i="33"/>
  <c r="K9" i="33"/>
  <c r="J9" i="33"/>
  <c r="K6" i="33"/>
  <c r="J14" i="33"/>
  <c r="K7" i="33"/>
  <c r="J7" i="33"/>
  <c r="J12" i="33"/>
  <c r="K12" i="33"/>
  <c r="K33" i="33"/>
  <c r="J33" i="33"/>
  <c r="K30" i="33"/>
  <c r="K27" i="33"/>
  <c r="J27" i="33"/>
  <c r="K24" i="33"/>
  <c r="J24" i="33"/>
  <c r="J15" i="33"/>
  <c r="K15" i="33"/>
  <c r="K39" i="33"/>
  <c r="J39" i="33"/>
  <c r="K40" i="33"/>
  <c r="J40" i="33"/>
  <c r="K18" i="33"/>
  <c r="J18" i="33"/>
  <c r="K2" i="33"/>
  <c r="J2" i="33"/>
  <c r="K16" i="33"/>
  <c r="J16" i="33"/>
  <c r="K25" i="33"/>
  <c r="J25" i="33"/>
  <c r="K28" i="33"/>
  <c r="J28" i="33"/>
  <c r="J31" i="33"/>
  <c r="K31" i="33"/>
  <c r="K34" i="33"/>
  <c r="J34" i="33"/>
  <c r="K41" i="33"/>
  <c r="J41" i="33"/>
  <c r="J8" i="33"/>
  <c r="K8" i="33"/>
  <c r="K19" i="33"/>
  <c r="J19" i="33"/>
  <c r="K22" i="33"/>
  <c r="K17" i="33"/>
  <c r="J17" i="33"/>
  <c r="K32" i="33"/>
  <c r="J32" i="33"/>
  <c r="J10" i="33"/>
  <c r="J26" i="33"/>
  <c r="J42" i="33"/>
  <c r="G37" i="33"/>
  <c r="D43" i="33"/>
  <c r="G5" i="33"/>
  <c r="J30" i="33"/>
  <c r="K14" i="33"/>
  <c r="H21" i="33"/>
  <c r="K21" i="33" s="1"/>
  <c r="J36" i="33"/>
  <c r="J20" i="33"/>
  <c r="J13" i="33"/>
  <c r="J6" i="33"/>
  <c r="J22" i="33"/>
  <c r="K29" i="33"/>
  <c r="J38" i="33"/>
  <c r="DC28" i="15"/>
  <c r="DD28" i="15" s="1"/>
  <c r="DC14" i="15"/>
  <c r="DD14" i="15" s="1"/>
  <c r="DC22" i="15"/>
  <c r="DD22" i="15" s="1"/>
  <c r="DC9" i="15"/>
  <c r="DD9" i="15" s="1"/>
  <c r="DC12" i="15"/>
  <c r="DD12" i="15" s="1"/>
  <c r="DC15" i="15"/>
  <c r="DD15" i="15" s="1"/>
  <c r="DC27" i="15"/>
  <c r="DD27" i="15" s="1"/>
  <c r="DC17" i="15"/>
  <c r="DD17" i="15" s="1"/>
  <c r="DC13" i="15"/>
  <c r="DD13" i="15" s="1"/>
  <c r="DC18" i="15"/>
  <c r="DD18" i="15" s="1"/>
  <c r="DC26" i="15"/>
  <c r="DD26" i="15" s="1"/>
  <c r="DC20" i="15"/>
  <c r="DD20" i="15" s="1"/>
  <c r="DC16" i="15"/>
  <c r="DD16" i="15" s="1"/>
  <c r="DC19" i="15"/>
  <c r="DD19" i="15" s="1"/>
  <c r="DC25" i="15"/>
  <c r="DD25" i="15" s="1"/>
  <c r="DC21" i="15"/>
  <c r="DD21" i="15" s="1"/>
  <c r="DC8" i="15"/>
  <c r="DD8" i="15" s="1"/>
  <c r="DC24" i="15"/>
  <c r="DD24" i="15" s="1"/>
  <c r="DC10" i="15"/>
  <c r="DD10" i="15" s="1"/>
  <c r="DC11" i="15"/>
  <c r="DD11" i="15" s="1"/>
  <c r="DC7" i="15"/>
  <c r="DD7" i="15" s="1"/>
  <c r="DC23" i="15"/>
  <c r="DD23" i="15" s="1"/>
  <c r="DC33" i="15"/>
  <c r="DD33" i="15" s="1"/>
  <c r="DC32" i="15"/>
  <c r="DD32" i="15" s="1"/>
  <c r="DC31" i="15"/>
  <c r="DD31" i="15" s="1"/>
  <c r="DC30" i="15"/>
  <c r="DD30" i="15" s="1"/>
  <c r="DC29" i="15"/>
  <c r="DD29" i="15" s="1"/>
  <c r="BK24" i="15"/>
  <c r="BK16" i="15"/>
  <c r="AX19" i="15"/>
  <c r="BL19" i="15" s="1"/>
  <c r="BK9" i="15"/>
  <c r="AX12" i="15"/>
  <c r="BL12" i="15" s="1"/>
  <c r="BK18" i="15"/>
  <c r="AX21" i="15"/>
  <c r="BL21" i="15" s="1"/>
  <c r="AX8" i="15"/>
  <c r="BL8" i="15" s="1"/>
  <c r="AX11" i="15"/>
  <c r="BL11" i="15" s="1"/>
  <c r="AX14" i="15"/>
  <c r="BL14" i="15" s="1"/>
  <c r="AX15" i="15"/>
  <c r="BL15" i="15" s="1"/>
  <c r="BK22" i="15"/>
  <c r="AX20" i="15"/>
  <c r="BL20" i="15" s="1"/>
  <c r="AX33" i="15"/>
  <c r="BL33" i="15" s="1"/>
  <c r="AX32" i="15"/>
  <c r="BL32" i="15" s="1"/>
  <c r="AX31" i="15"/>
  <c r="BL31" i="15" s="1"/>
  <c r="AX30" i="15"/>
  <c r="BL30" i="15" s="1"/>
  <c r="AX29" i="15"/>
  <c r="BL29" i="15" s="1"/>
  <c r="AX28" i="15"/>
  <c r="BL28" i="15" s="1"/>
  <c r="AX27" i="15"/>
  <c r="BL27" i="15" s="1"/>
  <c r="AX26" i="15"/>
  <c r="BL26" i="15" s="1"/>
  <c r="AX25" i="15"/>
  <c r="BL25" i="15" s="1"/>
  <c r="DE12" i="15" a="1"/>
  <c r="DE25" i="15" a="1"/>
  <c r="DE23" i="15" a="1"/>
  <c r="DE7" i="15" a="1"/>
  <c r="DE15" i="15" a="1"/>
  <c r="DE16" i="15" a="1"/>
  <c r="DE27" i="15" a="1"/>
  <c r="DE33" i="15" a="1"/>
  <c r="DE17" i="15" a="1"/>
  <c r="DE18" i="15" a="1"/>
  <c r="DE29" i="15" a="1"/>
  <c r="DE9" i="15" a="1"/>
  <c r="DE28" i="15" a="1"/>
  <c r="DE13" i="15" a="1"/>
  <c r="DE21" i="15" a="1"/>
  <c r="DE30" i="15" a="1"/>
  <c r="DE8" i="15" a="1"/>
  <c r="DE32" i="15" a="1"/>
  <c r="DE19" i="15" a="1"/>
  <c r="DE14" i="15" a="1"/>
  <c r="DE31" i="15" a="1"/>
  <c r="DE24" i="15" a="1"/>
  <c r="DE11" i="15" a="1"/>
  <c r="DE26" i="15" a="1"/>
  <c r="DE22" i="15" a="1"/>
  <c r="DE10" i="15" a="1"/>
  <c r="DE20" i="15" a="1"/>
  <c r="J37" i="33" l="1"/>
  <c r="K37" i="33"/>
  <c r="J21" i="33"/>
  <c r="K5" i="33"/>
  <c r="J5" i="33"/>
  <c r="DE25" i="15"/>
  <c r="DE19" i="15"/>
  <c r="DE16" i="15"/>
  <c r="BQ16" i="15" s="1"/>
  <c r="DE20" i="15"/>
  <c r="DE29" i="15"/>
  <c r="DE26" i="15"/>
  <c r="BQ26" i="15" s="1"/>
  <c r="DE18" i="15"/>
  <c r="BQ18" i="15" s="1"/>
  <c r="DE31" i="15"/>
  <c r="BQ31" i="15" s="1"/>
  <c r="DE13" i="15"/>
  <c r="BQ13" i="15" s="1"/>
  <c r="DE32" i="15"/>
  <c r="BQ32" i="15" s="1"/>
  <c r="DE17" i="15"/>
  <c r="BQ17" i="15" s="1"/>
  <c r="DE33" i="15"/>
  <c r="BQ33" i="15" s="1"/>
  <c r="DE27" i="15"/>
  <c r="BQ27" i="15" s="1"/>
  <c r="DE23" i="15"/>
  <c r="BQ23" i="15" s="1"/>
  <c r="DE15" i="15"/>
  <c r="BQ15" i="15" s="1"/>
  <c r="DE7" i="15"/>
  <c r="BQ7" i="15" s="1"/>
  <c r="DE12" i="15"/>
  <c r="DE9" i="15"/>
  <c r="BQ9" i="15" s="1"/>
  <c r="DE30" i="15"/>
  <c r="BQ30" i="15" s="1"/>
  <c r="DE10" i="15"/>
  <c r="BQ10" i="15" s="1"/>
  <c r="DE22" i="15"/>
  <c r="BQ22" i="15" s="1"/>
  <c r="DE21" i="15"/>
  <c r="BQ21" i="15" s="1"/>
  <c r="DE11" i="15"/>
  <c r="BQ11" i="15" s="1"/>
  <c r="DE24" i="15"/>
  <c r="BQ24" i="15" s="1"/>
  <c r="DE14" i="15"/>
  <c r="BQ14" i="15" s="1"/>
  <c r="DE8" i="15"/>
  <c r="BQ8" i="15" s="1"/>
  <c r="DE28" i="15"/>
  <c r="BQ28" i="15" s="1"/>
  <c r="BQ12" i="15"/>
  <c r="BQ19" i="15"/>
  <c r="BQ25" i="15"/>
  <c r="BQ29" i="15"/>
  <c r="BQ20" i="15"/>
  <c r="E43" i="31"/>
  <c r="A42" i="31"/>
  <c r="C42" i="31"/>
  <c r="D42" i="31"/>
  <c r="E42" i="31"/>
  <c r="F42" i="31"/>
  <c r="H42" i="31" s="1"/>
  <c r="G42" i="31"/>
  <c r="B88" i="31"/>
  <c r="C41" i="31"/>
  <c r="D41" i="31"/>
  <c r="E41" i="31"/>
  <c r="G41" i="31" s="1"/>
  <c r="F41" i="31"/>
  <c r="H41" i="31"/>
  <c r="B87" i="31"/>
  <c r="A41" i="31" s="1"/>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4" i="20"/>
  <c r="A5" i="20"/>
  <c r="E5" i="20" s="1"/>
  <c r="B5" i="20"/>
  <c r="A6" i="20"/>
  <c r="E6" i="20" s="1"/>
  <c r="B6" i="20"/>
  <c r="A7" i="20"/>
  <c r="E7" i="20" s="1"/>
  <c r="B7" i="20"/>
  <c r="A8" i="20"/>
  <c r="E8" i="20" s="1"/>
  <c r="B8" i="20"/>
  <c r="A9" i="20"/>
  <c r="E9" i="20" s="1"/>
  <c r="B9" i="20"/>
  <c r="A10" i="20"/>
  <c r="E10" i="20" s="1"/>
  <c r="B10" i="20"/>
  <c r="A11" i="20"/>
  <c r="E11" i="20" s="1"/>
  <c r="B11" i="20"/>
  <c r="A12" i="20"/>
  <c r="E12" i="20" s="1"/>
  <c r="B12" i="20"/>
  <c r="A13" i="20"/>
  <c r="E13" i="20" s="1"/>
  <c r="B13" i="20"/>
  <c r="A14" i="20"/>
  <c r="E14" i="20" s="1"/>
  <c r="B14" i="20"/>
  <c r="A15" i="20"/>
  <c r="E15" i="20" s="1"/>
  <c r="B15" i="20"/>
  <c r="A16" i="20"/>
  <c r="E16" i="20" s="1"/>
  <c r="B16" i="20"/>
  <c r="A17" i="20"/>
  <c r="E17" i="20" s="1"/>
  <c r="B17" i="20"/>
  <c r="A18" i="20"/>
  <c r="E18" i="20" s="1"/>
  <c r="B18" i="20"/>
  <c r="A19" i="20"/>
  <c r="E19" i="20" s="1"/>
  <c r="B19" i="20"/>
  <c r="A20" i="20"/>
  <c r="E20" i="20" s="1"/>
  <c r="B20" i="20"/>
  <c r="A21" i="20"/>
  <c r="E21" i="20" s="1"/>
  <c r="B21" i="20"/>
  <c r="A22" i="20"/>
  <c r="E22" i="20" s="1"/>
  <c r="B22" i="20"/>
  <c r="A23" i="20"/>
  <c r="E23" i="20" s="1"/>
  <c r="B23" i="20"/>
  <c r="A24" i="20"/>
  <c r="E24" i="20" s="1"/>
  <c r="B24" i="20"/>
  <c r="A25" i="20"/>
  <c r="E25" i="20" s="1"/>
  <c r="B25" i="20"/>
  <c r="A26" i="20"/>
  <c r="E26" i="20" s="1"/>
  <c r="B26" i="20"/>
  <c r="A27" i="20"/>
  <c r="E27" i="20" s="1"/>
  <c r="B27" i="20"/>
  <c r="A28" i="20"/>
  <c r="E28" i="20" s="1"/>
  <c r="B28" i="20"/>
  <c r="A29" i="20"/>
  <c r="E29" i="20" s="1"/>
  <c r="B29" i="20"/>
  <c r="A30" i="20"/>
  <c r="E30" i="20" s="1"/>
  <c r="B30" i="20"/>
  <c r="A31" i="20"/>
  <c r="E31" i="20" s="1"/>
  <c r="B31" i="20"/>
  <c r="A32" i="20"/>
  <c r="E32" i="20" s="1"/>
  <c r="B32" i="20"/>
  <c r="A33" i="20"/>
  <c r="E33" i="20" s="1"/>
  <c r="B33" i="20"/>
  <c r="A34" i="20"/>
  <c r="E34" i="20" s="1"/>
  <c r="B34" i="20"/>
  <c r="A35" i="20"/>
  <c r="E35" i="20" s="1"/>
  <c r="B35" i="20"/>
  <c r="A36" i="20"/>
  <c r="E36" i="20" s="1"/>
  <c r="B36" i="20"/>
  <c r="A37" i="20"/>
  <c r="E37" i="20" s="1"/>
  <c r="B37" i="20"/>
  <c r="A38" i="20"/>
  <c r="E38" i="20" s="1"/>
  <c r="B38" i="20"/>
  <c r="A39" i="20"/>
  <c r="E39" i="20" s="1"/>
  <c r="B39" i="20"/>
  <c r="A40" i="20"/>
  <c r="E40" i="20" s="1"/>
  <c r="B40" i="20"/>
  <c r="A41" i="20"/>
  <c r="E41" i="20" s="1"/>
  <c r="B41" i="20"/>
  <c r="A42" i="20"/>
  <c r="E42" i="20" s="1"/>
  <c r="B42" i="20"/>
  <c r="A43" i="20"/>
  <c r="E43" i="20" s="1"/>
  <c r="B43" i="20"/>
  <c r="A44" i="20"/>
  <c r="E44" i="20" s="1"/>
  <c r="B44" i="20"/>
  <c r="A45" i="20"/>
  <c r="E45" i="20" s="1"/>
  <c r="B45" i="20"/>
  <c r="A46" i="20"/>
  <c r="E46" i="20" s="1"/>
  <c r="B46" i="20"/>
  <c r="A47" i="20"/>
  <c r="E47" i="20" s="1"/>
  <c r="B47" i="20"/>
  <c r="A48" i="20"/>
  <c r="E48" i="20" s="1"/>
  <c r="B48" i="20"/>
  <c r="A49" i="20"/>
  <c r="E49" i="20" s="1"/>
  <c r="B49" i="20"/>
  <c r="A50" i="20"/>
  <c r="E50" i="20" s="1"/>
  <c r="B50" i="20"/>
  <c r="A51" i="20"/>
  <c r="E51" i="20" s="1"/>
  <c r="B51" i="20"/>
  <c r="A52" i="20"/>
  <c r="E52" i="20" s="1"/>
  <c r="B52" i="20"/>
  <c r="A53" i="20"/>
  <c r="E53" i="20" s="1"/>
  <c r="B53" i="20"/>
  <c r="A54" i="20"/>
  <c r="E54" i="20" s="1"/>
  <c r="B54" i="20"/>
  <c r="A55" i="20"/>
  <c r="E55" i="20" s="1"/>
  <c r="B55" i="20"/>
  <c r="A56" i="20"/>
  <c r="E56" i="20" s="1"/>
  <c r="B56" i="20"/>
  <c r="A57" i="20"/>
  <c r="E57" i="20" s="1"/>
  <c r="B57" i="20"/>
  <c r="A58" i="20"/>
  <c r="E58" i="20" s="1"/>
  <c r="B58" i="20"/>
  <c r="A59" i="20"/>
  <c r="E59" i="20" s="1"/>
  <c r="B59" i="20"/>
  <c r="A60" i="20"/>
  <c r="E60" i="20" s="1"/>
  <c r="B60" i="20"/>
  <c r="A61" i="20"/>
  <c r="E61" i="20" s="1"/>
  <c r="B61" i="20"/>
  <c r="A62" i="20"/>
  <c r="E62" i="20" s="1"/>
  <c r="B62" i="20"/>
  <c r="A63" i="20"/>
  <c r="E63" i="20" s="1"/>
  <c r="B63" i="20"/>
  <c r="A64" i="20"/>
  <c r="E64" i="20" s="1"/>
  <c r="B64" i="20"/>
  <c r="A65" i="20"/>
  <c r="E65" i="20" s="1"/>
  <c r="B65" i="20"/>
  <c r="A66" i="20"/>
  <c r="E66" i="20" s="1"/>
  <c r="B66" i="20"/>
  <c r="A67" i="20"/>
  <c r="E67" i="20" s="1"/>
  <c r="B67" i="20"/>
  <c r="A68" i="20"/>
  <c r="E68" i="20" s="1"/>
  <c r="B68" i="20"/>
  <c r="A69" i="20"/>
  <c r="E69" i="20" s="1"/>
  <c r="B69" i="20"/>
  <c r="A70" i="20"/>
  <c r="E70" i="20" s="1"/>
  <c r="B70" i="20"/>
  <c r="A71" i="20"/>
  <c r="E71" i="20" s="1"/>
  <c r="B71" i="20"/>
  <c r="A72" i="20"/>
  <c r="E72" i="20" s="1"/>
  <c r="B72" i="20"/>
  <c r="A73" i="20"/>
  <c r="E73" i="20" s="1"/>
  <c r="B73" i="20"/>
  <c r="A74" i="20"/>
  <c r="E74" i="20" s="1"/>
  <c r="B74" i="20"/>
  <c r="A75" i="20"/>
  <c r="E75" i="20" s="1"/>
  <c r="B75" i="20"/>
  <c r="A76" i="20"/>
  <c r="E76" i="20" s="1"/>
  <c r="B76" i="20"/>
  <c r="A77" i="20"/>
  <c r="E77" i="20" s="1"/>
  <c r="B77" i="20"/>
  <c r="A78" i="20"/>
  <c r="E78" i="20" s="1"/>
  <c r="B78" i="20"/>
  <c r="A79" i="20"/>
  <c r="E79" i="20" s="1"/>
  <c r="B79" i="20"/>
  <c r="A80" i="20"/>
  <c r="E80" i="20" s="1"/>
  <c r="B80" i="20"/>
  <c r="A81" i="20"/>
  <c r="E81" i="20" s="1"/>
  <c r="B81" i="20"/>
  <c r="A82" i="20"/>
  <c r="E82" i="20" s="1"/>
  <c r="B82" i="20"/>
  <c r="A83" i="20"/>
  <c r="E83" i="20" s="1"/>
  <c r="B83" i="20"/>
  <c r="A84" i="20"/>
  <c r="E84" i="20" s="1"/>
  <c r="B84" i="20"/>
  <c r="A85" i="20"/>
  <c r="E85" i="20" s="1"/>
  <c r="B85" i="20"/>
  <c r="A86" i="20"/>
  <c r="E86" i="20" s="1"/>
  <c r="B86" i="20"/>
  <c r="A87" i="20"/>
  <c r="E87" i="20" s="1"/>
  <c r="B87" i="20"/>
  <c r="A88" i="20"/>
  <c r="E88" i="20" s="1"/>
  <c r="B88" i="20"/>
  <c r="A89" i="20"/>
  <c r="E89" i="20" s="1"/>
  <c r="B89" i="20"/>
  <c r="A90" i="20"/>
  <c r="E90" i="20" s="1"/>
  <c r="B90" i="20"/>
  <c r="A91" i="20"/>
  <c r="E91" i="20" s="1"/>
  <c r="B91" i="20"/>
  <c r="A92" i="20"/>
  <c r="E92" i="20" s="1"/>
  <c r="B92" i="20"/>
  <c r="A93" i="20"/>
  <c r="E93" i="20" s="1"/>
  <c r="B93" i="20"/>
  <c r="A94" i="20"/>
  <c r="E94" i="20" s="1"/>
  <c r="B94" i="20"/>
  <c r="A95" i="20"/>
  <c r="E95" i="20" s="1"/>
  <c r="B95" i="20"/>
  <c r="A96" i="20"/>
  <c r="E96" i="20" s="1"/>
  <c r="B96" i="20"/>
  <c r="A97" i="20"/>
  <c r="E97" i="20" s="1"/>
  <c r="B97" i="20"/>
  <c r="A98" i="20"/>
  <c r="E98" i="20" s="1"/>
  <c r="B98" i="20"/>
  <c r="A99" i="20"/>
  <c r="E99" i="20" s="1"/>
  <c r="B99" i="20"/>
  <c r="A100" i="20"/>
  <c r="E100" i="20" s="1"/>
  <c r="B100" i="20"/>
  <c r="J42" i="31" l="1"/>
  <c r="K42" i="31"/>
  <c r="J41" i="31"/>
  <c r="K41" i="31"/>
  <c r="X11" i="19"/>
  <c r="C30" i="31"/>
  <c r="D30" i="31"/>
  <c r="E30" i="31"/>
  <c r="G30" i="31" s="1"/>
  <c r="F30" i="31"/>
  <c r="H30" i="31"/>
  <c r="C31" i="31"/>
  <c r="D31" i="31"/>
  <c r="E31" i="31"/>
  <c r="F31" i="31"/>
  <c r="G31" i="31"/>
  <c r="H31" i="31"/>
  <c r="C32" i="31"/>
  <c r="D32" i="31"/>
  <c r="G32" i="31" s="1"/>
  <c r="E32" i="31"/>
  <c r="F32" i="31"/>
  <c r="C33" i="31"/>
  <c r="D33" i="31"/>
  <c r="E33" i="31"/>
  <c r="G33" i="31" s="1"/>
  <c r="F33" i="31"/>
  <c r="H33" i="31" s="1"/>
  <c r="C34" i="31"/>
  <c r="D34" i="31"/>
  <c r="E34" i="31"/>
  <c r="G34" i="31" s="1"/>
  <c r="F34" i="31"/>
  <c r="H34" i="31" s="1"/>
  <c r="C35" i="31"/>
  <c r="D35" i="31"/>
  <c r="H35" i="31" s="1"/>
  <c r="E35" i="31"/>
  <c r="F35" i="31"/>
  <c r="C36" i="31"/>
  <c r="D36" i="31"/>
  <c r="E36" i="31"/>
  <c r="G36" i="31" s="1"/>
  <c r="F36" i="31"/>
  <c r="C37" i="31"/>
  <c r="D37" i="31"/>
  <c r="E37" i="31"/>
  <c r="F37" i="31"/>
  <c r="H37" i="31" s="1"/>
  <c r="C38" i="31"/>
  <c r="D38" i="31"/>
  <c r="E38" i="31"/>
  <c r="F38" i="31"/>
  <c r="H38" i="31" s="1"/>
  <c r="G38" i="31"/>
  <c r="C39" i="31"/>
  <c r="D39" i="31"/>
  <c r="E39" i="31"/>
  <c r="F39" i="31"/>
  <c r="C40" i="31"/>
  <c r="D40" i="31"/>
  <c r="E40" i="31"/>
  <c r="F40" i="31"/>
  <c r="H40" i="31" s="1"/>
  <c r="G40" i="31"/>
  <c r="C28" i="31"/>
  <c r="D28" i="31"/>
  <c r="E28" i="31"/>
  <c r="G28" i="31" s="1"/>
  <c r="F28" i="31"/>
  <c r="C29" i="31"/>
  <c r="D29" i="31"/>
  <c r="E29" i="31"/>
  <c r="F29" i="31"/>
  <c r="B74" i="31"/>
  <c r="A28" i="31" s="1"/>
  <c r="B75" i="31"/>
  <c r="A29" i="31" s="1"/>
  <c r="B76" i="31"/>
  <c r="A30" i="31" s="1"/>
  <c r="B77" i="31"/>
  <c r="A31" i="31" s="1"/>
  <c r="B78" i="31"/>
  <c r="A32" i="31" s="1"/>
  <c r="B79" i="31"/>
  <c r="A33" i="31" s="1"/>
  <c r="B80" i="31"/>
  <c r="A34" i="31" s="1"/>
  <c r="B81" i="31"/>
  <c r="A35" i="31" s="1"/>
  <c r="B82" i="31"/>
  <c r="A36" i="31" s="1"/>
  <c r="B83" i="31"/>
  <c r="A37" i="31" s="1"/>
  <c r="B84" i="31"/>
  <c r="A38" i="31" s="1"/>
  <c r="B85" i="31"/>
  <c r="A39" i="31" s="1"/>
  <c r="B86" i="31"/>
  <c r="A40" i="31" s="1"/>
  <c r="B2" i="39"/>
  <c r="B3" i="39"/>
  <c r="B4" i="39"/>
  <c r="B5" i="39"/>
  <c r="B6" i="39"/>
  <c r="B7" i="39"/>
  <c r="B8" i="39"/>
  <c r="B9" i="39"/>
  <c r="B10" i="39"/>
  <c r="B11" i="39"/>
  <c r="B12" i="39"/>
  <c r="B13" i="39"/>
  <c r="B14" i="39"/>
  <c r="B15" i="39"/>
  <c r="B16" i="39"/>
  <c r="B17" i="39"/>
  <c r="B18" i="39"/>
  <c r="B19" i="39"/>
  <c r="B20" i="39"/>
  <c r="B21" i="39"/>
  <c r="B22" i="39"/>
  <c r="B23" i="39"/>
  <c r="B24" i="39"/>
  <c r="B25" i="39"/>
  <c r="B26" i="39"/>
  <c r="B27" i="39"/>
  <c r="B28" i="39"/>
  <c r="B29" i="39"/>
  <c r="B1" i="39"/>
  <c r="J38" i="31" l="1"/>
  <c r="J34" i="31"/>
  <c r="H28" i="31"/>
  <c r="J28" i="31" s="1"/>
  <c r="G37" i="31"/>
  <c r="H32" i="31"/>
  <c r="J32" i="31" s="1"/>
  <c r="J40" i="31"/>
  <c r="J31" i="31"/>
  <c r="H36" i="31"/>
  <c r="J36" i="31" s="1"/>
  <c r="H29" i="31"/>
  <c r="G39" i="31"/>
  <c r="K32" i="31"/>
  <c r="G35" i="31"/>
  <c r="J35" i="31" s="1"/>
  <c r="K38" i="31"/>
  <c r="J37" i="31"/>
  <c r="K37" i="31"/>
  <c r="J33" i="31"/>
  <c r="K33" i="31"/>
  <c r="J30" i="31"/>
  <c r="K30" i="31"/>
  <c r="K34" i="31"/>
  <c r="H39" i="31"/>
  <c r="K40" i="31"/>
  <c r="K31" i="31"/>
  <c r="K28" i="31"/>
  <c r="G29" i="31"/>
  <c r="E53" i="19"/>
  <c r="E54" i="19" s="1"/>
  <c r="X15" i="19"/>
  <c r="T15" i="19"/>
  <c r="O15" i="19"/>
  <c r="S15" i="19" s="1"/>
  <c r="N15" i="19"/>
  <c r="R15" i="19" s="1"/>
  <c r="M15" i="19"/>
  <c r="Q15" i="19" s="1"/>
  <c r="L15" i="19"/>
  <c r="K15" i="19"/>
  <c r="J15" i="19"/>
  <c r="I15" i="19"/>
  <c r="H15" i="19"/>
  <c r="G15" i="19"/>
  <c r="F15" i="19"/>
  <c r="E15" i="19"/>
  <c r="D15" i="19"/>
  <c r="C15" i="19"/>
  <c r="B15" i="19"/>
  <c r="A15" i="19"/>
  <c r="X14" i="19"/>
  <c r="T14" i="19"/>
  <c r="S14" i="19"/>
  <c r="R14" i="19"/>
  <c r="O14" i="19"/>
  <c r="N14" i="19"/>
  <c r="M14" i="19"/>
  <c r="Q14" i="19" s="1"/>
  <c r="U14" i="19" s="1"/>
  <c r="L14" i="19"/>
  <c r="K14" i="19"/>
  <c r="J14" i="19"/>
  <c r="I14" i="19"/>
  <c r="H14" i="19"/>
  <c r="G14" i="19"/>
  <c r="F14" i="19"/>
  <c r="E14" i="19"/>
  <c r="D14" i="19"/>
  <c r="C14" i="19"/>
  <c r="B14" i="19"/>
  <c r="A14" i="19"/>
  <c r="X13" i="19"/>
  <c r="T13" i="19"/>
  <c r="S13" i="19"/>
  <c r="O13" i="19"/>
  <c r="N13" i="19"/>
  <c r="R13" i="19" s="1"/>
  <c r="M13" i="19"/>
  <c r="Q13" i="19" s="1"/>
  <c r="U13" i="19" s="1"/>
  <c r="L13" i="19"/>
  <c r="K13" i="19"/>
  <c r="J13" i="19"/>
  <c r="I13" i="19"/>
  <c r="H13" i="19"/>
  <c r="G13" i="19"/>
  <c r="F13" i="19"/>
  <c r="E13" i="19"/>
  <c r="D13" i="19"/>
  <c r="C13" i="19"/>
  <c r="B13" i="19"/>
  <c r="A13" i="19"/>
  <c r="X12" i="19"/>
  <c r="T12" i="19"/>
  <c r="O12" i="19"/>
  <c r="N12" i="19"/>
  <c r="R12" i="19" s="1"/>
  <c r="M12" i="19"/>
  <c r="Q12" i="19" s="1"/>
  <c r="L12" i="19"/>
  <c r="K12" i="19"/>
  <c r="J12" i="19"/>
  <c r="I12" i="19"/>
  <c r="H12" i="19"/>
  <c r="G12" i="19"/>
  <c r="S12" i="19" s="1"/>
  <c r="F12" i="19"/>
  <c r="E12" i="19"/>
  <c r="D12" i="19"/>
  <c r="C12" i="19"/>
  <c r="B12" i="19"/>
  <c r="A12" i="19"/>
  <c r="T11" i="19"/>
  <c r="O11" i="19"/>
  <c r="S11" i="19" s="1"/>
  <c r="N11" i="19"/>
  <c r="M11" i="19"/>
  <c r="L11" i="19"/>
  <c r="K11" i="19"/>
  <c r="J11" i="19"/>
  <c r="I11" i="19"/>
  <c r="H11" i="19"/>
  <c r="G11" i="19"/>
  <c r="R11" i="19" s="1"/>
  <c r="F11" i="19"/>
  <c r="E11" i="19"/>
  <c r="D11" i="19"/>
  <c r="C11" i="19"/>
  <c r="B11" i="19"/>
  <c r="A11" i="19"/>
  <c r="X10" i="19"/>
  <c r="T10" i="19"/>
  <c r="R10" i="19"/>
  <c r="O10" i="19"/>
  <c r="S10" i="19" s="1"/>
  <c r="N10" i="19"/>
  <c r="M10" i="19"/>
  <c r="Q10" i="19" s="1"/>
  <c r="L10" i="19"/>
  <c r="K10" i="19"/>
  <c r="J10" i="19"/>
  <c r="I10" i="19"/>
  <c r="H10" i="19"/>
  <c r="G10" i="19"/>
  <c r="F10" i="19"/>
  <c r="E10" i="19"/>
  <c r="D10" i="19"/>
  <c r="C10" i="19"/>
  <c r="B10" i="19"/>
  <c r="A10" i="19"/>
  <c r="X9" i="19"/>
  <c r="T9" i="19"/>
  <c r="S9" i="19"/>
  <c r="R9" i="19"/>
  <c r="O9" i="19"/>
  <c r="N9" i="19"/>
  <c r="M9" i="19"/>
  <c r="Q9" i="19" s="1"/>
  <c r="L9" i="19"/>
  <c r="K9" i="19"/>
  <c r="J9" i="19"/>
  <c r="I9" i="19"/>
  <c r="H9" i="19"/>
  <c r="G9" i="19"/>
  <c r="F9" i="19"/>
  <c r="E9" i="19"/>
  <c r="D9" i="19"/>
  <c r="C9" i="19"/>
  <c r="B9" i="19"/>
  <c r="A9" i="19"/>
  <c r="X8" i="19"/>
  <c r="T8" i="19"/>
  <c r="O8" i="19"/>
  <c r="S8" i="19" s="1"/>
  <c r="N8" i="19"/>
  <c r="R8" i="19" s="1"/>
  <c r="M8" i="19"/>
  <c r="L8" i="19"/>
  <c r="K8" i="19"/>
  <c r="J8" i="19"/>
  <c r="I8" i="19"/>
  <c r="H8" i="19"/>
  <c r="G8" i="19"/>
  <c r="Q8" i="19" s="1"/>
  <c r="F8" i="19"/>
  <c r="E8" i="19"/>
  <c r="D8" i="19"/>
  <c r="C8" i="19"/>
  <c r="B8" i="19"/>
  <c r="A8" i="19"/>
  <c r="X7" i="19"/>
  <c r="T7" i="19"/>
  <c r="Q7" i="19"/>
  <c r="O7" i="19"/>
  <c r="S7" i="19" s="1"/>
  <c r="N7" i="19"/>
  <c r="R7" i="19" s="1"/>
  <c r="M7" i="19"/>
  <c r="L7" i="19"/>
  <c r="K7" i="19"/>
  <c r="J7" i="19"/>
  <c r="I7" i="19"/>
  <c r="H7" i="19"/>
  <c r="G7" i="19"/>
  <c r="F7" i="19"/>
  <c r="E7" i="19"/>
  <c r="D7" i="19"/>
  <c r="C7" i="19"/>
  <c r="B7" i="19"/>
  <c r="A7" i="19"/>
  <c r="X6" i="19"/>
  <c r="T6" i="19"/>
  <c r="S6" i="19"/>
  <c r="R6" i="19"/>
  <c r="Q6" i="19"/>
  <c r="O6" i="19"/>
  <c r="N6" i="19"/>
  <c r="M6" i="19"/>
  <c r="L6" i="19"/>
  <c r="K6" i="19"/>
  <c r="J6" i="19"/>
  <c r="I6" i="19"/>
  <c r="H6" i="19"/>
  <c r="G6" i="19"/>
  <c r="F6" i="19"/>
  <c r="E6" i="19"/>
  <c r="D6" i="19"/>
  <c r="C6" i="19"/>
  <c r="B6" i="19"/>
  <c r="A6" i="19"/>
  <c r="X5" i="19"/>
  <c r="T5" i="19"/>
  <c r="O5" i="19"/>
  <c r="S5" i="19" s="1"/>
  <c r="N5" i="19"/>
  <c r="R5" i="19" s="1"/>
  <c r="M5" i="19"/>
  <c r="Q5" i="19" s="1"/>
  <c r="U5" i="19" s="1"/>
  <c r="L5" i="19"/>
  <c r="K5" i="19"/>
  <c r="J5" i="19"/>
  <c r="I5" i="19"/>
  <c r="H5" i="19"/>
  <c r="G5" i="19"/>
  <c r="F5" i="19"/>
  <c r="E5" i="19"/>
  <c r="D5" i="19"/>
  <c r="C5" i="19"/>
  <c r="B5" i="19"/>
  <c r="A5" i="19"/>
  <c r="X4" i="19"/>
  <c r="T4" i="19"/>
  <c r="O4" i="19"/>
  <c r="S4" i="19" s="1"/>
  <c r="N4" i="19"/>
  <c r="R4" i="19" s="1"/>
  <c r="M4" i="19"/>
  <c r="Q4" i="19" s="1"/>
  <c r="L4" i="19"/>
  <c r="K4" i="19"/>
  <c r="J4" i="19"/>
  <c r="I4" i="19"/>
  <c r="H4" i="19"/>
  <c r="G4" i="19"/>
  <c r="F4" i="19"/>
  <c r="E4" i="19"/>
  <c r="D4" i="19"/>
  <c r="C4" i="19"/>
  <c r="B4" i="19"/>
  <c r="A4" i="19"/>
  <c r="X3" i="19"/>
  <c r="T3" i="19"/>
  <c r="O3" i="19"/>
  <c r="S3" i="19" s="1"/>
  <c r="N3" i="19"/>
  <c r="M3" i="19"/>
  <c r="L3" i="19"/>
  <c r="K3" i="19"/>
  <c r="J3" i="19"/>
  <c r="I3" i="19"/>
  <c r="H3" i="19"/>
  <c r="G3" i="19"/>
  <c r="R3" i="19" s="1"/>
  <c r="F3" i="19"/>
  <c r="E3" i="19"/>
  <c r="D3" i="19"/>
  <c r="C3" i="19"/>
  <c r="B3" i="19"/>
  <c r="A3" i="19"/>
  <c r="X2" i="19"/>
  <c r="T2" i="19"/>
  <c r="O2" i="19"/>
  <c r="S2" i="19" s="1"/>
  <c r="N2" i="19"/>
  <c r="R2" i="19" s="1"/>
  <c r="M2" i="19"/>
  <c r="Q2" i="19" s="1"/>
  <c r="L2" i="19"/>
  <c r="K2" i="19"/>
  <c r="J2" i="19"/>
  <c r="I2" i="19"/>
  <c r="H2" i="19"/>
  <c r="G2" i="19"/>
  <c r="F2" i="19"/>
  <c r="E2" i="19"/>
  <c r="D2" i="19"/>
  <c r="C2" i="19"/>
  <c r="B2" i="19"/>
  <c r="A2" i="19"/>
  <c r="K35" i="31" l="1"/>
  <c r="K36" i="31"/>
  <c r="J39" i="31"/>
  <c r="U9" i="19"/>
  <c r="U10" i="19"/>
  <c r="U12" i="19"/>
  <c r="U4" i="19"/>
  <c r="U6" i="19"/>
  <c r="K39" i="31"/>
  <c r="J29" i="31"/>
  <c r="K29" i="31"/>
  <c r="U7" i="19"/>
  <c r="U2" i="19"/>
  <c r="U8" i="19"/>
  <c r="U15" i="19"/>
  <c r="Q11" i="19"/>
  <c r="U11" i="19" s="1"/>
  <c r="Q3" i="19"/>
  <c r="U3" i="19" s="1"/>
  <c r="F2" i="38"/>
  <c r="H2" i="38" s="1"/>
  <c r="E2" i="38"/>
  <c r="G2" i="38" s="1"/>
  <c r="D2" i="38"/>
  <c r="C2" i="38"/>
  <c r="A2" i="38"/>
  <c r="K2" i="38" l="1"/>
  <c r="J2" i="38"/>
  <c r="C26" i="31" l="1"/>
  <c r="D26" i="31"/>
  <c r="E26" i="31"/>
  <c r="F26" i="31"/>
  <c r="H26" i="31" s="1"/>
  <c r="G26" i="31"/>
  <c r="C27" i="31"/>
  <c r="D27" i="31"/>
  <c r="E27" i="31"/>
  <c r="G27" i="31" s="1"/>
  <c r="F27" i="31"/>
  <c r="H27" i="31" s="1"/>
  <c r="C24" i="31"/>
  <c r="D24" i="31"/>
  <c r="E24" i="31"/>
  <c r="G24" i="31" s="1"/>
  <c r="F24" i="31"/>
  <c r="H24" i="31" s="1"/>
  <c r="C25" i="31"/>
  <c r="D25" i="31"/>
  <c r="E25" i="31"/>
  <c r="G25" i="31" s="1"/>
  <c r="F25" i="31"/>
  <c r="C23" i="31"/>
  <c r="D23" i="31"/>
  <c r="E23" i="31"/>
  <c r="G23" i="31" s="1"/>
  <c r="F23" i="31"/>
  <c r="C17" i="31"/>
  <c r="D17" i="31"/>
  <c r="E17" i="31"/>
  <c r="F17" i="31"/>
  <c r="C18" i="31"/>
  <c r="D18" i="31"/>
  <c r="E18" i="31"/>
  <c r="F18" i="31"/>
  <c r="H18" i="31" s="1"/>
  <c r="C19" i="31"/>
  <c r="D19" i="31"/>
  <c r="E19" i="31"/>
  <c r="F19" i="31"/>
  <c r="C20" i="31"/>
  <c r="D20" i="31"/>
  <c r="E20" i="31"/>
  <c r="G20" i="31" s="1"/>
  <c r="F20" i="31"/>
  <c r="H20" i="31" s="1"/>
  <c r="C21" i="31"/>
  <c r="D21" i="31"/>
  <c r="E21" i="31"/>
  <c r="G21" i="31" s="1"/>
  <c r="F21" i="31"/>
  <c r="H21" i="31" s="1"/>
  <c r="C22" i="31"/>
  <c r="D22" i="31"/>
  <c r="E22" i="31"/>
  <c r="G22" i="31" s="1"/>
  <c r="F22" i="31"/>
  <c r="H22" i="31" s="1"/>
  <c r="B63" i="31"/>
  <c r="A17" i="31" s="1"/>
  <c r="B64" i="31"/>
  <c r="A18" i="31" s="1"/>
  <c r="B65" i="31"/>
  <c r="A19" i="31" s="1"/>
  <c r="B66" i="31"/>
  <c r="A20" i="31" s="1"/>
  <c r="B67" i="31"/>
  <c r="A21" i="31" s="1"/>
  <c r="B68" i="31"/>
  <c r="A22" i="31" s="1"/>
  <c r="B69" i="31"/>
  <c r="A23" i="31" s="1"/>
  <c r="B70" i="31"/>
  <c r="A24" i="31" s="1"/>
  <c r="B71" i="31"/>
  <c r="A25" i="31" s="1"/>
  <c r="B72" i="31"/>
  <c r="A26" i="31" s="1"/>
  <c r="B73" i="31"/>
  <c r="A27" i="31" s="1"/>
  <c r="A15" i="17"/>
  <c r="B15" i="17"/>
  <c r="C15" i="17"/>
  <c r="D15" i="17"/>
  <c r="E15" i="17"/>
  <c r="F15" i="17"/>
  <c r="G15" i="17"/>
  <c r="H15" i="17"/>
  <c r="I15" i="17"/>
  <c r="J15" i="17"/>
  <c r="K15" i="17"/>
  <c r="L15" i="17"/>
  <c r="M15" i="17"/>
  <c r="Q15" i="17" s="1"/>
  <c r="U15" i="17" s="1"/>
  <c r="N15" i="17"/>
  <c r="R15" i="17" s="1"/>
  <c r="O15" i="17"/>
  <c r="S15" i="17" s="1"/>
  <c r="T15" i="17"/>
  <c r="X15" i="17"/>
  <c r="A7" i="17"/>
  <c r="B7" i="17"/>
  <c r="C7" i="17"/>
  <c r="D7" i="17"/>
  <c r="E7" i="17"/>
  <c r="F7" i="17"/>
  <c r="G7" i="17"/>
  <c r="H7" i="17"/>
  <c r="I7" i="17"/>
  <c r="J7" i="17"/>
  <c r="K7" i="17"/>
  <c r="L7" i="17"/>
  <c r="M7" i="17"/>
  <c r="N7" i="17"/>
  <c r="R7" i="17" s="1"/>
  <c r="O7" i="17"/>
  <c r="Q7" i="17"/>
  <c r="U7" i="17" s="1"/>
  <c r="S7" i="17"/>
  <c r="T7" i="17"/>
  <c r="X7" i="17"/>
  <c r="A8" i="17"/>
  <c r="B8" i="17"/>
  <c r="C8" i="17"/>
  <c r="D8" i="17"/>
  <c r="E8" i="17"/>
  <c r="F8" i="17"/>
  <c r="G8" i="17"/>
  <c r="H8" i="17"/>
  <c r="I8" i="17"/>
  <c r="J8" i="17"/>
  <c r="K8" i="17"/>
  <c r="L8" i="17"/>
  <c r="M8" i="17"/>
  <c r="Q8" i="17" s="1"/>
  <c r="U8" i="17" s="1"/>
  <c r="N8" i="17"/>
  <c r="R8" i="17" s="1"/>
  <c r="O8" i="17"/>
  <c r="S8" i="17" s="1"/>
  <c r="T8" i="17"/>
  <c r="X8" i="17"/>
  <c r="A9" i="17"/>
  <c r="B9" i="17"/>
  <c r="C9" i="17"/>
  <c r="D9" i="17"/>
  <c r="E9" i="17"/>
  <c r="F9" i="17"/>
  <c r="G9" i="17"/>
  <c r="H9" i="17"/>
  <c r="I9" i="17"/>
  <c r="J9" i="17"/>
  <c r="K9" i="17"/>
  <c r="L9" i="17"/>
  <c r="M9" i="17"/>
  <c r="Q9" i="17" s="1"/>
  <c r="U9" i="17" s="1"/>
  <c r="N9" i="17"/>
  <c r="R9" i="17" s="1"/>
  <c r="O9" i="17"/>
  <c r="S9" i="17"/>
  <c r="T9" i="17"/>
  <c r="X9" i="17"/>
  <c r="A10" i="17"/>
  <c r="B10" i="17"/>
  <c r="C10" i="17"/>
  <c r="D10" i="17"/>
  <c r="E10" i="17"/>
  <c r="F10" i="17"/>
  <c r="G10" i="17"/>
  <c r="R10" i="17" s="1"/>
  <c r="H10" i="17"/>
  <c r="I10" i="17"/>
  <c r="J10" i="17"/>
  <c r="K10" i="17"/>
  <c r="L10" i="17"/>
  <c r="M10" i="17"/>
  <c r="Q10" i="17" s="1"/>
  <c r="N10" i="17"/>
  <c r="O10" i="17"/>
  <c r="T10" i="17"/>
  <c r="X10" i="17"/>
  <c r="A11" i="17"/>
  <c r="B11" i="17"/>
  <c r="C11" i="17"/>
  <c r="D11" i="17"/>
  <c r="E11" i="17"/>
  <c r="F11" i="17"/>
  <c r="G11" i="17"/>
  <c r="S11" i="17" s="1"/>
  <c r="H11" i="17"/>
  <c r="I11" i="17"/>
  <c r="J11" i="17"/>
  <c r="K11" i="17"/>
  <c r="L11" i="17"/>
  <c r="M11" i="17"/>
  <c r="Q11" i="17" s="1"/>
  <c r="N11" i="17"/>
  <c r="O11" i="17"/>
  <c r="T11" i="17"/>
  <c r="X11" i="17"/>
  <c r="A12" i="17"/>
  <c r="B12" i="17"/>
  <c r="C12" i="17"/>
  <c r="D12" i="17"/>
  <c r="E12" i="17"/>
  <c r="F12" i="17"/>
  <c r="G12" i="17"/>
  <c r="R12" i="17" s="1"/>
  <c r="H12" i="17"/>
  <c r="I12" i="17"/>
  <c r="J12" i="17"/>
  <c r="K12" i="17"/>
  <c r="L12" i="17"/>
  <c r="M12" i="17"/>
  <c r="N12" i="17"/>
  <c r="O12" i="17"/>
  <c r="T12" i="17"/>
  <c r="X12" i="17"/>
  <c r="A13" i="17"/>
  <c r="B13" i="17"/>
  <c r="C13" i="17"/>
  <c r="D13" i="17"/>
  <c r="E13" i="17"/>
  <c r="F13" i="17"/>
  <c r="G13" i="17"/>
  <c r="H13" i="17"/>
  <c r="I13" i="17"/>
  <c r="J13" i="17"/>
  <c r="K13" i="17"/>
  <c r="L13" i="17"/>
  <c r="M13" i="17"/>
  <c r="N13" i="17"/>
  <c r="O13" i="17"/>
  <c r="S13" i="17" s="1"/>
  <c r="Q13" i="17"/>
  <c r="T13" i="17"/>
  <c r="X13" i="17"/>
  <c r="A14" i="17"/>
  <c r="B14" i="17"/>
  <c r="C14" i="17"/>
  <c r="D14" i="17"/>
  <c r="E14" i="17"/>
  <c r="F14" i="17"/>
  <c r="G14" i="17"/>
  <c r="H14" i="17"/>
  <c r="I14" i="17"/>
  <c r="J14" i="17"/>
  <c r="K14" i="17"/>
  <c r="L14" i="17"/>
  <c r="M14" i="17"/>
  <c r="Q14" i="17" s="1"/>
  <c r="N14" i="17"/>
  <c r="R14" i="17" s="1"/>
  <c r="O14" i="17"/>
  <c r="T14" i="17"/>
  <c r="X14" i="17"/>
  <c r="J26" i="31" l="1"/>
  <c r="H25" i="31"/>
  <c r="K25" i="31" s="1"/>
  <c r="U10" i="17"/>
  <c r="S14" i="17"/>
  <c r="R13" i="17"/>
  <c r="U13" i="17" s="1"/>
  <c r="Q12" i="17"/>
  <c r="U12" i="17" s="1"/>
  <c r="R11" i="17"/>
  <c r="S10" i="17"/>
  <c r="J27" i="31"/>
  <c r="K27" i="31"/>
  <c r="K26" i="31"/>
  <c r="J24" i="31"/>
  <c r="K22" i="31"/>
  <c r="J22" i="31"/>
  <c r="H17" i="31"/>
  <c r="J25" i="31"/>
  <c r="K24" i="31"/>
  <c r="K21" i="31"/>
  <c r="J21" i="31"/>
  <c r="G18" i="31"/>
  <c r="J18" i="31" s="1"/>
  <c r="G17" i="31"/>
  <c r="H23" i="31"/>
  <c r="J23" i="31" s="1"/>
  <c r="G19" i="31"/>
  <c r="J20" i="31"/>
  <c r="K20" i="31"/>
  <c r="H19" i="31"/>
  <c r="U14" i="17"/>
  <c r="U11" i="17"/>
  <c r="S12" i="17"/>
  <c r="K17" i="31" l="1"/>
  <c r="K18" i="31"/>
  <c r="J19" i="31"/>
  <c r="J17" i="31"/>
  <c r="K23" i="31"/>
  <c r="K19" i="31"/>
  <c r="E53" i="17"/>
  <c r="E54" i="17" s="1"/>
  <c r="A6" i="17"/>
  <c r="B6" i="17"/>
  <c r="C6" i="17"/>
  <c r="D6" i="17"/>
  <c r="E6" i="17"/>
  <c r="F6" i="17"/>
  <c r="G6" i="17"/>
  <c r="Q6" i="17" s="1"/>
  <c r="H6" i="17"/>
  <c r="I6" i="17"/>
  <c r="J6" i="17"/>
  <c r="K6" i="17"/>
  <c r="L6" i="17"/>
  <c r="M6" i="17"/>
  <c r="N6" i="17"/>
  <c r="O6" i="17"/>
  <c r="T6" i="17"/>
  <c r="X6" i="17"/>
  <c r="F2" i="37"/>
  <c r="E2" i="37"/>
  <c r="G2" i="37" s="1"/>
  <c r="D2" i="37"/>
  <c r="C2" i="37"/>
  <c r="A2" i="37"/>
  <c r="C16" i="31"/>
  <c r="D16" i="31"/>
  <c r="E16" i="31"/>
  <c r="F16" i="31"/>
  <c r="B62" i="31"/>
  <c r="A16" i="31" s="1"/>
  <c r="S6" i="17" l="1"/>
  <c r="H2" i="37"/>
  <c r="G16" i="31"/>
  <c r="H16" i="31"/>
  <c r="K16" i="31" s="1"/>
  <c r="R6" i="17"/>
  <c r="U6" i="17"/>
  <c r="K2" i="37"/>
  <c r="J16" i="31"/>
  <c r="J2" i="37" l="1"/>
  <c r="M4" i="17"/>
  <c r="F12" i="31"/>
  <c r="C15" i="31"/>
  <c r="D15" i="31"/>
  <c r="E15" i="31"/>
  <c r="F15" i="31"/>
  <c r="B61" i="31"/>
  <c r="A15" i="31" s="1"/>
  <c r="F3" i="31"/>
  <c r="F4" i="31"/>
  <c r="F5" i="31"/>
  <c r="F6" i="31"/>
  <c r="F7" i="31"/>
  <c r="F8" i="31"/>
  <c r="F9" i="31"/>
  <c r="F10" i="31"/>
  <c r="F11" i="31"/>
  <c r="F13" i="31"/>
  <c r="F14" i="31"/>
  <c r="F2" i="31"/>
  <c r="C3" i="31"/>
  <c r="C4" i="31"/>
  <c r="C5" i="31"/>
  <c r="C6" i="31"/>
  <c r="C7" i="31"/>
  <c r="C8" i="31"/>
  <c r="C9" i="31"/>
  <c r="C10" i="31"/>
  <c r="C11" i="31"/>
  <c r="C12" i="31"/>
  <c r="C13" i="31"/>
  <c r="C14" i="31"/>
  <c r="C2" i="31"/>
  <c r="E2" i="31"/>
  <c r="D2" i="31"/>
  <c r="E12" i="31"/>
  <c r="E13" i="31"/>
  <c r="E14" i="31"/>
  <c r="E11" i="31"/>
  <c r="E10" i="31"/>
  <c r="E9" i="31"/>
  <c r="E8" i="31"/>
  <c r="E7" i="31"/>
  <c r="E6" i="31"/>
  <c r="E5" i="31"/>
  <c r="E4" i="31"/>
  <c r="E3" i="31"/>
  <c r="D3" i="31"/>
  <c r="D4" i="31"/>
  <c r="D5" i="31"/>
  <c r="D6" i="31"/>
  <c r="D7" i="31"/>
  <c r="D8" i="31"/>
  <c r="D9" i="31"/>
  <c r="D10" i="31"/>
  <c r="D11" i="31"/>
  <c r="D12" i="31"/>
  <c r="D13" i="31"/>
  <c r="D14" i="31"/>
  <c r="B48" i="31"/>
  <c r="A2" i="31" s="1"/>
  <c r="B60" i="31"/>
  <c r="A14" i="31" s="1"/>
  <c r="F43" i="31" l="1"/>
  <c r="D43" i="31"/>
  <c r="H15" i="31"/>
  <c r="G15" i="31"/>
  <c r="G14" i="31"/>
  <c r="G2" i="31"/>
  <c r="H14" i="31"/>
  <c r="H2" i="31"/>
  <c r="K15" i="31"/>
  <c r="G13" i="31"/>
  <c r="G12" i="31"/>
  <c r="D5" i="5"/>
  <c r="D6" i="5"/>
  <c r="J15" i="31" l="1"/>
  <c r="K14" i="31"/>
  <c r="J2" i="31"/>
  <c r="J14" i="31"/>
  <c r="AE16" i="36" l="1"/>
  <c r="AE6" i="36"/>
  <c r="AE7" i="36"/>
  <c r="AE8" i="36"/>
  <c r="AE9" i="36"/>
  <c r="AE10" i="36"/>
  <c r="AE11" i="36"/>
  <c r="AE12" i="36"/>
  <c r="AE5" i="36"/>
  <c r="T30" i="36"/>
  <c r="T6" i="36"/>
  <c r="T7" i="36"/>
  <c r="T8" i="36"/>
  <c r="T9" i="36"/>
  <c r="T10" i="36"/>
  <c r="T11" i="36"/>
  <c r="T12" i="36"/>
  <c r="T13" i="36"/>
  <c r="T14" i="36"/>
  <c r="T15" i="36"/>
  <c r="T16" i="36"/>
  <c r="T17" i="36"/>
  <c r="T18" i="36"/>
  <c r="T19" i="36"/>
  <c r="T20" i="36"/>
  <c r="T21" i="36"/>
  <c r="T22" i="36"/>
  <c r="T23" i="36"/>
  <c r="T24" i="36"/>
  <c r="T25" i="36"/>
  <c r="T26" i="36"/>
  <c r="T5" i="36"/>
  <c r="K35" i="36"/>
  <c r="O35" i="36" s="1"/>
  <c r="K34" i="36"/>
  <c r="L39" i="36"/>
  <c r="K39" i="36"/>
  <c r="L38" i="36"/>
  <c r="K38" i="36"/>
  <c r="P35" i="36"/>
  <c r="P34" i="36"/>
  <c r="L30" i="36"/>
  <c r="L28" i="36"/>
  <c r="K28" i="36"/>
  <c r="L27" i="36"/>
  <c r="K27" i="36"/>
  <c r="L26" i="36"/>
  <c r="K26" i="36"/>
  <c r="L25" i="36"/>
  <c r="K25" i="36"/>
  <c r="L24" i="36"/>
  <c r="K24" i="36"/>
  <c r="L19" i="36"/>
  <c r="K19" i="36"/>
  <c r="L18" i="36"/>
  <c r="K18" i="36"/>
  <c r="L17" i="36"/>
  <c r="K17" i="36"/>
  <c r="L16" i="36"/>
  <c r="K16" i="36"/>
  <c r="L15" i="36"/>
  <c r="K15" i="36"/>
  <c r="L14" i="36"/>
  <c r="K14" i="36"/>
  <c r="L13" i="36"/>
  <c r="K13" i="36"/>
  <c r="L12" i="36"/>
  <c r="K12" i="36"/>
  <c r="L11" i="36"/>
  <c r="K11" i="36"/>
  <c r="L10" i="36"/>
  <c r="K10" i="36"/>
  <c r="L9" i="36"/>
  <c r="K9" i="36"/>
  <c r="L8" i="36"/>
  <c r="K8" i="36"/>
  <c r="L7" i="36"/>
  <c r="K7" i="36"/>
  <c r="L6" i="36"/>
  <c r="K6" i="36"/>
  <c r="L5" i="36"/>
  <c r="K5" i="36"/>
  <c r="AG78" i="11"/>
  <c r="AG77" i="11"/>
  <c r="AK93" i="11"/>
  <c r="AG97" i="11"/>
  <c r="AG96" i="11"/>
  <c r="AL73" i="11"/>
  <c r="AG98" i="11"/>
  <c r="AK88" i="11"/>
  <c r="U7" i="36" l="1"/>
  <c r="U22" i="36"/>
  <c r="U14" i="36"/>
  <c r="U6" i="36"/>
  <c r="U21" i="36"/>
  <c r="U13" i="36"/>
  <c r="U20" i="36"/>
  <c r="U12" i="36"/>
  <c r="U19" i="36"/>
  <c r="U11" i="36"/>
  <c r="U5" i="36"/>
  <c r="U26" i="36"/>
  <c r="U18" i="36"/>
  <c r="U25" i="36"/>
  <c r="U17" i="36"/>
  <c r="U9" i="36"/>
  <c r="U24" i="36"/>
  <c r="U16" i="36"/>
  <c r="U8" i="36"/>
  <c r="U23" i="36"/>
  <c r="U15" i="36"/>
  <c r="P20" i="36"/>
  <c r="K30" i="36"/>
  <c r="L31" i="36"/>
  <c r="AE13" i="36"/>
  <c r="AE17" i="36" s="1"/>
  <c r="L21" i="36"/>
  <c r="T27" i="36"/>
  <c r="T31" i="36" s="1"/>
  <c r="K20" i="36"/>
  <c r="K21" i="36" s="1"/>
  <c r="O34" i="36"/>
  <c r="O29" i="36" s="1"/>
  <c r="P29" i="36"/>
  <c r="K29" i="36"/>
  <c r="K31" i="36" s="1"/>
  <c r="B8" i="12"/>
  <c r="C8" i="12"/>
  <c r="D8" i="12"/>
  <c r="E8" i="12"/>
  <c r="F8" i="12"/>
  <c r="G8" i="12"/>
  <c r="H8" i="12"/>
  <c r="I8" i="12"/>
  <c r="J8" i="12"/>
  <c r="K8" i="12"/>
  <c r="L8" i="12"/>
  <c r="M8" i="12"/>
  <c r="N8" i="12"/>
  <c r="O8" i="12"/>
  <c r="P8" i="12"/>
  <c r="Q8" i="12"/>
  <c r="R8" i="12"/>
  <c r="S8" i="12"/>
  <c r="T8" i="12"/>
  <c r="U8" i="12"/>
  <c r="V8" i="12"/>
  <c r="W8" i="12"/>
  <c r="X8" i="12"/>
  <c r="Y8" i="12"/>
  <c r="Z8" i="12"/>
  <c r="AA8" i="12"/>
  <c r="AB8" i="12"/>
  <c r="AC8" i="12"/>
  <c r="AD8" i="12"/>
  <c r="AE8" i="12"/>
  <c r="AF8" i="12"/>
  <c r="AG8" i="12"/>
  <c r="AH8" i="12"/>
  <c r="AI8" i="12"/>
  <c r="AJ8" i="12"/>
  <c r="AK8" i="12"/>
  <c r="AL8" i="12"/>
  <c r="AM8" i="12"/>
  <c r="AN8" i="12"/>
  <c r="AO8" i="12"/>
  <c r="AP8" i="12"/>
  <c r="AQ8" i="12"/>
  <c r="AR8" i="12"/>
  <c r="AS8" i="12"/>
  <c r="AT8" i="12"/>
  <c r="AU8" i="12"/>
  <c r="AV8" i="12"/>
  <c r="AW8" i="12"/>
  <c r="AZ8" i="12"/>
  <c r="BA8" i="12"/>
  <c r="BB8" i="12"/>
  <c r="BC8" i="12"/>
  <c r="BD8" i="12"/>
  <c r="BE8" i="12"/>
  <c r="BF8" i="12"/>
  <c r="BG8" i="12"/>
  <c r="BH8" i="12"/>
  <c r="BI8" i="12"/>
  <c r="BJ8" i="12"/>
  <c r="BK8" i="12"/>
  <c r="BN8" i="12"/>
  <c r="BO8" i="12"/>
  <c r="BP8" i="12"/>
  <c r="BQ8" i="12"/>
  <c r="BS8" i="12"/>
  <c r="BT8" i="12"/>
  <c r="BU8" i="12"/>
  <c r="BV8" i="12"/>
  <c r="BW8" i="12"/>
  <c r="BX8" i="12"/>
  <c r="BY8" i="12"/>
  <c r="BZ8" i="12"/>
  <c r="CA8" i="12"/>
  <c r="CB8" i="12"/>
  <c r="CC8" i="12"/>
  <c r="CD8" i="12"/>
  <c r="CE8" i="12"/>
  <c r="CF8" i="12"/>
  <c r="CG8" i="12"/>
  <c r="CH8" i="12"/>
  <c r="CI8" i="12"/>
  <c r="CJ8" i="12"/>
  <c r="CK8" i="12"/>
  <c r="CL8" i="12"/>
  <c r="CM8" i="12"/>
  <c r="CN8" i="12"/>
  <c r="CO8" i="12"/>
  <c r="CP8" i="12"/>
  <c r="CQ8" i="12"/>
  <c r="CR8" i="12"/>
  <c r="CS8" i="12"/>
  <c r="CT8" i="12"/>
  <c r="CU8" i="12"/>
  <c r="CV8" i="12"/>
  <c r="CW8" i="12"/>
  <c r="CX8" i="12"/>
  <c r="CY8" i="12"/>
  <c r="CZ8" i="12"/>
  <c r="DA8" i="12"/>
  <c r="DB8" i="12"/>
  <c r="DC8" i="12"/>
  <c r="B9" i="12"/>
  <c r="C9" i="12"/>
  <c r="D9" i="12"/>
  <c r="E9" i="12"/>
  <c r="F9" i="12"/>
  <c r="G9" i="12"/>
  <c r="H9" i="12"/>
  <c r="I9" i="12"/>
  <c r="J9" i="12"/>
  <c r="K9" i="12"/>
  <c r="L9" i="12"/>
  <c r="M9" i="12"/>
  <c r="N9" i="12"/>
  <c r="O9" i="12"/>
  <c r="P9" i="12"/>
  <c r="Q9" i="12"/>
  <c r="R9" i="12"/>
  <c r="S9" i="12"/>
  <c r="T9" i="12"/>
  <c r="U9" i="12"/>
  <c r="V9" i="12"/>
  <c r="W9" i="12"/>
  <c r="X9" i="12"/>
  <c r="Y9" i="12"/>
  <c r="Z9" i="12"/>
  <c r="AA9" i="12"/>
  <c r="AB9" i="12"/>
  <c r="AC9" i="12"/>
  <c r="AD9" i="12"/>
  <c r="AE9" i="12"/>
  <c r="AF9" i="12"/>
  <c r="AG9" i="12"/>
  <c r="AH9" i="12"/>
  <c r="AI9" i="12"/>
  <c r="AJ9" i="12"/>
  <c r="AK9" i="12"/>
  <c r="AL9" i="12"/>
  <c r="AM9" i="12"/>
  <c r="AN9" i="12"/>
  <c r="AO9" i="12"/>
  <c r="AP9" i="12"/>
  <c r="AQ9" i="12"/>
  <c r="AR9" i="12"/>
  <c r="AS9" i="12"/>
  <c r="AT9" i="12"/>
  <c r="AU9" i="12"/>
  <c r="AV9" i="12"/>
  <c r="AW9" i="12"/>
  <c r="AZ9" i="12"/>
  <c r="BA9" i="12"/>
  <c r="BB9" i="12"/>
  <c r="BC9" i="12"/>
  <c r="BD9" i="12"/>
  <c r="BE9" i="12"/>
  <c r="BF9" i="12"/>
  <c r="BG9" i="12"/>
  <c r="BH9" i="12"/>
  <c r="BI9" i="12"/>
  <c r="BJ9" i="12"/>
  <c r="BK9" i="12"/>
  <c r="BN9" i="12"/>
  <c r="BO9" i="12"/>
  <c r="BP9" i="12"/>
  <c r="BQ9" i="12"/>
  <c r="BS9" i="12"/>
  <c r="BT9" i="12"/>
  <c r="BU9" i="12"/>
  <c r="BV9" i="12"/>
  <c r="BW9" i="12"/>
  <c r="BX9" i="12"/>
  <c r="BY9" i="12"/>
  <c r="BZ9" i="12"/>
  <c r="CA9" i="12"/>
  <c r="CB9" i="12"/>
  <c r="CC9" i="12"/>
  <c r="CD9" i="12"/>
  <c r="CE9" i="12"/>
  <c r="CF9" i="12"/>
  <c r="CG9" i="12"/>
  <c r="CH9" i="12"/>
  <c r="CI9" i="12"/>
  <c r="CJ9" i="12"/>
  <c r="CK9" i="12"/>
  <c r="CL9" i="12"/>
  <c r="CM9" i="12"/>
  <c r="CN9" i="12"/>
  <c r="CO9" i="12"/>
  <c r="CP9" i="12"/>
  <c r="CQ9" i="12"/>
  <c r="CR9" i="12"/>
  <c r="CS9" i="12"/>
  <c r="CT9" i="12"/>
  <c r="CU9" i="12"/>
  <c r="CV9" i="12"/>
  <c r="CW9" i="12"/>
  <c r="CX9" i="12"/>
  <c r="CY9" i="12"/>
  <c r="CZ9" i="12"/>
  <c r="DA9" i="12"/>
  <c r="DB9" i="12"/>
  <c r="DC9" i="12"/>
  <c r="B10" i="12"/>
  <c r="C10" i="12"/>
  <c r="D10" i="12"/>
  <c r="E10" i="12"/>
  <c r="F10" i="12"/>
  <c r="G10" i="12"/>
  <c r="H10" i="12"/>
  <c r="I10" i="12"/>
  <c r="J10" i="12"/>
  <c r="K10" i="12"/>
  <c r="L10" i="12"/>
  <c r="M10" i="12"/>
  <c r="N10" i="12"/>
  <c r="O10" i="12"/>
  <c r="P10" i="12"/>
  <c r="Q10" i="12"/>
  <c r="R10" i="12"/>
  <c r="S10" i="12"/>
  <c r="T10" i="12"/>
  <c r="U10" i="12"/>
  <c r="V10" i="12"/>
  <c r="W10" i="12"/>
  <c r="X10" i="12"/>
  <c r="Y10" i="12"/>
  <c r="Z10" i="12"/>
  <c r="AA10" i="12"/>
  <c r="AB10" i="12"/>
  <c r="AC10" i="12"/>
  <c r="AD10" i="12"/>
  <c r="AE10" i="12"/>
  <c r="AF10" i="12"/>
  <c r="AG10" i="12"/>
  <c r="AH10" i="12"/>
  <c r="AI10" i="12"/>
  <c r="AJ10" i="12"/>
  <c r="AK10" i="12"/>
  <c r="AL10" i="12"/>
  <c r="AM10" i="12"/>
  <c r="AN10" i="12"/>
  <c r="AO10" i="12"/>
  <c r="AP10" i="12"/>
  <c r="AQ10" i="12"/>
  <c r="AR10" i="12"/>
  <c r="AS10" i="12"/>
  <c r="AT10" i="12"/>
  <c r="AU10" i="12"/>
  <c r="AV10" i="12"/>
  <c r="AW10" i="12"/>
  <c r="AZ10" i="12"/>
  <c r="BA10" i="12"/>
  <c r="BB10" i="12"/>
  <c r="BC10" i="12"/>
  <c r="BD10" i="12"/>
  <c r="BE10" i="12"/>
  <c r="BF10" i="12"/>
  <c r="BG10" i="12"/>
  <c r="BH10" i="12"/>
  <c r="BI10" i="12"/>
  <c r="BJ10" i="12"/>
  <c r="BK10" i="12"/>
  <c r="BN10" i="12"/>
  <c r="BO10" i="12"/>
  <c r="BP10" i="12"/>
  <c r="BQ10" i="12"/>
  <c r="BS10" i="12"/>
  <c r="BT10" i="12"/>
  <c r="BU10" i="12"/>
  <c r="BV10" i="12"/>
  <c r="BW10" i="12"/>
  <c r="BX10" i="12"/>
  <c r="BY10" i="12"/>
  <c r="BZ10" i="12"/>
  <c r="CA10" i="12"/>
  <c r="CB10" i="12"/>
  <c r="CC10" i="12"/>
  <c r="CD10" i="12"/>
  <c r="CE10" i="12"/>
  <c r="CF10" i="12"/>
  <c r="CG10" i="12"/>
  <c r="CH10" i="12"/>
  <c r="CI10" i="12"/>
  <c r="CJ10" i="12"/>
  <c r="CK10" i="12"/>
  <c r="CL10" i="12"/>
  <c r="CM10" i="12"/>
  <c r="CN10" i="12"/>
  <c r="CO10" i="12"/>
  <c r="CP10" i="12"/>
  <c r="CQ10" i="12"/>
  <c r="CR10" i="12"/>
  <c r="CS10" i="12"/>
  <c r="CT10" i="12"/>
  <c r="CU10" i="12"/>
  <c r="CV10" i="12"/>
  <c r="CW10" i="12"/>
  <c r="CX10" i="12"/>
  <c r="CY10" i="12"/>
  <c r="CZ10" i="12"/>
  <c r="DA10" i="12"/>
  <c r="DB10" i="12"/>
  <c r="DC10" i="12"/>
  <c r="B11" i="12"/>
  <c r="C11" i="12"/>
  <c r="D11" i="12"/>
  <c r="E11" i="12"/>
  <c r="F11" i="12"/>
  <c r="G11" i="12"/>
  <c r="H11" i="12"/>
  <c r="I11" i="12"/>
  <c r="J11" i="12"/>
  <c r="K11" i="12"/>
  <c r="L11" i="12"/>
  <c r="M11" i="12"/>
  <c r="N11" i="12"/>
  <c r="O11" i="12"/>
  <c r="P11" i="12"/>
  <c r="Q11" i="12"/>
  <c r="R11" i="12"/>
  <c r="S11" i="12"/>
  <c r="T11" i="12"/>
  <c r="U11" i="12"/>
  <c r="V11" i="12"/>
  <c r="W11" i="12"/>
  <c r="X11" i="12"/>
  <c r="Y11" i="12"/>
  <c r="Z11" i="12"/>
  <c r="AA11" i="12"/>
  <c r="AB11" i="12"/>
  <c r="AC11" i="12"/>
  <c r="AD11" i="12"/>
  <c r="AE11" i="12"/>
  <c r="AF11" i="12"/>
  <c r="AG11" i="12"/>
  <c r="AH11" i="12"/>
  <c r="AI11" i="12"/>
  <c r="AJ11" i="12"/>
  <c r="AK11" i="12"/>
  <c r="AL11" i="12"/>
  <c r="AM11" i="12"/>
  <c r="AN11" i="12"/>
  <c r="AO11" i="12"/>
  <c r="AP11" i="12"/>
  <c r="AQ11" i="12"/>
  <c r="AR11" i="12"/>
  <c r="AS11" i="12"/>
  <c r="AT11" i="12"/>
  <c r="AU11" i="12"/>
  <c r="AV11" i="12"/>
  <c r="AW11" i="12"/>
  <c r="AZ11" i="12"/>
  <c r="BA11" i="12"/>
  <c r="BB11" i="12"/>
  <c r="BC11" i="12"/>
  <c r="BD11" i="12"/>
  <c r="BE11" i="12"/>
  <c r="BF11" i="12"/>
  <c r="BG11" i="12"/>
  <c r="BH11" i="12"/>
  <c r="BI11" i="12"/>
  <c r="BJ11" i="12"/>
  <c r="BK11" i="12"/>
  <c r="BN11" i="12"/>
  <c r="BO11" i="12"/>
  <c r="BP11" i="12"/>
  <c r="BQ11" i="12"/>
  <c r="BS11" i="12"/>
  <c r="BT11" i="12"/>
  <c r="BU11" i="12"/>
  <c r="BV11" i="12"/>
  <c r="BW11" i="12"/>
  <c r="BX11" i="12"/>
  <c r="BY11" i="12"/>
  <c r="BZ11" i="12"/>
  <c r="CA11" i="12"/>
  <c r="CB11" i="12"/>
  <c r="CC11" i="12"/>
  <c r="CD11" i="12"/>
  <c r="CE11" i="12"/>
  <c r="CF11" i="12"/>
  <c r="CG11" i="12"/>
  <c r="CH11" i="12"/>
  <c r="CI11" i="12"/>
  <c r="CJ11" i="12"/>
  <c r="CK11" i="12"/>
  <c r="CL11" i="12"/>
  <c r="CM11" i="12"/>
  <c r="CN11" i="12"/>
  <c r="CO11" i="12"/>
  <c r="CP11" i="12"/>
  <c r="CQ11" i="12"/>
  <c r="CR11" i="12"/>
  <c r="CS11" i="12"/>
  <c r="CT11" i="12"/>
  <c r="CU11" i="12"/>
  <c r="CV11" i="12"/>
  <c r="CW11" i="12"/>
  <c r="CX11" i="12"/>
  <c r="CY11" i="12"/>
  <c r="CZ11" i="12"/>
  <c r="DA11" i="12"/>
  <c r="DB11" i="12"/>
  <c r="DC11" i="12"/>
  <c r="B12" i="12"/>
  <c r="C12" i="12"/>
  <c r="D12" i="12"/>
  <c r="E12" i="12"/>
  <c r="F12" i="12"/>
  <c r="G12" i="12"/>
  <c r="H12" i="12"/>
  <c r="I12" i="12"/>
  <c r="J12" i="12"/>
  <c r="K12" i="12"/>
  <c r="L12" i="12"/>
  <c r="M12" i="12"/>
  <c r="N12" i="12"/>
  <c r="O12" i="12"/>
  <c r="P12" i="12"/>
  <c r="Q12" i="12"/>
  <c r="R12" i="12"/>
  <c r="S12" i="12"/>
  <c r="T12" i="12"/>
  <c r="U12" i="12"/>
  <c r="V12" i="12"/>
  <c r="W12" i="12"/>
  <c r="X12" i="12"/>
  <c r="Y12" i="12"/>
  <c r="Z12" i="12"/>
  <c r="AA12" i="12"/>
  <c r="AB12" i="12"/>
  <c r="AC12" i="12"/>
  <c r="AD12" i="12"/>
  <c r="AE12" i="12"/>
  <c r="AF12" i="12"/>
  <c r="AG12" i="12"/>
  <c r="AH12" i="12"/>
  <c r="AI12" i="12"/>
  <c r="AJ12" i="12"/>
  <c r="AK12" i="12"/>
  <c r="AL12" i="12"/>
  <c r="AM12" i="12"/>
  <c r="AN12" i="12"/>
  <c r="AO12" i="12"/>
  <c r="AP12" i="12"/>
  <c r="AQ12" i="12"/>
  <c r="AR12" i="12"/>
  <c r="AS12" i="12"/>
  <c r="AT12" i="12"/>
  <c r="AU12" i="12"/>
  <c r="AV12" i="12"/>
  <c r="AW12" i="12"/>
  <c r="AZ12" i="12"/>
  <c r="BA12" i="12"/>
  <c r="BB12" i="12"/>
  <c r="BC12" i="12"/>
  <c r="BD12" i="12"/>
  <c r="BE12" i="12"/>
  <c r="BF12" i="12"/>
  <c r="BG12" i="12"/>
  <c r="BH12" i="12"/>
  <c r="BI12" i="12"/>
  <c r="BJ12" i="12"/>
  <c r="BK12" i="12"/>
  <c r="BN12" i="12"/>
  <c r="BO12" i="12"/>
  <c r="BP12" i="12"/>
  <c r="BQ12" i="12"/>
  <c r="BS12" i="12"/>
  <c r="BT12" i="12"/>
  <c r="BU12" i="12"/>
  <c r="BV12" i="12"/>
  <c r="BW12" i="12"/>
  <c r="BX12" i="12"/>
  <c r="BY12" i="12"/>
  <c r="BZ12" i="12"/>
  <c r="CA12" i="12"/>
  <c r="CB12" i="12"/>
  <c r="CC12" i="12"/>
  <c r="CD12" i="12"/>
  <c r="CE12" i="12"/>
  <c r="CF12" i="12"/>
  <c r="CG12" i="12"/>
  <c r="CH12" i="12"/>
  <c r="CI12" i="12"/>
  <c r="CJ12" i="12"/>
  <c r="CK12" i="12"/>
  <c r="CL12" i="12"/>
  <c r="CM12" i="12"/>
  <c r="CN12" i="12"/>
  <c r="CO12" i="12"/>
  <c r="CP12" i="12"/>
  <c r="CQ12" i="12"/>
  <c r="CR12" i="12"/>
  <c r="CS12" i="12"/>
  <c r="CT12" i="12"/>
  <c r="CU12" i="12"/>
  <c r="CV12" i="12"/>
  <c r="CW12" i="12"/>
  <c r="CX12" i="12"/>
  <c r="CY12" i="12"/>
  <c r="CZ12" i="12"/>
  <c r="DA12" i="12"/>
  <c r="DB12" i="12"/>
  <c r="DC12" i="12"/>
  <c r="B13" i="12"/>
  <c r="C13" i="12"/>
  <c r="D13" i="12"/>
  <c r="E13" i="12"/>
  <c r="F13" i="12"/>
  <c r="G13" i="12"/>
  <c r="H13" i="12"/>
  <c r="I13" i="12"/>
  <c r="J13" i="12"/>
  <c r="K13" i="12"/>
  <c r="L13" i="12"/>
  <c r="M13" i="12"/>
  <c r="N13" i="12"/>
  <c r="O13" i="12"/>
  <c r="P13" i="12"/>
  <c r="Q13" i="12"/>
  <c r="R13" i="12"/>
  <c r="S13" i="12"/>
  <c r="T13" i="12"/>
  <c r="U13" i="12"/>
  <c r="V13" i="12"/>
  <c r="W13" i="12"/>
  <c r="X13" i="12"/>
  <c r="Y13" i="12"/>
  <c r="Z13" i="12"/>
  <c r="AA13" i="12"/>
  <c r="AB13" i="12"/>
  <c r="AC13" i="12"/>
  <c r="AD13" i="12"/>
  <c r="AE13" i="12"/>
  <c r="AF13" i="12"/>
  <c r="AG13" i="12"/>
  <c r="AH13" i="12"/>
  <c r="AI13" i="12"/>
  <c r="AJ13" i="12"/>
  <c r="AK13" i="12"/>
  <c r="AL13" i="12"/>
  <c r="AM13" i="12"/>
  <c r="AN13" i="12"/>
  <c r="AO13" i="12"/>
  <c r="AP13" i="12"/>
  <c r="AQ13" i="12"/>
  <c r="AR13" i="12"/>
  <c r="AS13" i="12"/>
  <c r="AT13" i="12"/>
  <c r="AU13" i="12"/>
  <c r="AV13" i="12"/>
  <c r="AW13" i="12"/>
  <c r="AZ13" i="12"/>
  <c r="BA13" i="12"/>
  <c r="BB13" i="12"/>
  <c r="BC13" i="12"/>
  <c r="BD13" i="12"/>
  <c r="BE13" i="12"/>
  <c r="BF13" i="12"/>
  <c r="BG13" i="12"/>
  <c r="BH13" i="12"/>
  <c r="BI13" i="12"/>
  <c r="BJ13" i="12"/>
  <c r="BK13" i="12"/>
  <c r="BN13" i="12"/>
  <c r="BO13" i="12"/>
  <c r="BP13" i="12"/>
  <c r="BQ13" i="12"/>
  <c r="BS13" i="12"/>
  <c r="BT13" i="12"/>
  <c r="BU13" i="12"/>
  <c r="BV13" i="12"/>
  <c r="BW13" i="12"/>
  <c r="BX13" i="12"/>
  <c r="BY13" i="12"/>
  <c r="BZ13" i="12"/>
  <c r="CA13" i="12"/>
  <c r="CB13" i="12"/>
  <c r="CC13" i="12"/>
  <c r="CD13" i="12"/>
  <c r="CE13" i="12"/>
  <c r="CF13" i="12"/>
  <c r="CG13" i="12"/>
  <c r="CH13" i="12"/>
  <c r="CI13" i="12"/>
  <c r="CJ13" i="12"/>
  <c r="CK13" i="12"/>
  <c r="CL13" i="12"/>
  <c r="CM13" i="12"/>
  <c r="CN13" i="12"/>
  <c r="CO13" i="12"/>
  <c r="CP13" i="12"/>
  <c r="CQ13" i="12"/>
  <c r="CR13" i="12"/>
  <c r="CS13" i="12"/>
  <c r="CT13" i="12"/>
  <c r="CU13" i="12"/>
  <c r="CV13" i="12"/>
  <c r="CW13" i="12"/>
  <c r="CX13" i="12"/>
  <c r="CY13" i="12"/>
  <c r="CZ13" i="12"/>
  <c r="DA13" i="12"/>
  <c r="DB13" i="12"/>
  <c r="DC13" i="12"/>
  <c r="B14" i="12"/>
  <c r="C14" i="12"/>
  <c r="D14" i="12"/>
  <c r="E14" i="12"/>
  <c r="F14" i="12"/>
  <c r="G14" i="12"/>
  <c r="H14" i="12"/>
  <c r="I14" i="12"/>
  <c r="J14" i="12"/>
  <c r="K14" i="12"/>
  <c r="L14" i="12"/>
  <c r="M14" i="12"/>
  <c r="N14" i="12"/>
  <c r="O14" i="12"/>
  <c r="P14" i="12"/>
  <c r="Q14" i="12"/>
  <c r="R14" i="12"/>
  <c r="S14" i="12"/>
  <c r="T14" i="12"/>
  <c r="U14" i="12"/>
  <c r="V14" i="12"/>
  <c r="W14" i="12"/>
  <c r="X14" i="12"/>
  <c r="Y14" i="12"/>
  <c r="Z14" i="12"/>
  <c r="AA14" i="12"/>
  <c r="AB14" i="12"/>
  <c r="AC14" i="12"/>
  <c r="AD14" i="12"/>
  <c r="AE14" i="12"/>
  <c r="AF14" i="12"/>
  <c r="AG14" i="12"/>
  <c r="AH14" i="12"/>
  <c r="AI14" i="12"/>
  <c r="AJ14" i="12"/>
  <c r="AK14" i="12"/>
  <c r="AL14" i="12"/>
  <c r="AM14" i="12"/>
  <c r="AN14" i="12"/>
  <c r="AO14" i="12"/>
  <c r="AP14" i="12"/>
  <c r="AQ14" i="12"/>
  <c r="AR14" i="12"/>
  <c r="AS14" i="12"/>
  <c r="AT14" i="12"/>
  <c r="AU14" i="12"/>
  <c r="AV14" i="12"/>
  <c r="AW14" i="12"/>
  <c r="AZ14" i="12"/>
  <c r="BA14" i="12"/>
  <c r="BB14" i="12"/>
  <c r="BC14" i="12"/>
  <c r="BD14" i="12"/>
  <c r="BE14" i="12"/>
  <c r="BF14" i="12"/>
  <c r="BG14" i="12"/>
  <c r="BH14" i="12"/>
  <c r="BI14" i="12"/>
  <c r="BJ14" i="12"/>
  <c r="BK14" i="12"/>
  <c r="BN14" i="12"/>
  <c r="BO14" i="12"/>
  <c r="BP14" i="12"/>
  <c r="BQ14" i="12"/>
  <c r="BS14" i="12"/>
  <c r="BT14" i="12"/>
  <c r="BU14" i="12"/>
  <c r="BV14" i="12"/>
  <c r="BW14" i="12"/>
  <c r="BX14" i="12"/>
  <c r="BY14" i="12"/>
  <c r="BZ14" i="12"/>
  <c r="CA14" i="12"/>
  <c r="CB14" i="12"/>
  <c r="CC14" i="12"/>
  <c r="CD14" i="12"/>
  <c r="CE14" i="12"/>
  <c r="CF14" i="12"/>
  <c r="CG14" i="12"/>
  <c r="CH14" i="12"/>
  <c r="CI14" i="12"/>
  <c r="CJ14" i="12"/>
  <c r="CK14" i="12"/>
  <c r="CL14" i="12"/>
  <c r="CM14" i="12"/>
  <c r="CN14" i="12"/>
  <c r="CO14" i="12"/>
  <c r="CP14" i="12"/>
  <c r="CQ14" i="12"/>
  <c r="CR14" i="12"/>
  <c r="CS14" i="12"/>
  <c r="CT14" i="12"/>
  <c r="CU14" i="12"/>
  <c r="CV14" i="12"/>
  <c r="CW14" i="12"/>
  <c r="CX14" i="12"/>
  <c r="CY14" i="12"/>
  <c r="CZ14" i="12"/>
  <c r="DA14" i="12"/>
  <c r="DB14" i="12"/>
  <c r="DC14" i="12"/>
  <c r="B15" i="12"/>
  <c r="C15" i="12"/>
  <c r="D15" i="12"/>
  <c r="E15" i="12"/>
  <c r="F15" i="12"/>
  <c r="G15" i="12"/>
  <c r="H15" i="12"/>
  <c r="I15" i="12"/>
  <c r="J15" i="12"/>
  <c r="K15" i="12"/>
  <c r="L15" i="12"/>
  <c r="M15" i="12"/>
  <c r="N15" i="12"/>
  <c r="O15" i="12"/>
  <c r="P15" i="12"/>
  <c r="Q15" i="12"/>
  <c r="R15" i="12"/>
  <c r="S15" i="12"/>
  <c r="T15" i="12"/>
  <c r="U15" i="12"/>
  <c r="V15" i="12"/>
  <c r="W15" i="12"/>
  <c r="X15" i="12"/>
  <c r="Y15" i="12"/>
  <c r="Z15" i="12"/>
  <c r="AA15" i="12"/>
  <c r="AB15" i="12"/>
  <c r="AC15" i="12"/>
  <c r="AD15" i="12"/>
  <c r="AE15" i="12"/>
  <c r="AF15" i="12"/>
  <c r="AG15" i="12"/>
  <c r="AH15" i="12"/>
  <c r="AI15" i="12"/>
  <c r="AJ15" i="12"/>
  <c r="AK15" i="12"/>
  <c r="AL15" i="12"/>
  <c r="AM15" i="12"/>
  <c r="AN15" i="12"/>
  <c r="AO15" i="12"/>
  <c r="AP15" i="12"/>
  <c r="AQ15" i="12"/>
  <c r="AR15" i="12"/>
  <c r="AS15" i="12"/>
  <c r="AT15" i="12"/>
  <c r="AU15" i="12"/>
  <c r="AV15" i="12"/>
  <c r="AW15" i="12"/>
  <c r="AZ15" i="12"/>
  <c r="BA15" i="12"/>
  <c r="BB15" i="12"/>
  <c r="BC15" i="12"/>
  <c r="BD15" i="12"/>
  <c r="BE15" i="12"/>
  <c r="BF15" i="12"/>
  <c r="BG15" i="12"/>
  <c r="BH15" i="12"/>
  <c r="BI15" i="12"/>
  <c r="BJ15" i="12"/>
  <c r="BK15" i="12"/>
  <c r="BN15" i="12"/>
  <c r="BO15" i="12"/>
  <c r="BP15" i="12"/>
  <c r="BQ15" i="12"/>
  <c r="BS15" i="12"/>
  <c r="BT15" i="12"/>
  <c r="BU15" i="12"/>
  <c r="BV15" i="12"/>
  <c r="BW15" i="12"/>
  <c r="BX15" i="12"/>
  <c r="BY15" i="12"/>
  <c r="BZ15" i="12"/>
  <c r="CA15" i="12"/>
  <c r="CB15" i="12"/>
  <c r="CC15" i="12"/>
  <c r="CD15" i="12"/>
  <c r="CE15" i="12"/>
  <c r="CF15" i="12"/>
  <c r="CG15" i="12"/>
  <c r="CH15" i="12"/>
  <c r="CI15" i="12"/>
  <c r="CJ15" i="12"/>
  <c r="CK15" i="12"/>
  <c r="CL15" i="12"/>
  <c r="CM15" i="12"/>
  <c r="CN15" i="12"/>
  <c r="CO15" i="12"/>
  <c r="CP15" i="12"/>
  <c r="CQ15" i="12"/>
  <c r="CR15" i="12"/>
  <c r="CS15" i="12"/>
  <c r="CT15" i="12"/>
  <c r="CU15" i="12"/>
  <c r="CV15" i="12"/>
  <c r="CW15" i="12"/>
  <c r="CX15" i="12"/>
  <c r="CY15" i="12"/>
  <c r="CZ15" i="12"/>
  <c r="DA15" i="12"/>
  <c r="DB15" i="12"/>
  <c r="DC15" i="12"/>
  <c r="B16" i="12"/>
  <c r="C16" i="12"/>
  <c r="D16" i="12"/>
  <c r="E16" i="12"/>
  <c r="F16" i="12"/>
  <c r="G16" i="12"/>
  <c r="H16" i="12"/>
  <c r="I16" i="12"/>
  <c r="J16" i="12"/>
  <c r="K16" i="12"/>
  <c r="L16" i="12"/>
  <c r="M16" i="12"/>
  <c r="N16" i="12"/>
  <c r="O16" i="12"/>
  <c r="P16" i="12"/>
  <c r="Q16" i="12"/>
  <c r="R16" i="12"/>
  <c r="S16" i="12"/>
  <c r="T16" i="12"/>
  <c r="U16" i="12"/>
  <c r="V16" i="12"/>
  <c r="W16" i="12"/>
  <c r="X16" i="12"/>
  <c r="Y16" i="12"/>
  <c r="Z16" i="12"/>
  <c r="AA16" i="12"/>
  <c r="AB16" i="12"/>
  <c r="AC16" i="12"/>
  <c r="AD16" i="12"/>
  <c r="AE16" i="12"/>
  <c r="AF16" i="12"/>
  <c r="AG16" i="12"/>
  <c r="AH16" i="12"/>
  <c r="AI16" i="12"/>
  <c r="AJ16" i="12"/>
  <c r="AK16" i="12"/>
  <c r="AL16" i="12"/>
  <c r="AM16" i="12"/>
  <c r="AN16" i="12"/>
  <c r="AO16" i="12"/>
  <c r="AP16" i="12"/>
  <c r="AQ16" i="12"/>
  <c r="AR16" i="12"/>
  <c r="AS16" i="12"/>
  <c r="AT16" i="12"/>
  <c r="AU16" i="12"/>
  <c r="AV16" i="12"/>
  <c r="AW16" i="12"/>
  <c r="AZ16" i="12"/>
  <c r="BA16" i="12"/>
  <c r="BB16" i="12"/>
  <c r="BC16" i="12"/>
  <c r="BD16" i="12"/>
  <c r="BE16" i="12"/>
  <c r="BF16" i="12"/>
  <c r="BG16" i="12"/>
  <c r="BH16" i="12"/>
  <c r="BI16" i="12"/>
  <c r="BJ16" i="12"/>
  <c r="BK16" i="12"/>
  <c r="BN16" i="12"/>
  <c r="BO16" i="12"/>
  <c r="BP16" i="12"/>
  <c r="BQ16" i="12"/>
  <c r="BS16" i="12"/>
  <c r="BT16" i="12"/>
  <c r="BU16" i="12"/>
  <c r="BV16" i="12"/>
  <c r="BW16" i="12"/>
  <c r="BX16" i="12"/>
  <c r="BY16" i="12"/>
  <c r="BZ16" i="12"/>
  <c r="CA16" i="12"/>
  <c r="CB16" i="12"/>
  <c r="CC16" i="12"/>
  <c r="CD16" i="12"/>
  <c r="CE16" i="12"/>
  <c r="CF16" i="12"/>
  <c r="CG16" i="12"/>
  <c r="CH16" i="12"/>
  <c r="CI16" i="12"/>
  <c r="CJ16" i="12"/>
  <c r="CK16" i="12"/>
  <c r="CL16" i="12"/>
  <c r="CM16" i="12"/>
  <c r="CN16" i="12"/>
  <c r="CO16" i="12"/>
  <c r="CP16" i="12"/>
  <c r="CQ16" i="12"/>
  <c r="CR16" i="12"/>
  <c r="CS16" i="12"/>
  <c r="CT16" i="12"/>
  <c r="CU16" i="12"/>
  <c r="CV16" i="12"/>
  <c r="CW16" i="12"/>
  <c r="CX16" i="12"/>
  <c r="CY16" i="12"/>
  <c r="CZ16" i="12"/>
  <c r="DA16" i="12"/>
  <c r="DB16" i="12"/>
  <c r="DC16" i="12"/>
  <c r="B17" i="12"/>
  <c r="C17" i="12"/>
  <c r="D17" i="12"/>
  <c r="E17" i="12"/>
  <c r="F17" i="12"/>
  <c r="G17" i="12"/>
  <c r="H17" i="12"/>
  <c r="I17" i="12"/>
  <c r="J17" i="12"/>
  <c r="K17" i="12"/>
  <c r="L17" i="12"/>
  <c r="M17" i="12"/>
  <c r="N17" i="12"/>
  <c r="O17" i="12"/>
  <c r="P17" i="12"/>
  <c r="Q17" i="12"/>
  <c r="R17" i="12"/>
  <c r="S17" i="12"/>
  <c r="T17" i="12"/>
  <c r="U17" i="12"/>
  <c r="V17" i="12"/>
  <c r="W17" i="12"/>
  <c r="X17" i="12"/>
  <c r="Y17" i="12"/>
  <c r="Z17" i="12"/>
  <c r="AA17" i="12"/>
  <c r="AB17" i="12"/>
  <c r="AC17" i="12"/>
  <c r="AD17" i="12"/>
  <c r="AE17" i="12"/>
  <c r="AF17" i="12"/>
  <c r="AG17" i="12"/>
  <c r="AH17" i="12"/>
  <c r="AI17" i="12"/>
  <c r="AJ17" i="12"/>
  <c r="AK17" i="12"/>
  <c r="AL17" i="12"/>
  <c r="AM17" i="12"/>
  <c r="AN17" i="12"/>
  <c r="AO17" i="12"/>
  <c r="AP17" i="12"/>
  <c r="AQ17" i="12"/>
  <c r="AR17" i="12"/>
  <c r="AS17" i="12"/>
  <c r="AT17" i="12"/>
  <c r="AU17" i="12"/>
  <c r="AV17" i="12"/>
  <c r="AW17" i="12"/>
  <c r="AZ17" i="12"/>
  <c r="BA17" i="12"/>
  <c r="BB17" i="12"/>
  <c r="BC17" i="12"/>
  <c r="BD17" i="12"/>
  <c r="BE17" i="12"/>
  <c r="BF17" i="12"/>
  <c r="BG17" i="12"/>
  <c r="BH17" i="12"/>
  <c r="BI17" i="12"/>
  <c r="BJ17" i="12"/>
  <c r="BK17" i="12"/>
  <c r="BN17" i="12"/>
  <c r="BO17" i="12"/>
  <c r="BP17" i="12"/>
  <c r="BQ17" i="12"/>
  <c r="BS17" i="12"/>
  <c r="BT17" i="12"/>
  <c r="BU17" i="12"/>
  <c r="BV17" i="12"/>
  <c r="BW17" i="12"/>
  <c r="BX17" i="12"/>
  <c r="BY17" i="12"/>
  <c r="BZ17" i="12"/>
  <c r="CA17" i="12"/>
  <c r="CB17" i="12"/>
  <c r="CC17" i="12"/>
  <c r="CD17" i="12"/>
  <c r="CE17" i="12"/>
  <c r="CF17" i="12"/>
  <c r="CG17" i="12"/>
  <c r="CH17" i="12"/>
  <c r="CI17" i="12"/>
  <c r="CJ17" i="12"/>
  <c r="CK17" i="12"/>
  <c r="CL17" i="12"/>
  <c r="CM17" i="12"/>
  <c r="CN17" i="12"/>
  <c r="CO17" i="12"/>
  <c r="CP17" i="12"/>
  <c r="CQ17" i="12"/>
  <c r="CR17" i="12"/>
  <c r="CS17" i="12"/>
  <c r="CT17" i="12"/>
  <c r="CU17" i="12"/>
  <c r="CV17" i="12"/>
  <c r="CW17" i="12"/>
  <c r="CX17" i="12"/>
  <c r="CY17" i="12"/>
  <c r="CZ17" i="12"/>
  <c r="DA17" i="12"/>
  <c r="DB17" i="12"/>
  <c r="DC17" i="12"/>
  <c r="B18" i="12"/>
  <c r="C18" i="12"/>
  <c r="D18" i="12"/>
  <c r="E18" i="12"/>
  <c r="F18" i="12"/>
  <c r="G18" i="12"/>
  <c r="H18" i="12"/>
  <c r="I18" i="12"/>
  <c r="J18" i="12"/>
  <c r="K18" i="12"/>
  <c r="L18" i="12"/>
  <c r="M18" i="12"/>
  <c r="N18" i="12"/>
  <c r="O18" i="12"/>
  <c r="P18" i="12"/>
  <c r="Q18" i="12"/>
  <c r="R18" i="12"/>
  <c r="S18" i="12"/>
  <c r="T18" i="12"/>
  <c r="U18" i="12"/>
  <c r="V18" i="12"/>
  <c r="W18" i="12"/>
  <c r="X18" i="12"/>
  <c r="Y18" i="12"/>
  <c r="Z18" i="12"/>
  <c r="AA18" i="12"/>
  <c r="AB18" i="12"/>
  <c r="AC18" i="12"/>
  <c r="AD18" i="12"/>
  <c r="AE18" i="12"/>
  <c r="AF18" i="12"/>
  <c r="AG18" i="12"/>
  <c r="AH18" i="12"/>
  <c r="AI18" i="12"/>
  <c r="AJ18" i="12"/>
  <c r="AK18" i="12"/>
  <c r="AL18" i="12"/>
  <c r="AM18" i="12"/>
  <c r="AN18" i="12"/>
  <c r="AO18" i="12"/>
  <c r="AP18" i="12"/>
  <c r="AQ18" i="12"/>
  <c r="AR18" i="12"/>
  <c r="AS18" i="12"/>
  <c r="AT18" i="12"/>
  <c r="AU18" i="12"/>
  <c r="AV18" i="12"/>
  <c r="AW18" i="12"/>
  <c r="AZ18" i="12"/>
  <c r="BA18" i="12"/>
  <c r="BB18" i="12"/>
  <c r="BC18" i="12"/>
  <c r="BD18" i="12"/>
  <c r="BE18" i="12"/>
  <c r="BF18" i="12"/>
  <c r="BG18" i="12"/>
  <c r="BH18" i="12"/>
  <c r="BI18" i="12"/>
  <c r="BJ18" i="12"/>
  <c r="BK18" i="12"/>
  <c r="BN18" i="12"/>
  <c r="BO18" i="12"/>
  <c r="BP18" i="12"/>
  <c r="BQ18" i="12"/>
  <c r="BS18" i="12"/>
  <c r="BT18" i="12"/>
  <c r="BU18" i="12"/>
  <c r="BV18" i="12"/>
  <c r="BW18" i="12"/>
  <c r="BX18" i="12"/>
  <c r="BY18" i="12"/>
  <c r="BZ18" i="12"/>
  <c r="CA18" i="12"/>
  <c r="CB18" i="12"/>
  <c r="CC18" i="12"/>
  <c r="CD18" i="12"/>
  <c r="CE18" i="12"/>
  <c r="CF18" i="12"/>
  <c r="CG18" i="12"/>
  <c r="CH18" i="12"/>
  <c r="CI18" i="12"/>
  <c r="CJ18" i="12"/>
  <c r="CK18" i="12"/>
  <c r="CL18" i="12"/>
  <c r="CM18" i="12"/>
  <c r="CN18" i="12"/>
  <c r="CO18" i="12"/>
  <c r="CP18" i="12"/>
  <c r="CQ18" i="12"/>
  <c r="CR18" i="12"/>
  <c r="CS18" i="12"/>
  <c r="CT18" i="12"/>
  <c r="CU18" i="12"/>
  <c r="CV18" i="12"/>
  <c r="CW18" i="12"/>
  <c r="CX18" i="12"/>
  <c r="CY18" i="12"/>
  <c r="CZ18" i="12"/>
  <c r="DA18" i="12"/>
  <c r="DB18" i="12"/>
  <c r="DC18" i="12"/>
  <c r="B19" i="12"/>
  <c r="C19" i="12"/>
  <c r="D19" i="12"/>
  <c r="E19" i="12"/>
  <c r="F19" i="12"/>
  <c r="G19" i="12"/>
  <c r="H19" i="12"/>
  <c r="I19" i="12"/>
  <c r="J19" i="12"/>
  <c r="K19" i="12"/>
  <c r="L19" i="12"/>
  <c r="M19" i="12"/>
  <c r="N19" i="12"/>
  <c r="O19" i="12"/>
  <c r="P19" i="12"/>
  <c r="Q19" i="12"/>
  <c r="R19" i="12"/>
  <c r="S19" i="12"/>
  <c r="T19" i="12"/>
  <c r="U19" i="12"/>
  <c r="V19" i="12"/>
  <c r="W19" i="12"/>
  <c r="X19" i="12"/>
  <c r="Y19" i="12"/>
  <c r="Z19" i="12"/>
  <c r="AA19" i="12"/>
  <c r="AB19" i="12"/>
  <c r="AC19" i="12"/>
  <c r="AD19" i="12"/>
  <c r="AE19" i="12"/>
  <c r="AF19" i="12"/>
  <c r="AG19" i="12"/>
  <c r="AH19" i="12"/>
  <c r="AI19" i="12"/>
  <c r="AJ19" i="12"/>
  <c r="AK19" i="12"/>
  <c r="AL19" i="12"/>
  <c r="AM19" i="12"/>
  <c r="AN19" i="12"/>
  <c r="AO19" i="12"/>
  <c r="AP19" i="12"/>
  <c r="AQ19" i="12"/>
  <c r="AR19" i="12"/>
  <c r="AS19" i="12"/>
  <c r="AT19" i="12"/>
  <c r="AU19" i="12"/>
  <c r="AV19" i="12"/>
  <c r="AW19" i="12"/>
  <c r="AZ19" i="12"/>
  <c r="BA19" i="12"/>
  <c r="BB19" i="12"/>
  <c r="BC19" i="12"/>
  <c r="BD19" i="12"/>
  <c r="BE19" i="12"/>
  <c r="BF19" i="12"/>
  <c r="BG19" i="12"/>
  <c r="BH19" i="12"/>
  <c r="BI19" i="12"/>
  <c r="BJ19" i="12"/>
  <c r="BK19" i="12"/>
  <c r="BN19" i="12"/>
  <c r="BO19" i="12"/>
  <c r="BP19" i="12"/>
  <c r="BQ19" i="12"/>
  <c r="BS19" i="12"/>
  <c r="BT19" i="12"/>
  <c r="BU19" i="12"/>
  <c r="BV19" i="12"/>
  <c r="BW19" i="12"/>
  <c r="BX19" i="12"/>
  <c r="BY19" i="12"/>
  <c r="BZ19" i="12"/>
  <c r="CA19" i="12"/>
  <c r="CB19" i="12"/>
  <c r="CC19" i="12"/>
  <c r="CD19" i="12"/>
  <c r="CE19" i="12"/>
  <c r="CF19" i="12"/>
  <c r="CG19" i="12"/>
  <c r="CH19" i="12"/>
  <c r="CI19" i="12"/>
  <c r="CJ19" i="12"/>
  <c r="CK19" i="12"/>
  <c r="CL19" i="12"/>
  <c r="CM19" i="12"/>
  <c r="CN19" i="12"/>
  <c r="CO19" i="12"/>
  <c r="CP19" i="12"/>
  <c r="CQ19" i="12"/>
  <c r="CR19" i="12"/>
  <c r="CS19" i="12"/>
  <c r="CT19" i="12"/>
  <c r="CU19" i="12"/>
  <c r="CV19" i="12"/>
  <c r="CW19" i="12"/>
  <c r="CX19" i="12"/>
  <c r="CY19" i="12"/>
  <c r="CZ19" i="12"/>
  <c r="DA19" i="12"/>
  <c r="DB19" i="12"/>
  <c r="DC19" i="12"/>
  <c r="B20" i="12"/>
  <c r="C20" i="12"/>
  <c r="D20" i="12"/>
  <c r="E20" i="12"/>
  <c r="F20" i="12"/>
  <c r="G20" i="12"/>
  <c r="H20" i="12"/>
  <c r="I20" i="12"/>
  <c r="J20" i="12"/>
  <c r="K20" i="12"/>
  <c r="L20" i="12"/>
  <c r="M20" i="12"/>
  <c r="N20" i="12"/>
  <c r="O20" i="12"/>
  <c r="P20" i="12"/>
  <c r="Q20" i="12"/>
  <c r="R20" i="12"/>
  <c r="S20" i="12"/>
  <c r="T20" i="12"/>
  <c r="U20" i="12"/>
  <c r="V20" i="12"/>
  <c r="W20" i="12"/>
  <c r="X20" i="12"/>
  <c r="Y20" i="12"/>
  <c r="Z20" i="12"/>
  <c r="AA20" i="12"/>
  <c r="AB20" i="12"/>
  <c r="AC20" i="12"/>
  <c r="AD20" i="12"/>
  <c r="AE20" i="12"/>
  <c r="AF20" i="12"/>
  <c r="AG20" i="12"/>
  <c r="AH20" i="12"/>
  <c r="AI20" i="12"/>
  <c r="AJ20" i="12"/>
  <c r="AK20" i="12"/>
  <c r="AL20" i="12"/>
  <c r="AM20" i="12"/>
  <c r="AN20" i="12"/>
  <c r="AO20" i="12"/>
  <c r="AP20" i="12"/>
  <c r="AQ20" i="12"/>
  <c r="AR20" i="12"/>
  <c r="AS20" i="12"/>
  <c r="AT20" i="12"/>
  <c r="AU20" i="12"/>
  <c r="AV20" i="12"/>
  <c r="AW20" i="12"/>
  <c r="AZ20" i="12"/>
  <c r="BA20" i="12"/>
  <c r="BB20" i="12"/>
  <c r="BC20" i="12"/>
  <c r="BD20" i="12"/>
  <c r="BE20" i="12"/>
  <c r="BF20" i="12"/>
  <c r="BG20" i="12"/>
  <c r="BH20" i="12"/>
  <c r="BI20" i="12"/>
  <c r="BJ20" i="12"/>
  <c r="BK20" i="12"/>
  <c r="BN20" i="12"/>
  <c r="BO20" i="12"/>
  <c r="BP20" i="12"/>
  <c r="BQ20" i="12"/>
  <c r="BS20" i="12"/>
  <c r="BT20" i="12"/>
  <c r="BU20" i="12"/>
  <c r="BV20" i="12"/>
  <c r="BW20" i="12"/>
  <c r="BX20" i="12"/>
  <c r="BY20" i="12"/>
  <c r="BZ20" i="12"/>
  <c r="CA20" i="12"/>
  <c r="CB20" i="12"/>
  <c r="CC20" i="12"/>
  <c r="CD20" i="12"/>
  <c r="CE20" i="12"/>
  <c r="CF20" i="12"/>
  <c r="CG20" i="12"/>
  <c r="CH20" i="12"/>
  <c r="CI20" i="12"/>
  <c r="CJ20" i="12"/>
  <c r="CK20" i="12"/>
  <c r="CL20" i="12"/>
  <c r="CM20" i="12"/>
  <c r="CN20" i="12"/>
  <c r="CO20" i="12"/>
  <c r="CP20" i="12"/>
  <c r="CQ20" i="12"/>
  <c r="CR20" i="12"/>
  <c r="CS20" i="12"/>
  <c r="CT20" i="12"/>
  <c r="CU20" i="12"/>
  <c r="CV20" i="12"/>
  <c r="CW20" i="12"/>
  <c r="CX20" i="12"/>
  <c r="CY20" i="12"/>
  <c r="CZ20" i="12"/>
  <c r="DA20" i="12"/>
  <c r="DB20" i="12"/>
  <c r="DC20" i="12"/>
  <c r="B21" i="12"/>
  <c r="C21" i="12"/>
  <c r="D21" i="12"/>
  <c r="E21" i="12"/>
  <c r="F21" i="12"/>
  <c r="G21" i="12"/>
  <c r="H21" i="12"/>
  <c r="I21" i="12"/>
  <c r="J21" i="12"/>
  <c r="K21" i="12"/>
  <c r="L21" i="12"/>
  <c r="M21" i="12"/>
  <c r="N21" i="12"/>
  <c r="O21" i="12"/>
  <c r="P21" i="12"/>
  <c r="Q21" i="12"/>
  <c r="R21" i="12"/>
  <c r="S21" i="12"/>
  <c r="T21" i="12"/>
  <c r="U21" i="12"/>
  <c r="V21" i="12"/>
  <c r="W21" i="12"/>
  <c r="X21" i="12"/>
  <c r="Y21" i="12"/>
  <c r="Z21" i="12"/>
  <c r="AA21" i="12"/>
  <c r="AB21" i="12"/>
  <c r="AC21" i="12"/>
  <c r="AD21" i="12"/>
  <c r="AE21" i="12"/>
  <c r="AF21" i="12"/>
  <c r="AG21" i="12"/>
  <c r="AH21" i="12"/>
  <c r="AI21" i="12"/>
  <c r="AJ21" i="12"/>
  <c r="AK21" i="12"/>
  <c r="AL21" i="12"/>
  <c r="AM21" i="12"/>
  <c r="AN21" i="12"/>
  <c r="AO21" i="12"/>
  <c r="AP21" i="12"/>
  <c r="AQ21" i="12"/>
  <c r="AR21" i="12"/>
  <c r="AS21" i="12"/>
  <c r="AT21" i="12"/>
  <c r="AU21" i="12"/>
  <c r="AV21" i="12"/>
  <c r="AW21" i="12"/>
  <c r="AZ21" i="12"/>
  <c r="BA21" i="12"/>
  <c r="BB21" i="12"/>
  <c r="BC21" i="12"/>
  <c r="BD21" i="12"/>
  <c r="BE21" i="12"/>
  <c r="BF21" i="12"/>
  <c r="BG21" i="12"/>
  <c r="BH21" i="12"/>
  <c r="BI21" i="12"/>
  <c r="BJ21" i="12"/>
  <c r="BK21" i="12"/>
  <c r="BN21" i="12"/>
  <c r="BO21" i="12"/>
  <c r="BP21" i="12"/>
  <c r="BQ21" i="12"/>
  <c r="BS21" i="12"/>
  <c r="BT21" i="12"/>
  <c r="BU21" i="12"/>
  <c r="BV21" i="12"/>
  <c r="BW21" i="12"/>
  <c r="BX21" i="12"/>
  <c r="BY21" i="12"/>
  <c r="BZ21" i="12"/>
  <c r="CA21" i="12"/>
  <c r="CB21" i="12"/>
  <c r="CC21" i="12"/>
  <c r="CD21" i="12"/>
  <c r="CE21" i="12"/>
  <c r="CF21" i="12"/>
  <c r="CG21" i="12"/>
  <c r="CH21" i="12"/>
  <c r="CI21" i="12"/>
  <c r="CJ21" i="12"/>
  <c r="CK21" i="12"/>
  <c r="CL21" i="12"/>
  <c r="CM21" i="12"/>
  <c r="CN21" i="12"/>
  <c r="CO21" i="12"/>
  <c r="CP21" i="12"/>
  <c r="CQ21" i="12"/>
  <c r="CR21" i="12"/>
  <c r="CS21" i="12"/>
  <c r="CT21" i="12"/>
  <c r="CU21" i="12"/>
  <c r="CV21" i="12"/>
  <c r="CW21" i="12"/>
  <c r="CX21" i="12"/>
  <c r="CY21" i="12"/>
  <c r="CZ21" i="12"/>
  <c r="DA21" i="12"/>
  <c r="DB21" i="12"/>
  <c r="DC21" i="12"/>
  <c r="B22" i="12"/>
  <c r="C22" i="12"/>
  <c r="D22" i="12"/>
  <c r="E22" i="12"/>
  <c r="F22" i="12"/>
  <c r="G22" i="12"/>
  <c r="H22" i="12"/>
  <c r="I22" i="12"/>
  <c r="J22" i="12"/>
  <c r="K22" i="12"/>
  <c r="L22" i="12"/>
  <c r="M22" i="12"/>
  <c r="N22" i="12"/>
  <c r="O22" i="12"/>
  <c r="P22" i="12"/>
  <c r="Q22" i="12"/>
  <c r="R22" i="12"/>
  <c r="S22" i="12"/>
  <c r="T22" i="12"/>
  <c r="U22" i="12"/>
  <c r="V22" i="12"/>
  <c r="W22" i="12"/>
  <c r="X22" i="12"/>
  <c r="Y22" i="12"/>
  <c r="Z22" i="12"/>
  <c r="AA22" i="12"/>
  <c r="AB22" i="12"/>
  <c r="AC22" i="12"/>
  <c r="AD22" i="12"/>
  <c r="AE22" i="12"/>
  <c r="AF22" i="12"/>
  <c r="AG22" i="12"/>
  <c r="AH22" i="12"/>
  <c r="AI22" i="12"/>
  <c r="AJ22" i="12"/>
  <c r="AK22" i="12"/>
  <c r="AL22" i="12"/>
  <c r="AM22" i="12"/>
  <c r="AN22" i="12"/>
  <c r="AO22" i="12"/>
  <c r="AP22" i="12"/>
  <c r="AQ22" i="12"/>
  <c r="AR22" i="12"/>
  <c r="AS22" i="12"/>
  <c r="AT22" i="12"/>
  <c r="AU22" i="12"/>
  <c r="AV22" i="12"/>
  <c r="AW22" i="12"/>
  <c r="AZ22" i="12"/>
  <c r="BA22" i="12"/>
  <c r="BB22" i="12"/>
  <c r="BC22" i="12"/>
  <c r="BD22" i="12"/>
  <c r="BE22" i="12"/>
  <c r="BF22" i="12"/>
  <c r="BG22" i="12"/>
  <c r="BH22" i="12"/>
  <c r="BI22" i="12"/>
  <c r="BJ22" i="12"/>
  <c r="BK22" i="12"/>
  <c r="BN22" i="12"/>
  <c r="BO22" i="12"/>
  <c r="BP22" i="12"/>
  <c r="BQ22" i="12"/>
  <c r="BS22" i="12"/>
  <c r="BT22" i="12"/>
  <c r="BU22" i="12"/>
  <c r="BV22" i="12"/>
  <c r="BW22" i="12"/>
  <c r="BX22" i="12"/>
  <c r="BY22" i="12"/>
  <c r="BZ22" i="12"/>
  <c r="CA22" i="12"/>
  <c r="CB22" i="12"/>
  <c r="CC22" i="12"/>
  <c r="CD22" i="12"/>
  <c r="CE22" i="12"/>
  <c r="CF22" i="12"/>
  <c r="CG22" i="12"/>
  <c r="CH22" i="12"/>
  <c r="CI22" i="12"/>
  <c r="CJ22" i="12"/>
  <c r="CK22" i="12"/>
  <c r="CL22" i="12"/>
  <c r="CM22" i="12"/>
  <c r="CN22" i="12"/>
  <c r="CO22" i="12"/>
  <c r="CP22" i="12"/>
  <c r="CQ22" i="12"/>
  <c r="CR22" i="12"/>
  <c r="CS22" i="12"/>
  <c r="CT22" i="12"/>
  <c r="CU22" i="12"/>
  <c r="CV22" i="12"/>
  <c r="CW22" i="12"/>
  <c r="CX22" i="12"/>
  <c r="CY22" i="12"/>
  <c r="CZ22" i="12"/>
  <c r="DA22" i="12"/>
  <c r="DB22" i="12"/>
  <c r="DC22" i="12"/>
  <c r="B23" i="12"/>
  <c r="C23" i="12"/>
  <c r="D23" i="12"/>
  <c r="E23" i="12"/>
  <c r="F23" i="12"/>
  <c r="G23" i="12"/>
  <c r="H23" i="12"/>
  <c r="I23" i="12"/>
  <c r="J23" i="12"/>
  <c r="K23" i="12"/>
  <c r="L23" i="12"/>
  <c r="M23" i="12"/>
  <c r="N23" i="12"/>
  <c r="O23" i="12"/>
  <c r="P23" i="12"/>
  <c r="Q23" i="12"/>
  <c r="R23" i="12"/>
  <c r="S23" i="12"/>
  <c r="T23" i="12"/>
  <c r="U23" i="12"/>
  <c r="V23" i="12"/>
  <c r="W23" i="12"/>
  <c r="X23" i="12"/>
  <c r="Y23" i="12"/>
  <c r="Z23" i="12"/>
  <c r="AA23" i="12"/>
  <c r="AB23" i="12"/>
  <c r="AC23" i="12"/>
  <c r="AD23" i="12"/>
  <c r="AE23" i="12"/>
  <c r="AF23" i="12"/>
  <c r="AG23" i="12"/>
  <c r="AH23" i="12"/>
  <c r="AI23" i="12"/>
  <c r="AJ23" i="12"/>
  <c r="AK23" i="12"/>
  <c r="AL23" i="12"/>
  <c r="AM23" i="12"/>
  <c r="AN23" i="12"/>
  <c r="AO23" i="12"/>
  <c r="AP23" i="12"/>
  <c r="AQ23" i="12"/>
  <c r="AR23" i="12"/>
  <c r="AS23" i="12"/>
  <c r="AT23" i="12"/>
  <c r="AU23" i="12"/>
  <c r="AV23" i="12"/>
  <c r="AW23" i="12"/>
  <c r="AZ23" i="12"/>
  <c r="BA23" i="12"/>
  <c r="BB23" i="12"/>
  <c r="BC23" i="12"/>
  <c r="BD23" i="12"/>
  <c r="BE23" i="12"/>
  <c r="BF23" i="12"/>
  <c r="BG23" i="12"/>
  <c r="BH23" i="12"/>
  <c r="BI23" i="12"/>
  <c r="BJ23" i="12"/>
  <c r="BK23" i="12"/>
  <c r="BN23" i="12"/>
  <c r="BO23" i="12"/>
  <c r="BP23" i="12"/>
  <c r="BQ23" i="12"/>
  <c r="BS23" i="12"/>
  <c r="BT23" i="12"/>
  <c r="BU23" i="12"/>
  <c r="BV23" i="12"/>
  <c r="BW23" i="12"/>
  <c r="BX23" i="12"/>
  <c r="BY23" i="12"/>
  <c r="BZ23" i="12"/>
  <c r="CA23" i="12"/>
  <c r="CB23" i="12"/>
  <c r="CC23" i="12"/>
  <c r="CD23" i="12"/>
  <c r="CE23" i="12"/>
  <c r="CF23" i="12"/>
  <c r="CG23" i="12"/>
  <c r="CH23" i="12"/>
  <c r="CI23" i="12"/>
  <c r="CJ23" i="12"/>
  <c r="CK23" i="12"/>
  <c r="CL23" i="12"/>
  <c r="CM23" i="12"/>
  <c r="CN23" i="12"/>
  <c r="CO23" i="12"/>
  <c r="CP23" i="12"/>
  <c r="CQ23" i="12"/>
  <c r="CR23" i="12"/>
  <c r="CS23" i="12"/>
  <c r="CT23" i="12"/>
  <c r="CU23" i="12"/>
  <c r="CV23" i="12"/>
  <c r="CW23" i="12"/>
  <c r="CX23" i="12"/>
  <c r="CY23" i="12"/>
  <c r="CZ23" i="12"/>
  <c r="DA23" i="12"/>
  <c r="DB23" i="12"/>
  <c r="DC23" i="12"/>
  <c r="B24" i="12"/>
  <c r="C24" i="12"/>
  <c r="D24" i="12"/>
  <c r="E24" i="12"/>
  <c r="F24" i="12"/>
  <c r="G24" i="12"/>
  <c r="H24" i="12"/>
  <c r="I24" i="12"/>
  <c r="J24" i="12"/>
  <c r="K24" i="12"/>
  <c r="L24" i="12"/>
  <c r="M24" i="12"/>
  <c r="N24" i="12"/>
  <c r="O24" i="12"/>
  <c r="P24" i="12"/>
  <c r="Q24" i="12"/>
  <c r="R24" i="12"/>
  <c r="S24" i="12"/>
  <c r="T24" i="12"/>
  <c r="U24" i="12"/>
  <c r="V24" i="12"/>
  <c r="W24" i="12"/>
  <c r="X24" i="12"/>
  <c r="Y24" i="12"/>
  <c r="Z24" i="12"/>
  <c r="AA24" i="12"/>
  <c r="AB24" i="12"/>
  <c r="AC24" i="12"/>
  <c r="AD24" i="12"/>
  <c r="AE24" i="12"/>
  <c r="AF24" i="12"/>
  <c r="AG24" i="12"/>
  <c r="AH24" i="12"/>
  <c r="AI24" i="12"/>
  <c r="AJ24" i="12"/>
  <c r="AK24" i="12"/>
  <c r="AL24" i="12"/>
  <c r="AM24" i="12"/>
  <c r="AN24" i="12"/>
  <c r="AO24" i="12"/>
  <c r="AP24" i="12"/>
  <c r="AQ24" i="12"/>
  <c r="AR24" i="12"/>
  <c r="AS24" i="12"/>
  <c r="AT24" i="12"/>
  <c r="AU24" i="12"/>
  <c r="AV24" i="12"/>
  <c r="AW24" i="12"/>
  <c r="AZ24" i="12"/>
  <c r="BA24" i="12"/>
  <c r="BB24" i="12"/>
  <c r="BC24" i="12"/>
  <c r="BD24" i="12"/>
  <c r="BE24" i="12"/>
  <c r="BF24" i="12"/>
  <c r="BG24" i="12"/>
  <c r="BH24" i="12"/>
  <c r="BI24" i="12"/>
  <c r="BJ24" i="12"/>
  <c r="BK24" i="12"/>
  <c r="BN24" i="12"/>
  <c r="BO24" i="12"/>
  <c r="BP24" i="12"/>
  <c r="BQ24" i="12"/>
  <c r="BS24" i="12"/>
  <c r="BT24" i="12"/>
  <c r="BU24" i="12"/>
  <c r="BV24" i="12"/>
  <c r="BW24" i="12"/>
  <c r="BX24" i="12"/>
  <c r="BY24" i="12"/>
  <c r="BZ24" i="12"/>
  <c r="CA24" i="12"/>
  <c r="CB24" i="12"/>
  <c r="CC24" i="12"/>
  <c r="CD24" i="12"/>
  <c r="CE24" i="12"/>
  <c r="CF24" i="12"/>
  <c r="CG24" i="12"/>
  <c r="CH24" i="12"/>
  <c r="CI24" i="12"/>
  <c r="CJ24" i="12"/>
  <c r="CK24" i="12"/>
  <c r="CL24" i="12"/>
  <c r="CM24" i="12"/>
  <c r="CN24" i="12"/>
  <c r="CO24" i="12"/>
  <c r="CP24" i="12"/>
  <c r="CQ24" i="12"/>
  <c r="CR24" i="12"/>
  <c r="CS24" i="12"/>
  <c r="CT24" i="12"/>
  <c r="CU24" i="12"/>
  <c r="CV24" i="12"/>
  <c r="CW24" i="12"/>
  <c r="CX24" i="12"/>
  <c r="CY24" i="12"/>
  <c r="CZ24" i="12"/>
  <c r="DA24" i="12"/>
  <c r="DB24" i="12"/>
  <c r="DC24" i="12"/>
  <c r="B25" i="12"/>
  <c r="C25" i="12"/>
  <c r="D25" i="12"/>
  <c r="E25" i="12"/>
  <c r="F25" i="12"/>
  <c r="G25" i="12"/>
  <c r="H25" i="12"/>
  <c r="I25" i="12"/>
  <c r="J25" i="12"/>
  <c r="K25" i="12"/>
  <c r="L25" i="12"/>
  <c r="M25" i="12"/>
  <c r="N25" i="12"/>
  <c r="O25" i="12"/>
  <c r="P25" i="12"/>
  <c r="Q25" i="12"/>
  <c r="R25" i="12"/>
  <c r="S25" i="12"/>
  <c r="T25" i="12"/>
  <c r="U25" i="12"/>
  <c r="V25" i="12"/>
  <c r="W25" i="12"/>
  <c r="X25" i="12"/>
  <c r="Y25" i="12"/>
  <c r="Z25" i="12"/>
  <c r="AA25" i="12"/>
  <c r="AB25" i="12"/>
  <c r="AC25" i="12"/>
  <c r="AD25" i="12"/>
  <c r="AE25" i="12"/>
  <c r="AF25" i="12"/>
  <c r="AG25" i="12"/>
  <c r="AH25" i="12"/>
  <c r="AI25" i="12"/>
  <c r="AJ25" i="12"/>
  <c r="AK25" i="12"/>
  <c r="AL25" i="12"/>
  <c r="AM25" i="12"/>
  <c r="AN25" i="12"/>
  <c r="AO25" i="12"/>
  <c r="AP25" i="12"/>
  <c r="AQ25" i="12"/>
  <c r="AR25" i="12"/>
  <c r="AS25" i="12"/>
  <c r="AT25" i="12"/>
  <c r="AU25" i="12"/>
  <c r="AV25" i="12"/>
  <c r="AW25" i="12"/>
  <c r="AZ25" i="12"/>
  <c r="BA25" i="12"/>
  <c r="BB25" i="12"/>
  <c r="BC25" i="12"/>
  <c r="BD25" i="12"/>
  <c r="BE25" i="12"/>
  <c r="BF25" i="12"/>
  <c r="BG25" i="12"/>
  <c r="BH25" i="12"/>
  <c r="BI25" i="12"/>
  <c r="BJ25" i="12"/>
  <c r="BK25" i="12"/>
  <c r="BN25" i="12"/>
  <c r="BO25" i="12"/>
  <c r="BP25" i="12"/>
  <c r="BQ25" i="12"/>
  <c r="BS25" i="12"/>
  <c r="BT25" i="12"/>
  <c r="BU25" i="12"/>
  <c r="BV25" i="12"/>
  <c r="BW25" i="12"/>
  <c r="BX25" i="12"/>
  <c r="BY25" i="12"/>
  <c r="BZ25" i="12"/>
  <c r="CA25" i="12"/>
  <c r="CB25" i="12"/>
  <c r="CC25" i="12"/>
  <c r="CD25" i="12"/>
  <c r="CE25" i="12"/>
  <c r="CF25" i="12"/>
  <c r="CG25" i="12"/>
  <c r="CH25" i="12"/>
  <c r="CI25" i="12"/>
  <c r="CJ25" i="12"/>
  <c r="CK25" i="12"/>
  <c r="CL25" i="12"/>
  <c r="CM25" i="12"/>
  <c r="CN25" i="12"/>
  <c r="CO25" i="12"/>
  <c r="CP25" i="12"/>
  <c r="CQ25" i="12"/>
  <c r="CR25" i="12"/>
  <c r="CS25" i="12"/>
  <c r="CT25" i="12"/>
  <c r="CU25" i="12"/>
  <c r="CV25" i="12"/>
  <c r="CW25" i="12"/>
  <c r="CX25" i="12"/>
  <c r="CY25" i="12"/>
  <c r="CZ25" i="12"/>
  <c r="DA25" i="12"/>
  <c r="DB25" i="12"/>
  <c r="DC25" i="12"/>
  <c r="B26" i="12"/>
  <c r="C26" i="12"/>
  <c r="D26" i="12"/>
  <c r="E26" i="12"/>
  <c r="F26" i="12"/>
  <c r="G26" i="12"/>
  <c r="H26" i="12"/>
  <c r="I26" i="12"/>
  <c r="J26" i="12"/>
  <c r="K26" i="12"/>
  <c r="L26" i="12"/>
  <c r="M26" i="12"/>
  <c r="N26" i="12"/>
  <c r="O26" i="12"/>
  <c r="P26" i="12"/>
  <c r="Q26" i="12"/>
  <c r="R26" i="12"/>
  <c r="S26" i="12"/>
  <c r="T26" i="12"/>
  <c r="U26" i="12"/>
  <c r="V26" i="12"/>
  <c r="W26" i="12"/>
  <c r="X26" i="12"/>
  <c r="Y26" i="12"/>
  <c r="Z26" i="12"/>
  <c r="AA26" i="12"/>
  <c r="AB26" i="12"/>
  <c r="AC26" i="12"/>
  <c r="AD26" i="12"/>
  <c r="AE26" i="12"/>
  <c r="AF26" i="12"/>
  <c r="AG26" i="12"/>
  <c r="AH26" i="12"/>
  <c r="AI26" i="12"/>
  <c r="AJ26" i="12"/>
  <c r="AK26" i="12"/>
  <c r="AL26" i="12"/>
  <c r="AM26" i="12"/>
  <c r="AN26" i="12"/>
  <c r="AO26" i="12"/>
  <c r="AP26" i="12"/>
  <c r="AQ26" i="12"/>
  <c r="AR26" i="12"/>
  <c r="AS26" i="12"/>
  <c r="AT26" i="12"/>
  <c r="AU26" i="12"/>
  <c r="AV26" i="12"/>
  <c r="AW26" i="12"/>
  <c r="AZ26" i="12"/>
  <c r="BA26" i="12"/>
  <c r="BB26" i="12"/>
  <c r="BC26" i="12"/>
  <c r="BD26" i="12"/>
  <c r="BE26" i="12"/>
  <c r="BF26" i="12"/>
  <c r="BG26" i="12"/>
  <c r="BH26" i="12"/>
  <c r="BI26" i="12"/>
  <c r="BJ26" i="12"/>
  <c r="BK26" i="12"/>
  <c r="BN26" i="12"/>
  <c r="BO26" i="12"/>
  <c r="BP26" i="12"/>
  <c r="BQ26" i="12"/>
  <c r="BS26" i="12"/>
  <c r="BT26" i="12"/>
  <c r="BU26" i="12"/>
  <c r="BV26" i="12"/>
  <c r="BW26" i="12"/>
  <c r="BX26" i="12"/>
  <c r="BY26" i="12"/>
  <c r="BZ26" i="12"/>
  <c r="CA26" i="12"/>
  <c r="CB26" i="12"/>
  <c r="CC26" i="12"/>
  <c r="CD26" i="12"/>
  <c r="CE26" i="12"/>
  <c r="CF26" i="12"/>
  <c r="CG26" i="12"/>
  <c r="CH26" i="12"/>
  <c r="CI26" i="12"/>
  <c r="CJ26" i="12"/>
  <c r="CK26" i="12"/>
  <c r="CL26" i="12"/>
  <c r="CM26" i="12"/>
  <c r="CN26" i="12"/>
  <c r="CO26" i="12"/>
  <c r="CP26" i="12"/>
  <c r="CQ26" i="12"/>
  <c r="CR26" i="12"/>
  <c r="CS26" i="12"/>
  <c r="CT26" i="12"/>
  <c r="CU26" i="12"/>
  <c r="CV26" i="12"/>
  <c r="CW26" i="12"/>
  <c r="CX26" i="12"/>
  <c r="CY26" i="12"/>
  <c r="CZ26" i="12"/>
  <c r="DA26" i="12"/>
  <c r="DB26" i="12"/>
  <c r="DC26" i="12"/>
  <c r="B27" i="12"/>
  <c r="C27" i="12"/>
  <c r="D27" i="12"/>
  <c r="E27" i="12"/>
  <c r="F27" i="12"/>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Z27" i="12"/>
  <c r="BA27" i="12"/>
  <c r="BB27" i="12"/>
  <c r="BC27" i="12"/>
  <c r="BD27" i="12"/>
  <c r="BE27" i="12"/>
  <c r="BF27" i="12"/>
  <c r="BG27" i="12"/>
  <c r="BH27" i="12"/>
  <c r="BI27" i="12"/>
  <c r="BJ27" i="12"/>
  <c r="BK27" i="12"/>
  <c r="BN27" i="12"/>
  <c r="BO27" i="12"/>
  <c r="BP27" i="12"/>
  <c r="BQ27" i="12"/>
  <c r="BS27" i="12"/>
  <c r="BT27" i="12"/>
  <c r="BU27" i="12"/>
  <c r="BV27" i="12"/>
  <c r="BW27" i="12"/>
  <c r="BX27" i="12"/>
  <c r="BY27" i="12"/>
  <c r="BZ27" i="12"/>
  <c r="CA27" i="12"/>
  <c r="CB27" i="12"/>
  <c r="CC27" i="12"/>
  <c r="CD27" i="12"/>
  <c r="CE27" i="12"/>
  <c r="CF27" i="12"/>
  <c r="CG27" i="12"/>
  <c r="CH27" i="12"/>
  <c r="CI27" i="12"/>
  <c r="CJ27" i="12"/>
  <c r="CK27" i="12"/>
  <c r="CL27" i="12"/>
  <c r="CM27" i="12"/>
  <c r="CN27" i="12"/>
  <c r="CO27" i="12"/>
  <c r="CP27" i="12"/>
  <c r="CQ27" i="12"/>
  <c r="CR27" i="12"/>
  <c r="CS27" i="12"/>
  <c r="CT27" i="12"/>
  <c r="CU27" i="12"/>
  <c r="CV27" i="12"/>
  <c r="CW27" i="12"/>
  <c r="CX27" i="12"/>
  <c r="CY27" i="12"/>
  <c r="CZ27" i="12"/>
  <c r="DA27" i="12"/>
  <c r="DB27" i="12"/>
  <c r="DC27" i="12"/>
  <c r="B28" i="12"/>
  <c r="C28" i="12"/>
  <c r="D28" i="12"/>
  <c r="E28" i="12"/>
  <c r="F28" i="12"/>
  <c r="G28" i="12"/>
  <c r="H28" i="12"/>
  <c r="I28" i="12"/>
  <c r="J28" i="12"/>
  <c r="K28" i="12"/>
  <c r="L28" i="12"/>
  <c r="M28" i="12"/>
  <c r="N28" i="12"/>
  <c r="O28" i="12"/>
  <c r="P28" i="12"/>
  <c r="Q28" i="12"/>
  <c r="R28" i="12"/>
  <c r="S28" i="12"/>
  <c r="T28" i="12"/>
  <c r="U28" i="12"/>
  <c r="V28" i="12"/>
  <c r="W28" i="12"/>
  <c r="X28" i="12"/>
  <c r="Y28" i="12"/>
  <c r="Z28" i="12"/>
  <c r="AA28" i="12"/>
  <c r="AB28" i="12"/>
  <c r="AC28" i="12"/>
  <c r="AD28" i="12"/>
  <c r="AE28" i="12"/>
  <c r="AF28" i="12"/>
  <c r="AG28" i="12"/>
  <c r="AH28" i="12"/>
  <c r="AI28" i="12"/>
  <c r="AJ28" i="12"/>
  <c r="AK28" i="12"/>
  <c r="AL28" i="12"/>
  <c r="AM28" i="12"/>
  <c r="AN28" i="12"/>
  <c r="AO28" i="12"/>
  <c r="AP28" i="12"/>
  <c r="AQ28" i="12"/>
  <c r="AR28" i="12"/>
  <c r="AS28" i="12"/>
  <c r="AT28" i="12"/>
  <c r="AU28" i="12"/>
  <c r="AV28" i="12"/>
  <c r="AW28" i="12"/>
  <c r="AZ28" i="12"/>
  <c r="BA28" i="12"/>
  <c r="BB28" i="12"/>
  <c r="BC28" i="12"/>
  <c r="BD28" i="12"/>
  <c r="BE28" i="12"/>
  <c r="BF28" i="12"/>
  <c r="BG28" i="12"/>
  <c r="BH28" i="12"/>
  <c r="BI28" i="12"/>
  <c r="BJ28" i="12"/>
  <c r="BK28" i="12"/>
  <c r="BN28" i="12"/>
  <c r="BO28" i="12"/>
  <c r="BP28" i="12"/>
  <c r="BQ28" i="12"/>
  <c r="BS28" i="12"/>
  <c r="BT28" i="12"/>
  <c r="BU28" i="12"/>
  <c r="BV28" i="12"/>
  <c r="BW28" i="12"/>
  <c r="BX28" i="12"/>
  <c r="BY28" i="12"/>
  <c r="BZ28" i="12"/>
  <c r="CA28" i="12"/>
  <c r="CB28" i="12"/>
  <c r="CC28" i="12"/>
  <c r="CD28" i="12"/>
  <c r="CE28" i="12"/>
  <c r="CF28" i="12"/>
  <c r="CG28" i="12"/>
  <c r="CH28" i="12"/>
  <c r="CI28" i="12"/>
  <c r="CJ28" i="12"/>
  <c r="CK28" i="12"/>
  <c r="CL28" i="12"/>
  <c r="CM28" i="12"/>
  <c r="CN28" i="12"/>
  <c r="CO28" i="12"/>
  <c r="CP28" i="12"/>
  <c r="CQ28" i="12"/>
  <c r="CR28" i="12"/>
  <c r="CS28" i="12"/>
  <c r="CT28" i="12"/>
  <c r="CU28" i="12"/>
  <c r="CV28" i="12"/>
  <c r="CW28" i="12"/>
  <c r="CX28" i="12"/>
  <c r="CY28" i="12"/>
  <c r="CZ28" i="12"/>
  <c r="DA28" i="12"/>
  <c r="DB28" i="12"/>
  <c r="DC28" i="12"/>
  <c r="B29" i="12"/>
  <c r="C29" i="12"/>
  <c r="D29" i="12"/>
  <c r="E29" i="12"/>
  <c r="F29" i="12"/>
  <c r="G29" i="12"/>
  <c r="H29" i="12"/>
  <c r="I29" i="12"/>
  <c r="J29" i="12"/>
  <c r="K29" i="12"/>
  <c r="L29" i="12"/>
  <c r="M29" i="12"/>
  <c r="N29" i="12"/>
  <c r="O29" i="12"/>
  <c r="P29" i="12"/>
  <c r="Q29" i="12"/>
  <c r="R29" i="12"/>
  <c r="S29" i="12"/>
  <c r="T29" i="12"/>
  <c r="U29" i="12"/>
  <c r="V29" i="12"/>
  <c r="W29" i="12"/>
  <c r="X29" i="12"/>
  <c r="Y29" i="12"/>
  <c r="Z29" i="12"/>
  <c r="AA29" i="12"/>
  <c r="AB29" i="12"/>
  <c r="AC29" i="12"/>
  <c r="AD29" i="12"/>
  <c r="AE29" i="12"/>
  <c r="AF29" i="12"/>
  <c r="AG29" i="12"/>
  <c r="AH29" i="12"/>
  <c r="AI29" i="12"/>
  <c r="AJ29" i="12"/>
  <c r="AK29" i="12"/>
  <c r="AL29" i="12"/>
  <c r="AM29" i="12"/>
  <c r="AN29" i="12"/>
  <c r="AO29" i="12"/>
  <c r="AP29" i="12"/>
  <c r="AQ29" i="12"/>
  <c r="AR29" i="12"/>
  <c r="AS29" i="12"/>
  <c r="AT29" i="12"/>
  <c r="AU29" i="12"/>
  <c r="AV29" i="12"/>
  <c r="AW29" i="12"/>
  <c r="AZ29" i="12"/>
  <c r="BA29" i="12"/>
  <c r="BB29" i="12"/>
  <c r="BC29" i="12"/>
  <c r="BD29" i="12"/>
  <c r="BE29" i="12"/>
  <c r="BF29" i="12"/>
  <c r="BG29" i="12"/>
  <c r="BH29" i="12"/>
  <c r="BI29" i="12"/>
  <c r="BJ29" i="12"/>
  <c r="BK29" i="12"/>
  <c r="BN29" i="12"/>
  <c r="BO29" i="12"/>
  <c r="BP29" i="12"/>
  <c r="BQ29" i="12"/>
  <c r="BS29" i="12"/>
  <c r="BT29" i="12"/>
  <c r="BU29" i="12"/>
  <c r="BV29" i="12"/>
  <c r="BW29" i="12"/>
  <c r="BX29" i="12"/>
  <c r="BY29" i="12"/>
  <c r="BZ29" i="12"/>
  <c r="CA29" i="12"/>
  <c r="CB29" i="12"/>
  <c r="CC29" i="12"/>
  <c r="CD29" i="12"/>
  <c r="CE29" i="12"/>
  <c r="CF29" i="12"/>
  <c r="CG29" i="12"/>
  <c r="CH29" i="12"/>
  <c r="CI29" i="12"/>
  <c r="CJ29" i="12"/>
  <c r="CK29" i="12"/>
  <c r="CL29" i="12"/>
  <c r="CM29" i="12"/>
  <c r="CN29" i="12"/>
  <c r="CO29" i="12"/>
  <c r="CP29" i="12"/>
  <c r="CQ29" i="12"/>
  <c r="CR29" i="12"/>
  <c r="CS29" i="12"/>
  <c r="CT29" i="12"/>
  <c r="CU29" i="12"/>
  <c r="CV29" i="12"/>
  <c r="CW29" i="12"/>
  <c r="CX29" i="12"/>
  <c r="CY29" i="12"/>
  <c r="CZ29" i="12"/>
  <c r="DA29" i="12"/>
  <c r="DB29" i="12"/>
  <c r="DC29" i="12"/>
  <c r="B30" i="12"/>
  <c r="C30" i="12"/>
  <c r="D30" i="12"/>
  <c r="E30" i="12"/>
  <c r="F30" i="12"/>
  <c r="G30" i="12"/>
  <c r="H30" i="12"/>
  <c r="I30" i="12"/>
  <c r="J30" i="12"/>
  <c r="K30" i="12"/>
  <c r="L30" i="12"/>
  <c r="M30" i="12"/>
  <c r="N30" i="12"/>
  <c r="O30" i="12"/>
  <c r="P30" i="12"/>
  <c r="Q30" i="12"/>
  <c r="R30" i="12"/>
  <c r="S30" i="12"/>
  <c r="T30" i="12"/>
  <c r="U30" i="12"/>
  <c r="V30" i="12"/>
  <c r="W30" i="12"/>
  <c r="X30" i="12"/>
  <c r="Y30" i="12"/>
  <c r="Z30" i="12"/>
  <c r="AA30" i="12"/>
  <c r="AB30" i="12"/>
  <c r="AC30" i="12"/>
  <c r="AD30" i="12"/>
  <c r="AE30" i="12"/>
  <c r="AF30" i="12"/>
  <c r="AG30" i="12"/>
  <c r="AH30" i="12"/>
  <c r="AI30" i="12"/>
  <c r="AJ30" i="12"/>
  <c r="AK30" i="12"/>
  <c r="AL30" i="12"/>
  <c r="AM30" i="12"/>
  <c r="AN30" i="12"/>
  <c r="AO30" i="12"/>
  <c r="AP30" i="12"/>
  <c r="AQ30" i="12"/>
  <c r="AR30" i="12"/>
  <c r="AS30" i="12"/>
  <c r="AT30" i="12"/>
  <c r="AU30" i="12"/>
  <c r="AV30" i="12"/>
  <c r="AW30" i="12"/>
  <c r="AX30" i="12"/>
  <c r="AY30" i="12"/>
  <c r="AZ30" i="12"/>
  <c r="BA30" i="12"/>
  <c r="BB30" i="12"/>
  <c r="BC30" i="12"/>
  <c r="BD30" i="12"/>
  <c r="BE30" i="12"/>
  <c r="BF30" i="12"/>
  <c r="BG30" i="12"/>
  <c r="BH30" i="12"/>
  <c r="BI30" i="12"/>
  <c r="BJ30" i="12"/>
  <c r="BK30" i="12"/>
  <c r="BL30" i="12"/>
  <c r="BM30" i="12"/>
  <c r="BN30" i="12"/>
  <c r="BO30" i="12"/>
  <c r="BP30" i="12"/>
  <c r="BQ30" i="12"/>
  <c r="BS30" i="12"/>
  <c r="BT30" i="12"/>
  <c r="BU30" i="12"/>
  <c r="BV30" i="12"/>
  <c r="BW30" i="12"/>
  <c r="BX30" i="12"/>
  <c r="BY30" i="12"/>
  <c r="BZ30" i="12"/>
  <c r="CA30" i="12"/>
  <c r="CB30" i="12"/>
  <c r="CC30" i="12"/>
  <c r="CD30" i="12"/>
  <c r="CE30" i="12"/>
  <c r="CF30" i="12"/>
  <c r="CG30" i="12"/>
  <c r="CH30" i="12"/>
  <c r="CI30" i="12"/>
  <c r="CJ30" i="12"/>
  <c r="CK30" i="12"/>
  <c r="CL30" i="12"/>
  <c r="CM30" i="12"/>
  <c r="CN30" i="12"/>
  <c r="CO30" i="12"/>
  <c r="CP30" i="12"/>
  <c r="CQ30" i="12"/>
  <c r="CR30" i="12"/>
  <c r="CS30" i="12"/>
  <c r="CT30" i="12"/>
  <c r="CU30" i="12"/>
  <c r="CV30" i="12"/>
  <c r="CW30" i="12"/>
  <c r="CX30" i="12"/>
  <c r="CY30" i="12"/>
  <c r="CZ30" i="12"/>
  <c r="DA30" i="12"/>
  <c r="DB30" i="12"/>
  <c r="DC30" i="12"/>
  <c r="B31" i="12"/>
  <c r="C31" i="12"/>
  <c r="D31" i="12"/>
  <c r="E31" i="12"/>
  <c r="F31" i="12"/>
  <c r="G31" i="12"/>
  <c r="H31" i="12"/>
  <c r="I31" i="12"/>
  <c r="J31" i="12"/>
  <c r="K31" i="12"/>
  <c r="L31" i="12"/>
  <c r="M31" i="12"/>
  <c r="N31" i="12"/>
  <c r="O31" i="12"/>
  <c r="P31" i="12"/>
  <c r="Q31" i="12"/>
  <c r="R31" i="12"/>
  <c r="S31" i="12"/>
  <c r="T31" i="12"/>
  <c r="U31" i="12"/>
  <c r="V31" i="12"/>
  <c r="W31" i="12"/>
  <c r="X31" i="12"/>
  <c r="Y31" i="12"/>
  <c r="Z31" i="12"/>
  <c r="AA31" i="12"/>
  <c r="AB31" i="12"/>
  <c r="AC31" i="12"/>
  <c r="AD31" i="12"/>
  <c r="AE31" i="12"/>
  <c r="AF31" i="12"/>
  <c r="AG31" i="12"/>
  <c r="AH31" i="12"/>
  <c r="AI31" i="12"/>
  <c r="AJ31" i="12"/>
  <c r="AK31" i="12"/>
  <c r="AL31" i="12"/>
  <c r="AM31" i="12"/>
  <c r="AN31" i="12"/>
  <c r="AO31" i="12"/>
  <c r="AP31" i="12"/>
  <c r="AQ31" i="12"/>
  <c r="AR31" i="12"/>
  <c r="AS31" i="12"/>
  <c r="AT31" i="12"/>
  <c r="AU31" i="12"/>
  <c r="AV31" i="12"/>
  <c r="AW31" i="12"/>
  <c r="AX31" i="12"/>
  <c r="AY31" i="12"/>
  <c r="AZ31" i="12"/>
  <c r="BA31" i="12"/>
  <c r="BB31" i="12"/>
  <c r="BC31" i="12"/>
  <c r="BD31" i="12"/>
  <c r="BE31" i="12"/>
  <c r="BF31" i="12"/>
  <c r="BG31" i="12"/>
  <c r="BH31" i="12"/>
  <c r="BI31" i="12"/>
  <c r="BJ31" i="12"/>
  <c r="BK31" i="12"/>
  <c r="BL31" i="12"/>
  <c r="BM31" i="12"/>
  <c r="BN31" i="12"/>
  <c r="BO31" i="12"/>
  <c r="BP31" i="12"/>
  <c r="BQ31" i="12"/>
  <c r="BS31" i="12"/>
  <c r="BT31" i="12"/>
  <c r="BU31" i="12"/>
  <c r="BV31" i="12"/>
  <c r="BW31" i="12"/>
  <c r="BX31" i="12"/>
  <c r="BY31" i="12"/>
  <c r="BZ31" i="12"/>
  <c r="CA31" i="12"/>
  <c r="CB31" i="12"/>
  <c r="CC31" i="12"/>
  <c r="CD31" i="12"/>
  <c r="CE31" i="12"/>
  <c r="CF31" i="12"/>
  <c r="CG31" i="12"/>
  <c r="CH31" i="12"/>
  <c r="CI31" i="12"/>
  <c r="CJ31" i="12"/>
  <c r="CK31" i="12"/>
  <c r="CL31" i="12"/>
  <c r="CM31" i="12"/>
  <c r="CN31" i="12"/>
  <c r="CO31" i="12"/>
  <c r="CP31" i="12"/>
  <c r="CQ31" i="12"/>
  <c r="CR31" i="12"/>
  <c r="CS31" i="12"/>
  <c r="CT31" i="12"/>
  <c r="CU31" i="12"/>
  <c r="CV31" i="12"/>
  <c r="CW31" i="12"/>
  <c r="CX31" i="12"/>
  <c r="CY31" i="12"/>
  <c r="CZ31" i="12"/>
  <c r="DA31" i="12"/>
  <c r="DB31" i="12"/>
  <c r="DC31" i="12"/>
  <c r="B32" i="12"/>
  <c r="C32" i="12"/>
  <c r="D32" i="12"/>
  <c r="E32" i="12"/>
  <c r="F32" i="12"/>
  <c r="G32" i="12"/>
  <c r="H32" i="12"/>
  <c r="I32" i="12"/>
  <c r="J32" i="12"/>
  <c r="K32" i="12"/>
  <c r="L32" i="12"/>
  <c r="M32" i="12"/>
  <c r="N32" i="12"/>
  <c r="O32" i="12"/>
  <c r="P32" i="12"/>
  <c r="Q32" i="12"/>
  <c r="R32" i="12"/>
  <c r="S32" i="12"/>
  <c r="T32" i="12"/>
  <c r="U32" i="12"/>
  <c r="V32" i="12"/>
  <c r="W32" i="12"/>
  <c r="X32" i="12"/>
  <c r="Y32" i="12"/>
  <c r="Z32" i="12"/>
  <c r="AA32" i="12"/>
  <c r="AB32" i="12"/>
  <c r="AC32" i="12"/>
  <c r="AD32" i="12"/>
  <c r="AE32" i="12"/>
  <c r="AF32" i="12"/>
  <c r="AG32" i="12"/>
  <c r="AH32" i="12"/>
  <c r="AI32" i="12"/>
  <c r="AJ32" i="12"/>
  <c r="AK32" i="12"/>
  <c r="AL32" i="12"/>
  <c r="AM32" i="12"/>
  <c r="AN32" i="12"/>
  <c r="AO32" i="12"/>
  <c r="AP32" i="12"/>
  <c r="AQ32" i="12"/>
  <c r="AR32" i="12"/>
  <c r="AS32" i="12"/>
  <c r="AT32" i="12"/>
  <c r="AU32" i="12"/>
  <c r="AV32" i="12"/>
  <c r="AW32" i="12"/>
  <c r="AZ32" i="12"/>
  <c r="BA32" i="12"/>
  <c r="BB32" i="12"/>
  <c r="BC32" i="12"/>
  <c r="BD32" i="12"/>
  <c r="BE32" i="12"/>
  <c r="BF32" i="12"/>
  <c r="BG32" i="12"/>
  <c r="BH32" i="12"/>
  <c r="BI32" i="12"/>
  <c r="BJ32" i="12"/>
  <c r="BK32" i="12"/>
  <c r="BN32" i="12"/>
  <c r="BO32" i="12"/>
  <c r="BP32" i="12"/>
  <c r="BQ32" i="12"/>
  <c r="BS32" i="12"/>
  <c r="BT32" i="12"/>
  <c r="BU32" i="12"/>
  <c r="BV32" i="12"/>
  <c r="BW32" i="12"/>
  <c r="BX32" i="12"/>
  <c r="BY32" i="12"/>
  <c r="BZ32" i="12"/>
  <c r="CA32" i="12"/>
  <c r="CB32" i="12"/>
  <c r="CC32" i="12"/>
  <c r="CD32" i="12"/>
  <c r="CE32" i="12"/>
  <c r="CF32" i="12"/>
  <c r="CG32" i="12"/>
  <c r="CH32" i="12"/>
  <c r="CI32" i="12"/>
  <c r="CJ32" i="12"/>
  <c r="CK32" i="12"/>
  <c r="CL32" i="12"/>
  <c r="CM32" i="12"/>
  <c r="CN32" i="12"/>
  <c r="CO32" i="12"/>
  <c r="CP32" i="12"/>
  <c r="CQ32" i="12"/>
  <c r="CR32" i="12"/>
  <c r="CS32" i="12"/>
  <c r="CT32" i="12"/>
  <c r="CU32" i="12"/>
  <c r="CV32" i="12"/>
  <c r="CW32" i="12"/>
  <c r="CX32" i="12"/>
  <c r="CY32" i="12"/>
  <c r="CZ32" i="12"/>
  <c r="DA32" i="12"/>
  <c r="DB32" i="12"/>
  <c r="DC32" i="12"/>
  <c r="B33" i="12"/>
  <c r="C33" i="12"/>
  <c r="D33" i="12"/>
  <c r="E33" i="12"/>
  <c r="F33" i="12"/>
  <c r="G33" i="12"/>
  <c r="H33" i="12"/>
  <c r="I33" i="12"/>
  <c r="J33" i="12"/>
  <c r="K33" i="12"/>
  <c r="L33" i="12"/>
  <c r="M33" i="12"/>
  <c r="N33" i="12"/>
  <c r="O33" i="12"/>
  <c r="P33" i="12"/>
  <c r="Q33" i="12"/>
  <c r="R33" i="12"/>
  <c r="S33" i="12"/>
  <c r="T33" i="12"/>
  <c r="U33" i="12"/>
  <c r="V33" i="12"/>
  <c r="W33" i="12"/>
  <c r="X33" i="12"/>
  <c r="Y33" i="12"/>
  <c r="Z33" i="12"/>
  <c r="AA33" i="12"/>
  <c r="AB33" i="12"/>
  <c r="AC33" i="12"/>
  <c r="AD33" i="12"/>
  <c r="AE33" i="12"/>
  <c r="AF33" i="12"/>
  <c r="AG33" i="12"/>
  <c r="AH33" i="12"/>
  <c r="AI33" i="12"/>
  <c r="AJ33" i="12"/>
  <c r="AK33" i="12"/>
  <c r="AL33" i="12"/>
  <c r="AM33" i="12"/>
  <c r="AN33" i="12"/>
  <c r="AO33" i="12"/>
  <c r="AP33" i="12"/>
  <c r="AQ33" i="12"/>
  <c r="AR33" i="12"/>
  <c r="AS33" i="12"/>
  <c r="AT33" i="12"/>
  <c r="AU33" i="12"/>
  <c r="AV33" i="12"/>
  <c r="AW33" i="12"/>
  <c r="AZ33" i="12"/>
  <c r="BA33" i="12"/>
  <c r="BB33" i="12"/>
  <c r="BC33" i="12"/>
  <c r="BD33" i="12"/>
  <c r="BE33" i="12"/>
  <c r="BF33" i="12"/>
  <c r="BG33" i="12"/>
  <c r="BH33" i="12"/>
  <c r="BI33" i="12"/>
  <c r="BJ33" i="12"/>
  <c r="BK33" i="12"/>
  <c r="BN33" i="12"/>
  <c r="BO33" i="12"/>
  <c r="BP33" i="12"/>
  <c r="BQ33" i="12"/>
  <c r="BS33" i="12"/>
  <c r="BT33" i="12"/>
  <c r="BU33" i="12"/>
  <c r="BV33" i="12"/>
  <c r="BW33" i="12"/>
  <c r="BX33" i="12"/>
  <c r="BY33" i="12"/>
  <c r="BZ33" i="12"/>
  <c r="CA33" i="12"/>
  <c r="CB33" i="12"/>
  <c r="CC33" i="12"/>
  <c r="CD33" i="12"/>
  <c r="CE33" i="12"/>
  <c r="CF33" i="12"/>
  <c r="CG33" i="12"/>
  <c r="CH33" i="12"/>
  <c r="CI33" i="12"/>
  <c r="CJ33" i="12"/>
  <c r="CK33" i="12"/>
  <c r="CL33" i="12"/>
  <c r="CM33" i="12"/>
  <c r="CN33" i="12"/>
  <c r="CO33" i="12"/>
  <c r="CP33" i="12"/>
  <c r="CQ33" i="12"/>
  <c r="CR33" i="12"/>
  <c r="CS33" i="12"/>
  <c r="CT33" i="12"/>
  <c r="CU33" i="12"/>
  <c r="CV33" i="12"/>
  <c r="CW33" i="12"/>
  <c r="CX33" i="12"/>
  <c r="CY33" i="12"/>
  <c r="CZ33" i="12"/>
  <c r="DA33" i="12"/>
  <c r="DB33" i="12"/>
  <c r="DC33" i="12"/>
  <c r="B34" i="12"/>
  <c r="C34" i="12"/>
  <c r="D34" i="12"/>
  <c r="E34" i="12"/>
  <c r="F34" i="12"/>
  <c r="G34" i="12"/>
  <c r="H34" i="12"/>
  <c r="I34" i="12"/>
  <c r="J34" i="12"/>
  <c r="K34" i="12"/>
  <c r="L34" i="12"/>
  <c r="M34" i="12"/>
  <c r="N34" i="12"/>
  <c r="O34" i="12"/>
  <c r="P34" i="12"/>
  <c r="Q34" i="12"/>
  <c r="R34" i="12"/>
  <c r="S34" i="12"/>
  <c r="T34" i="12"/>
  <c r="U34" i="12"/>
  <c r="V34" i="12"/>
  <c r="W34" i="12"/>
  <c r="X34" i="12"/>
  <c r="Y34" i="12"/>
  <c r="Z34" i="12"/>
  <c r="AA34" i="12"/>
  <c r="AB34" i="12"/>
  <c r="AC34" i="12"/>
  <c r="AD34" i="12"/>
  <c r="AE34" i="12"/>
  <c r="AF34" i="12"/>
  <c r="AG34" i="12"/>
  <c r="AH34" i="12"/>
  <c r="AI34" i="12"/>
  <c r="AJ34" i="12"/>
  <c r="AK34" i="12"/>
  <c r="AL34" i="12"/>
  <c r="AM34" i="12"/>
  <c r="AN34" i="12"/>
  <c r="AO34" i="12"/>
  <c r="AP34" i="12"/>
  <c r="AQ34" i="12"/>
  <c r="AR34" i="12"/>
  <c r="AS34" i="12"/>
  <c r="AT34" i="12"/>
  <c r="AU34" i="12"/>
  <c r="AV34" i="12"/>
  <c r="AW34" i="12"/>
  <c r="AZ34" i="12"/>
  <c r="BA34" i="12"/>
  <c r="BB34" i="12"/>
  <c r="BC34" i="12"/>
  <c r="BD34" i="12"/>
  <c r="BE34" i="12"/>
  <c r="BF34" i="12"/>
  <c r="BG34" i="12"/>
  <c r="BH34" i="12"/>
  <c r="BI34" i="12"/>
  <c r="BJ34" i="12"/>
  <c r="BK34" i="12"/>
  <c r="BN34" i="12"/>
  <c r="BO34" i="12"/>
  <c r="BP34" i="12"/>
  <c r="BQ34" i="12"/>
  <c r="BS34" i="12"/>
  <c r="BT34" i="12"/>
  <c r="BU34" i="12"/>
  <c r="BV34" i="12"/>
  <c r="BW34" i="12"/>
  <c r="BX34" i="12"/>
  <c r="BY34" i="12"/>
  <c r="BZ34" i="12"/>
  <c r="CA34" i="12"/>
  <c r="CB34" i="12"/>
  <c r="CC34" i="12"/>
  <c r="CD34" i="12"/>
  <c r="CE34" i="12"/>
  <c r="CF34" i="12"/>
  <c r="CG34" i="12"/>
  <c r="CH34" i="12"/>
  <c r="CI34" i="12"/>
  <c r="CJ34" i="12"/>
  <c r="CK34" i="12"/>
  <c r="CL34" i="12"/>
  <c r="CM34" i="12"/>
  <c r="CN34" i="12"/>
  <c r="CO34" i="12"/>
  <c r="CP34" i="12"/>
  <c r="CQ34" i="12"/>
  <c r="CR34" i="12"/>
  <c r="CS34" i="12"/>
  <c r="CT34" i="12"/>
  <c r="CU34" i="12"/>
  <c r="CV34" i="12"/>
  <c r="CW34" i="12"/>
  <c r="CX34" i="12"/>
  <c r="CY34" i="12"/>
  <c r="CZ34" i="12"/>
  <c r="DA34" i="12"/>
  <c r="DB34" i="12"/>
  <c r="DC34" i="12"/>
  <c r="B35" i="12"/>
  <c r="C35" i="12"/>
  <c r="D35" i="12"/>
  <c r="E35" i="12"/>
  <c r="F35" i="12"/>
  <c r="G35" i="12"/>
  <c r="H35" i="12"/>
  <c r="I35" i="12"/>
  <c r="J35" i="12"/>
  <c r="K35" i="12"/>
  <c r="L35" i="12"/>
  <c r="M35" i="12"/>
  <c r="N35" i="12"/>
  <c r="O35" i="12"/>
  <c r="P35" i="12"/>
  <c r="Q35" i="12"/>
  <c r="R35" i="12"/>
  <c r="S35" i="12"/>
  <c r="T35" i="12"/>
  <c r="U35" i="12"/>
  <c r="V35" i="12"/>
  <c r="W35" i="12"/>
  <c r="X35" i="12"/>
  <c r="Y35" i="12"/>
  <c r="Z35" i="12"/>
  <c r="AA35" i="12"/>
  <c r="AB35" i="12"/>
  <c r="AC35" i="12"/>
  <c r="AD35" i="12"/>
  <c r="AE35" i="12"/>
  <c r="AF35" i="12"/>
  <c r="AG35" i="12"/>
  <c r="AH35" i="12"/>
  <c r="AI35" i="12"/>
  <c r="AJ35" i="12"/>
  <c r="AK35" i="12"/>
  <c r="AL35" i="12"/>
  <c r="AM35" i="12"/>
  <c r="AN35" i="12"/>
  <c r="AO35" i="12"/>
  <c r="AP35" i="12"/>
  <c r="AQ35" i="12"/>
  <c r="AR35" i="12"/>
  <c r="AS35" i="12"/>
  <c r="AT35" i="12"/>
  <c r="AU35" i="12"/>
  <c r="AV35" i="12"/>
  <c r="AW35" i="12"/>
  <c r="AZ35" i="12"/>
  <c r="BA35" i="12"/>
  <c r="BB35" i="12"/>
  <c r="BC35" i="12"/>
  <c r="BD35" i="12"/>
  <c r="BE35" i="12"/>
  <c r="BF35" i="12"/>
  <c r="BG35" i="12"/>
  <c r="BH35" i="12"/>
  <c r="BI35" i="12"/>
  <c r="BJ35" i="12"/>
  <c r="BK35" i="12"/>
  <c r="BN35" i="12"/>
  <c r="BO35" i="12"/>
  <c r="BP35" i="12"/>
  <c r="BQ35" i="12"/>
  <c r="BS35" i="12"/>
  <c r="BT35" i="12"/>
  <c r="BU35" i="12"/>
  <c r="BV35" i="12"/>
  <c r="BW35" i="12"/>
  <c r="BX35" i="12"/>
  <c r="BY35" i="12"/>
  <c r="BZ35" i="12"/>
  <c r="CA35" i="12"/>
  <c r="CB35" i="12"/>
  <c r="CC35" i="12"/>
  <c r="CD35" i="12"/>
  <c r="CE35" i="12"/>
  <c r="CF35" i="12"/>
  <c r="CG35" i="12"/>
  <c r="CH35" i="12"/>
  <c r="CI35" i="12"/>
  <c r="CJ35" i="12"/>
  <c r="CK35" i="12"/>
  <c r="CL35" i="12"/>
  <c r="CM35" i="12"/>
  <c r="CN35" i="12"/>
  <c r="CO35" i="12"/>
  <c r="CP35" i="12"/>
  <c r="CQ35" i="12"/>
  <c r="CR35" i="12"/>
  <c r="CS35" i="12"/>
  <c r="CT35" i="12"/>
  <c r="CU35" i="12"/>
  <c r="CV35" i="12"/>
  <c r="CW35" i="12"/>
  <c r="CX35" i="12"/>
  <c r="CY35" i="12"/>
  <c r="CZ35" i="12"/>
  <c r="DA35" i="12"/>
  <c r="DB35" i="12"/>
  <c r="DC35" i="12"/>
  <c r="B36" i="12"/>
  <c r="C36" i="12"/>
  <c r="D36" i="12"/>
  <c r="E36" i="12"/>
  <c r="F36" i="12"/>
  <c r="G36" i="12"/>
  <c r="H36" i="12"/>
  <c r="I36" i="12"/>
  <c r="J36" i="12"/>
  <c r="K36" i="12"/>
  <c r="L36" i="12"/>
  <c r="M36" i="12"/>
  <c r="N36" i="12"/>
  <c r="O36" i="12"/>
  <c r="P36" i="12"/>
  <c r="Q36" i="12"/>
  <c r="R36" i="12"/>
  <c r="S36" i="12"/>
  <c r="T36" i="12"/>
  <c r="U36" i="12"/>
  <c r="V36" i="12"/>
  <c r="W36" i="12"/>
  <c r="X36" i="12"/>
  <c r="Y36" i="12"/>
  <c r="Z36" i="12"/>
  <c r="AA36" i="12"/>
  <c r="AB36" i="12"/>
  <c r="AC36" i="12"/>
  <c r="AD36" i="12"/>
  <c r="AE36" i="12"/>
  <c r="AF36" i="12"/>
  <c r="AG36" i="12"/>
  <c r="AH36" i="12"/>
  <c r="AI36" i="12"/>
  <c r="AJ36" i="12"/>
  <c r="AK36" i="12"/>
  <c r="AL36" i="12"/>
  <c r="AM36" i="12"/>
  <c r="AN36" i="12"/>
  <c r="AO36" i="12"/>
  <c r="AP36" i="12"/>
  <c r="AQ36" i="12"/>
  <c r="AR36" i="12"/>
  <c r="AS36" i="12"/>
  <c r="AT36" i="12"/>
  <c r="AU36" i="12"/>
  <c r="AV36" i="12"/>
  <c r="AW36" i="12"/>
  <c r="AZ36" i="12"/>
  <c r="BA36" i="12"/>
  <c r="BB36" i="12"/>
  <c r="BC36" i="12"/>
  <c r="BD36" i="12"/>
  <c r="BE36" i="12"/>
  <c r="BF36" i="12"/>
  <c r="BG36" i="12"/>
  <c r="BH36" i="12"/>
  <c r="BI36" i="12"/>
  <c r="BJ36" i="12"/>
  <c r="BK36" i="12"/>
  <c r="BN36" i="12"/>
  <c r="BO36" i="12"/>
  <c r="BP36" i="12"/>
  <c r="BQ36" i="12"/>
  <c r="BS36" i="12"/>
  <c r="BT36" i="12"/>
  <c r="BU36" i="12"/>
  <c r="BV36" i="12"/>
  <c r="BW36" i="12"/>
  <c r="BX36" i="12"/>
  <c r="BY36" i="12"/>
  <c r="BZ36" i="12"/>
  <c r="CA36" i="12"/>
  <c r="CB36" i="12"/>
  <c r="CC36" i="12"/>
  <c r="CD36" i="12"/>
  <c r="CE36" i="12"/>
  <c r="CF36" i="12"/>
  <c r="CG36" i="12"/>
  <c r="CH36" i="12"/>
  <c r="CI36" i="12"/>
  <c r="CJ36" i="12"/>
  <c r="CK36" i="12"/>
  <c r="CL36" i="12"/>
  <c r="CM36" i="12"/>
  <c r="CN36" i="12"/>
  <c r="CO36" i="12"/>
  <c r="CP36" i="12"/>
  <c r="CQ36" i="12"/>
  <c r="CR36" i="12"/>
  <c r="CS36" i="12"/>
  <c r="CT36" i="12"/>
  <c r="CU36" i="12"/>
  <c r="CV36" i="12"/>
  <c r="CW36" i="12"/>
  <c r="CX36" i="12"/>
  <c r="CY36" i="12"/>
  <c r="CZ36" i="12"/>
  <c r="DA36" i="12"/>
  <c r="DB36" i="12"/>
  <c r="DC36" i="12"/>
  <c r="B37" i="12"/>
  <c r="C37" i="12"/>
  <c r="D37" i="12"/>
  <c r="E37" i="12"/>
  <c r="F37" i="12"/>
  <c r="G37" i="12"/>
  <c r="H37" i="12"/>
  <c r="I37" i="12"/>
  <c r="J37" i="12"/>
  <c r="K37" i="12"/>
  <c r="L37" i="12"/>
  <c r="M37" i="12"/>
  <c r="N37" i="12"/>
  <c r="O37" i="12"/>
  <c r="P37" i="12"/>
  <c r="Q37" i="12"/>
  <c r="R37" i="12"/>
  <c r="S37" i="12"/>
  <c r="T37" i="12"/>
  <c r="U37" i="12"/>
  <c r="V37" i="12"/>
  <c r="W37" i="12"/>
  <c r="X37" i="12"/>
  <c r="Y37" i="12"/>
  <c r="Z37" i="12"/>
  <c r="AA37" i="12"/>
  <c r="AB37" i="12"/>
  <c r="AC37" i="12"/>
  <c r="AD37" i="12"/>
  <c r="AE37" i="12"/>
  <c r="AF37" i="12"/>
  <c r="AG37" i="12"/>
  <c r="AH37" i="12"/>
  <c r="AI37" i="12"/>
  <c r="AJ37" i="12"/>
  <c r="AK37" i="12"/>
  <c r="AL37" i="12"/>
  <c r="AM37" i="12"/>
  <c r="AN37" i="12"/>
  <c r="AO37" i="12"/>
  <c r="AP37" i="12"/>
  <c r="AQ37" i="12"/>
  <c r="AR37" i="12"/>
  <c r="AS37" i="12"/>
  <c r="AT37" i="12"/>
  <c r="AU37" i="12"/>
  <c r="AV37" i="12"/>
  <c r="AW37" i="12"/>
  <c r="AZ37" i="12"/>
  <c r="BA37" i="12"/>
  <c r="BB37" i="12"/>
  <c r="BC37" i="12"/>
  <c r="BD37" i="12"/>
  <c r="BE37" i="12"/>
  <c r="BF37" i="12"/>
  <c r="BG37" i="12"/>
  <c r="BH37" i="12"/>
  <c r="BI37" i="12"/>
  <c r="BJ37" i="12"/>
  <c r="BK37" i="12"/>
  <c r="BN37" i="12"/>
  <c r="BO37" i="12"/>
  <c r="BP37" i="12"/>
  <c r="BQ37" i="12"/>
  <c r="BS37" i="12"/>
  <c r="BT37" i="12"/>
  <c r="BU37" i="12"/>
  <c r="BV37" i="12"/>
  <c r="BW37" i="12"/>
  <c r="BX37" i="12"/>
  <c r="BY37" i="12"/>
  <c r="BZ37" i="12"/>
  <c r="CA37" i="12"/>
  <c r="CB37" i="12"/>
  <c r="CC37" i="12"/>
  <c r="CD37" i="12"/>
  <c r="CE37" i="12"/>
  <c r="CF37" i="12"/>
  <c r="CG37" i="12"/>
  <c r="CH37" i="12"/>
  <c r="CI37" i="12"/>
  <c r="CJ37" i="12"/>
  <c r="CK37" i="12"/>
  <c r="CL37" i="12"/>
  <c r="CM37" i="12"/>
  <c r="CN37" i="12"/>
  <c r="CO37" i="12"/>
  <c r="CP37" i="12"/>
  <c r="CQ37" i="12"/>
  <c r="CR37" i="12"/>
  <c r="CS37" i="12"/>
  <c r="CT37" i="12"/>
  <c r="CU37" i="12"/>
  <c r="CV37" i="12"/>
  <c r="CW37" i="12"/>
  <c r="CX37" i="12"/>
  <c r="CY37" i="12"/>
  <c r="CZ37" i="12"/>
  <c r="DA37" i="12"/>
  <c r="DB37" i="12"/>
  <c r="DC37" i="12"/>
  <c r="B38" i="12"/>
  <c r="C38" i="12"/>
  <c r="D38" i="12"/>
  <c r="E38" i="12"/>
  <c r="F38" i="12"/>
  <c r="G38" i="12"/>
  <c r="H38" i="12"/>
  <c r="I38" i="12"/>
  <c r="J38" i="12"/>
  <c r="K38" i="12"/>
  <c r="L38" i="12"/>
  <c r="M38" i="12"/>
  <c r="N38" i="12"/>
  <c r="O38" i="12"/>
  <c r="P38" i="12"/>
  <c r="Q38" i="12"/>
  <c r="R38" i="12"/>
  <c r="S38" i="12"/>
  <c r="T38" i="12"/>
  <c r="U38" i="12"/>
  <c r="V38" i="12"/>
  <c r="W38" i="12"/>
  <c r="X38" i="12"/>
  <c r="Y38" i="12"/>
  <c r="Z38" i="12"/>
  <c r="AA38" i="12"/>
  <c r="AB38" i="12"/>
  <c r="AC38" i="12"/>
  <c r="AD38" i="12"/>
  <c r="AE38" i="12"/>
  <c r="AF38" i="12"/>
  <c r="AG38" i="12"/>
  <c r="AH38" i="12"/>
  <c r="AI38" i="12"/>
  <c r="AJ38" i="12"/>
  <c r="AK38" i="12"/>
  <c r="AL38" i="12"/>
  <c r="AM38" i="12"/>
  <c r="AN38" i="12"/>
  <c r="AO38" i="12"/>
  <c r="AP38" i="12"/>
  <c r="AQ38" i="12"/>
  <c r="AR38" i="12"/>
  <c r="AS38" i="12"/>
  <c r="AT38" i="12"/>
  <c r="AU38" i="12"/>
  <c r="AV38" i="12"/>
  <c r="AW38" i="12"/>
  <c r="AZ38" i="12"/>
  <c r="BA38" i="12"/>
  <c r="BB38" i="12"/>
  <c r="BC38" i="12"/>
  <c r="BD38" i="12"/>
  <c r="BE38" i="12"/>
  <c r="BF38" i="12"/>
  <c r="BG38" i="12"/>
  <c r="BH38" i="12"/>
  <c r="BI38" i="12"/>
  <c r="BJ38" i="12"/>
  <c r="BK38" i="12"/>
  <c r="BN38" i="12"/>
  <c r="BO38" i="12"/>
  <c r="BP38" i="12"/>
  <c r="BQ38" i="12"/>
  <c r="BS38" i="12"/>
  <c r="BT38" i="12"/>
  <c r="BU38" i="12"/>
  <c r="BV38" i="12"/>
  <c r="BW38" i="12"/>
  <c r="BX38" i="12"/>
  <c r="BY38" i="12"/>
  <c r="BZ38" i="12"/>
  <c r="CA38" i="12"/>
  <c r="CB38" i="12"/>
  <c r="CC38" i="12"/>
  <c r="CD38" i="12"/>
  <c r="CE38" i="12"/>
  <c r="CF38" i="12"/>
  <c r="CG38" i="12"/>
  <c r="CH38" i="12"/>
  <c r="CI38" i="12"/>
  <c r="CJ38" i="12"/>
  <c r="CK38" i="12"/>
  <c r="CL38" i="12"/>
  <c r="CM38" i="12"/>
  <c r="CN38" i="12"/>
  <c r="CO38" i="12"/>
  <c r="CP38" i="12"/>
  <c r="CQ38" i="12"/>
  <c r="CR38" i="12"/>
  <c r="CS38" i="12"/>
  <c r="CT38" i="12"/>
  <c r="CU38" i="12"/>
  <c r="CV38" i="12"/>
  <c r="CW38" i="12"/>
  <c r="CX38" i="12"/>
  <c r="CY38" i="12"/>
  <c r="CZ38" i="12"/>
  <c r="DA38" i="12"/>
  <c r="DB38" i="12"/>
  <c r="DC38" i="12"/>
  <c r="B39" i="12"/>
  <c r="C39" i="12"/>
  <c r="D39" i="12"/>
  <c r="E39" i="12"/>
  <c r="F39" i="12"/>
  <c r="G39" i="12"/>
  <c r="H39" i="12"/>
  <c r="I39" i="12"/>
  <c r="J39" i="12"/>
  <c r="K39" i="12"/>
  <c r="L39" i="12"/>
  <c r="M39" i="12"/>
  <c r="N39" i="12"/>
  <c r="O39" i="12"/>
  <c r="P39" i="12"/>
  <c r="Q39" i="12"/>
  <c r="R39" i="12"/>
  <c r="S39" i="12"/>
  <c r="T39" i="12"/>
  <c r="U39" i="12"/>
  <c r="V39" i="12"/>
  <c r="W39" i="12"/>
  <c r="X39" i="12"/>
  <c r="Y39" i="12"/>
  <c r="Z39" i="12"/>
  <c r="AA39" i="12"/>
  <c r="AB39" i="12"/>
  <c r="AC39" i="12"/>
  <c r="AD39" i="12"/>
  <c r="AE39" i="12"/>
  <c r="AF39" i="12"/>
  <c r="AG39" i="12"/>
  <c r="AH39" i="12"/>
  <c r="AI39" i="12"/>
  <c r="AJ39" i="12"/>
  <c r="AK39" i="12"/>
  <c r="AL39" i="12"/>
  <c r="AM39" i="12"/>
  <c r="AN39" i="12"/>
  <c r="AO39" i="12"/>
  <c r="AP39" i="12"/>
  <c r="AQ39" i="12"/>
  <c r="AR39" i="12"/>
  <c r="AS39" i="12"/>
  <c r="AT39" i="12"/>
  <c r="AU39" i="12"/>
  <c r="AV39" i="12"/>
  <c r="AW39" i="12"/>
  <c r="AZ39" i="12"/>
  <c r="BA39" i="12"/>
  <c r="BB39" i="12"/>
  <c r="BC39" i="12"/>
  <c r="BD39" i="12"/>
  <c r="BE39" i="12"/>
  <c r="BF39" i="12"/>
  <c r="BG39" i="12"/>
  <c r="BH39" i="12"/>
  <c r="BI39" i="12"/>
  <c r="BJ39" i="12"/>
  <c r="BK39" i="12"/>
  <c r="BN39" i="12"/>
  <c r="BO39" i="12"/>
  <c r="BP39" i="12"/>
  <c r="BQ39" i="12"/>
  <c r="BS39" i="12"/>
  <c r="BT39" i="12"/>
  <c r="BU39" i="12"/>
  <c r="BV39" i="12"/>
  <c r="BW39" i="12"/>
  <c r="BX39" i="12"/>
  <c r="BY39" i="12"/>
  <c r="BZ39" i="12"/>
  <c r="CA39" i="12"/>
  <c r="CB39" i="12"/>
  <c r="CC39" i="12"/>
  <c r="CD39" i="12"/>
  <c r="CE39" i="12"/>
  <c r="CF39" i="12"/>
  <c r="CG39" i="12"/>
  <c r="CH39" i="12"/>
  <c r="CI39" i="12"/>
  <c r="CJ39" i="12"/>
  <c r="CK39" i="12"/>
  <c r="CL39" i="12"/>
  <c r="CM39" i="12"/>
  <c r="CN39" i="12"/>
  <c r="CO39" i="12"/>
  <c r="CP39" i="12"/>
  <c r="CQ39" i="12"/>
  <c r="CR39" i="12"/>
  <c r="CS39" i="12"/>
  <c r="CT39" i="12"/>
  <c r="CU39" i="12"/>
  <c r="CV39" i="12"/>
  <c r="CW39" i="12"/>
  <c r="CX39" i="12"/>
  <c r="CY39" i="12"/>
  <c r="CZ39" i="12"/>
  <c r="DA39" i="12"/>
  <c r="DB39" i="12"/>
  <c r="DC39" i="12"/>
  <c r="B40" i="12"/>
  <c r="C40" i="12"/>
  <c r="D40" i="12"/>
  <c r="E40" i="12"/>
  <c r="F40" i="12"/>
  <c r="G40" i="12"/>
  <c r="H40" i="12"/>
  <c r="I40" i="12"/>
  <c r="J40" i="12"/>
  <c r="K40" i="12"/>
  <c r="L40" i="12"/>
  <c r="M40" i="12"/>
  <c r="N40" i="12"/>
  <c r="O40" i="12"/>
  <c r="P40" i="12"/>
  <c r="Q40" i="12"/>
  <c r="R40" i="12"/>
  <c r="S40" i="12"/>
  <c r="T40" i="12"/>
  <c r="U40" i="12"/>
  <c r="V40" i="12"/>
  <c r="W40" i="12"/>
  <c r="X40" i="12"/>
  <c r="Y40" i="12"/>
  <c r="Z40" i="12"/>
  <c r="AA40" i="12"/>
  <c r="AB40" i="12"/>
  <c r="AC40" i="12"/>
  <c r="AD40" i="12"/>
  <c r="AE40" i="12"/>
  <c r="AF40" i="12"/>
  <c r="AG40" i="12"/>
  <c r="AH40" i="12"/>
  <c r="AI40" i="12"/>
  <c r="AJ40" i="12"/>
  <c r="AK40" i="12"/>
  <c r="AL40" i="12"/>
  <c r="AM40" i="12"/>
  <c r="AN40" i="12"/>
  <c r="AO40" i="12"/>
  <c r="AP40" i="12"/>
  <c r="AQ40" i="12"/>
  <c r="AR40" i="12"/>
  <c r="AS40" i="12"/>
  <c r="AT40" i="12"/>
  <c r="AU40" i="12"/>
  <c r="AV40" i="12"/>
  <c r="AW40" i="12"/>
  <c r="AZ40" i="12"/>
  <c r="BA40" i="12"/>
  <c r="BB40" i="12"/>
  <c r="BC40" i="12"/>
  <c r="BD40" i="12"/>
  <c r="BE40" i="12"/>
  <c r="BF40" i="12"/>
  <c r="BG40" i="12"/>
  <c r="BH40" i="12"/>
  <c r="BI40" i="12"/>
  <c r="BJ40" i="12"/>
  <c r="BK40" i="12"/>
  <c r="BN40" i="12"/>
  <c r="BO40" i="12"/>
  <c r="BP40" i="12"/>
  <c r="BQ40" i="12"/>
  <c r="BS40" i="12"/>
  <c r="BT40" i="12"/>
  <c r="BU40" i="12"/>
  <c r="BV40" i="12"/>
  <c r="BW40" i="12"/>
  <c r="BX40" i="12"/>
  <c r="BY40" i="12"/>
  <c r="BZ40" i="12"/>
  <c r="CA40" i="12"/>
  <c r="CB40" i="12"/>
  <c r="CC40" i="12"/>
  <c r="CD40" i="12"/>
  <c r="CE40" i="12"/>
  <c r="CF40" i="12"/>
  <c r="CG40" i="12"/>
  <c r="CH40" i="12"/>
  <c r="CI40" i="12"/>
  <c r="CJ40" i="12"/>
  <c r="CK40" i="12"/>
  <c r="CL40" i="12"/>
  <c r="CM40" i="12"/>
  <c r="CN40" i="12"/>
  <c r="CO40" i="12"/>
  <c r="CP40" i="12"/>
  <c r="CQ40" i="12"/>
  <c r="CR40" i="12"/>
  <c r="CS40" i="12"/>
  <c r="CT40" i="12"/>
  <c r="CU40" i="12"/>
  <c r="CV40" i="12"/>
  <c r="CW40" i="12"/>
  <c r="CX40" i="12"/>
  <c r="CY40" i="12"/>
  <c r="CZ40" i="12"/>
  <c r="DA40" i="12"/>
  <c r="DB40" i="12"/>
  <c r="DC40" i="12"/>
  <c r="B41" i="12"/>
  <c r="C41" i="12"/>
  <c r="D41" i="12"/>
  <c r="E41" i="12"/>
  <c r="F41" i="12"/>
  <c r="G41" i="12"/>
  <c r="H41" i="12"/>
  <c r="I41" i="12"/>
  <c r="J41" i="12"/>
  <c r="K41" i="12"/>
  <c r="L41" i="12"/>
  <c r="M41" i="12"/>
  <c r="N41" i="12"/>
  <c r="O41" i="12"/>
  <c r="P41" i="12"/>
  <c r="Q41" i="12"/>
  <c r="R41" i="12"/>
  <c r="S41" i="12"/>
  <c r="T41" i="12"/>
  <c r="U41" i="12"/>
  <c r="V41" i="12"/>
  <c r="W41" i="12"/>
  <c r="X41" i="12"/>
  <c r="Y41" i="12"/>
  <c r="Z41" i="12"/>
  <c r="AA41" i="12"/>
  <c r="AB41" i="12"/>
  <c r="AC41" i="12"/>
  <c r="AD41" i="12"/>
  <c r="AE41" i="12"/>
  <c r="AF41" i="12"/>
  <c r="AG41" i="12"/>
  <c r="AH41" i="12"/>
  <c r="AI41" i="12"/>
  <c r="AJ41" i="12"/>
  <c r="AK41" i="12"/>
  <c r="AL41" i="12"/>
  <c r="AM41" i="12"/>
  <c r="AN41" i="12"/>
  <c r="AO41" i="12"/>
  <c r="AP41" i="12"/>
  <c r="AQ41" i="12"/>
  <c r="AR41" i="12"/>
  <c r="AS41" i="12"/>
  <c r="AT41" i="12"/>
  <c r="AU41" i="12"/>
  <c r="AV41" i="12"/>
  <c r="AW41" i="12"/>
  <c r="AZ41" i="12"/>
  <c r="BA41" i="12"/>
  <c r="BB41" i="12"/>
  <c r="BC41" i="12"/>
  <c r="BD41" i="12"/>
  <c r="BE41" i="12"/>
  <c r="BF41" i="12"/>
  <c r="BG41" i="12"/>
  <c r="BH41" i="12"/>
  <c r="BI41" i="12"/>
  <c r="BJ41" i="12"/>
  <c r="BK41" i="12"/>
  <c r="BN41" i="12"/>
  <c r="BO41" i="12"/>
  <c r="BP41" i="12"/>
  <c r="BQ41" i="12"/>
  <c r="BS41" i="12"/>
  <c r="BT41" i="12"/>
  <c r="BU41" i="12"/>
  <c r="BV41" i="12"/>
  <c r="BW41" i="12"/>
  <c r="BX41" i="12"/>
  <c r="BY41" i="12"/>
  <c r="BZ41" i="12"/>
  <c r="CA41" i="12"/>
  <c r="CB41" i="12"/>
  <c r="CC41" i="12"/>
  <c r="CD41" i="12"/>
  <c r="CE41" i="12"/>
  <c r="CF41" i="12"/>
  <c r="CG41" i="12"/>
  <c r="CH41" i="12"/>
  <c r="CI41" i="12"/>
  <c r="CJ41" i="12"/>
  <c r="CK41" i="12"/>
  <c r="CL41" i="12"/>
  <c r="CM41" i="12"/>
  <c r="CN41" i="12"/>
  <c r="CO41" i="12"/>
  <c r="CP41" i="12"/>
  <c r="CQ41" i="12"/>
  <c r="CR41" i="12"/>
  <c r="CS41" i="12"/>
  <c r="CT41" i="12"/>
  <c r="CU41" i="12"/>
  <c r="CV41" i="12"/>
  <c r="CW41" i="12"/>
  <c r="CX41" i="12"/>
  <c r="CY41" i="12"/>
  <c r="CZ41" i="12"/>
  <c r="DA41" i="12"/>
  <c r="DB41" i="12"/>
  <c r="DC41" i="12"/>
  <c r="B42" i="12"/>
  <c r="C42" i="12"/>
  <c r="D42" i="12"/>
  <c r="E42" i="12"/>
  <c r="F42" i="12"/>
  <c r="G42" i="12"/>
  <c r="H42" i="12"/>
  <c r="I42" i="12"/>
  <c r="J42" i="12"/>
  <c r="K42" i="12"/>
  <c r="L42" i="12"/>
  <c r="M42" i="12"/>
  <c r="N42" i="12"/>
  <c r="O42" i="12"/>
  <c r="P42" i="12"/>
  <c r="Q42" i="12"/>
  <c r="R42" i="12"/>
  <c r="S42" i="12"/>
  <c r="T42" i="12"/>
  <c r="U42" i="12"/>
  <c r="V42" i="12"/>
  <c r="W42" i="12"/>
  <c r="X42" i="12"/>
  <c r="Y42" i="12"/>
  <c r="Z42" i="12"/>
  <c r="AA42" i="12"/>
  <c r="AB42" i="12"/>
  <c r="AC42" i="12"/>
  <c r="AD42" i="12"/>
  <c r="AE42" i="12"/>
  <c r="AF42" i="12"/>
  <c r="AG42" i="12"/>
  <c r="AH42" i="12"/>
  <c r="AI42" i="12"/>
  <c r="AJ42" i="12"/>
  <c r="AK42" i="12"/>
  <c r="AL42" i="12"/>
  <c r="AM42" i="12"/>
  <c r="AN42" i="12"/>
  <c r="AO42" i="12"/>
  <c r="AP42" i="12"/>
  <c r="AQ42" i="12"/>
  <c r="AR42" i="12"/>
  <c r="AS42" i="12"/>
  <c r="AT42" i="12"/>
  <c r="AU42" i="12"/>
  <c r="AV42" i="12"/>
  <c r="AW42" i="12"/>
  <c r="AZ42" i="12"/>
  <c r="BA42" i="12"/>
  <c r="BB42" i="12"/>
  <c r="BC42" i="12"/>
  <c r="BD42" i="12"/>
  <c r="BE42" i="12"/>
  <c r="BF42" i="12"/>
  <c r="BG42" i="12"/>
  <c r="BH42" i="12"/>
  <c r="BI42" i="12"/>
  <c r="BJ42" i="12"/>
  <c r="BK42" i="12"/>
  <c r="BN42" i="12"/>
  <c r="BO42" i="12"/>
  <c r="BP42" i="12"/>
  <c r="BQ42" i="12"/>
  <c r="BS42" i="12"/>
  <c r="BT42" i="12"/>
  <c r="BU42" i="12"/>
  <c r="BV42" i="12"/>
  <c r="BW42" i="12"/>
  <c r="BX42" i="12"/>
  <c r="BY42" i="12"/>
  <c r="BZ42" i="12"/>
  <c r="CA42" i="12"/>
  <c r="CB42" i="12"/>
  <c r="CC42" i="12"/>
  <c r="CD42" i="12"/>
  <c r="CE42" i="12"/>
  <c r="CF42" i="12"/>
  <c r="CG42" i="12"/>
  <c r="CH42" i="12"/>
  <c r="CI42" i="12"/>
  <c r="CJ42" i="12"/>
  <c r="CK42" i="12"/>
  <c r="CL42" i="12"/>
  <c r="CM42" i="12"/>
  <c r="CN42" i="12"/>
  <c r="CO42" i="12"/>
  <c r="CP42" i="12"/>
  <c r="CQ42" i="12"/>
  <c r="CR42" i="12"/>
  <c r="CS42" i="12"/>
  <c r="CT42" i="12"/>
  <c r="CU42" i="12"/>
  <c r="CV42" i="12"/>
  <c r="CW42" i="12"/>
  <c r="CX42" i="12"/>
  <c r="CY42" i="12"/>
  <c r="CZ42" i="12"/>
  <c r="DA42" i="12"/>
  <c r="DB42" i="12"/>
  <c r="DC42" i="12"/>
  <c r="B43" i="12"/>
  <c r="C43" i="12"/>
  <c r="D43" i="12"/>
  <c r="E43" i="12"/>
  <c r="F43" i="12"/>
  <c r="G43" i="12"/>
  <c r="H43" i="12"/>
  <c r="I43" i="12"/>
  <c r="J43" i="12"/>
  <c r="K43" i="12"/>
  <c r="L43" i="12"/>
  <c r="M43" i="12"/>
  <c r="N43" i="12"/>
  <c r="O43" i="12"/>
  <c r="P43" i="12"/>
  <c r="Q43" i="12"/>
  <c r="R43" i="12"/>
  <c r="S43" i="12"/>
  <c r="T43" i="12"/>
  <c r="U43" i="12"/>
  <c r="V43" i="12"/>
  <c r="W43" i="12"/>
  <c r="X43" i="12"/>
  <c r="Y43" i="12"/>
  <c r="Z43" i="12"/>
  <c r="AA43" i="12"/>
  <c r="AB43" i="12"/>
  <c r="AC43" i="12"/>
  <c r="AD43" i="12"/>
  <c r="AE43" i="12"/>
  <c r="AF43" i="12"/>
  <c r="AG43" i="12"/>
  <c r="AH43" i="12"/>
  <c r="AI43" i="12"/>
  <c r="AJ43" i="12"/>
  <c r="AK43" i="12"/>
  <c r="AL43" i="12"/>
  <c r="AM43" i="12"/>
  <c r="AN43" i="12"/>
  <c r="AO43" i="12"/>
  <c r="AP43" i="12"/>
  <c r="AQ43" i="12"/>
  <c r="AR43" i="12"/>
  <c r="AS43" i="12"/>
  <c r="AT43" i="12"/>
  <c r="AU43" i="12"/>
  <c r="AV43" i="12"/>
  <c r="AW43" i="12"/>
  <c r="AX43" i="12"/>
  <c r="AY43" i="12"/>
  <c r="AZ43" i="12"/>
  <c r="BA43" i="12"/>
  <c r="BB43" i="12"/>
  <c r="BC43" i="12"/>
  <c r="BD43" i="12"/>
  <c r="BE43" i="12"/>
  <c r="BF43" i="12"/>
  <c r="BG43" i="12"/>
  <c r="BH43" i="12"/>
  <c r="BI43" i="12"/>
  <c r="BJ43" i="12"/>
  <c r="BK43" i="12"/>
  <c r="BL43" i="12"/>
  <c r="BM43" i="12"/>
  <c r="BN43" i="12"/>
  <c r="BO43" i="12"/>
  <c r="BP43" i="12"/>
  <c r="BQ43" i="12"/>
  <c r="BR43" i="12"/>
  <c r="BS43" i="12"/>
  <c r="BT43" i="12"/>
  <c r="BU43" i="12"/>
  <c r="BV43" i="12"/>
  <c r="BW43" i="12"/>
  <c r="BX43" i="12"/>
  <c r="BY43" i="12"/>
  <c r="BZ43" i="12"/>
  <c r="CA43" i="12"/>
  <c r="CB43" i="12"/>
  <c r="CC43" i="12"/>
  <c r="CD43" i="12"/>
  <c r="CE43" i="12"/>
  <c r="CF43" i="12"/>
  <c r="CG43" i="12"/>
  <c r="CH43" i="12"/>
  <c r="CI43" i="12"/>
  <c r="CJ43" i="12"/>
  <c r="CK43" i="12"/>
  <c r="CL43" i="12"/>
  <c r="CM43" i="12"/>
  <c r="CN43" i="12"/>
  <c r="CO43" i="12"/>
  <c r="CP43" i="12"/>
  <c r="CQ43" i="12"/>
  <c r="CR43" i="12"/>
  <c r="CS43" i="12"/>
  <c r="CT43" i="12"/>
  <c r="CU43" i="12"/>
  <c r="CV43" i="12"/>
  <c r="CW43" i="12"/>
  <c r="CX43" i="12"/>
  <c r="CY43" i="12"/>
  <c r="CZ43" i="12"/>
  <c r="DA43" i="12"/>
  <c r="DB43" i="12"/>
  <c r="DC43" i="12"/>
  <c r="DD43" i="12"/>
  <c r="DE43" i="12"/>
  <c r="DF43" i="12"/>
  <c r="B44" i="12"/>
  <c r="C44" i="12"/>
  <c r="D44" i="12"/>
  <c r="E44" i="12"/>
  <c r="F44" i="12"/>
  <c r="G44" i="12"/>
  <c r="H44" i="12"/>
  <c r="I44" i="12"/>
  <c r="J44" i="12"/>
  <c r="K44" i="12"/>
  <c r="L44" i="12"/>
  <c r="M44" i="12"/>
  <c r="N44" i="12"/>
  <c r="O44" i="12"/>
  <c r="P44" i="12"/>
  <c r="Q44" i="12"/>
  <c r="R44" i="12"/>
  <c r="S44" i="12"/>
  <c r="T44" i="12"/>
  <c r="U44" i="12"/>
  <c r="V44" i="12"/>
  <c r="W44" i="12"/>
  <c r="X44" i="12"/>
  <c r="Y44" i="12"/>
  <c r="Z44" i="12"/>
  <c r="AA44" i="12"/>
  <c r="AB44" i="12"/>
  <c r="AC44" i="12"/>
  <c r="AD44" i="12"/>
  <c r="AE44" i="12"/>
  <c r="AF44" i="12"/>
  <c r="AG44" i="12"/>
  <c r="AH44" i="12"/>
  <c r="AI44" i="12"/>
  <c r="AJ44" i="12"/>
  <c r="AK44" i="12"/>
  <c r="AL44" i="12"/>
  <c r="AM44" i="12"/>
  <c r="AN44" i="12"/>
  <c r="AO44" i="12"/>
  <c r="AP44" i="12"/>
  <c r="AQ44" i="12"/>
  <c r="AR44" i="12"/>
  <c r="AS44" i="12"/>
  <c r="AT44" i="12"/>
  <c r="AU44" i="12"/>
  <c r="AV44" i="12"/>
  <c r="AW44" i="12"/>
  <c r="AX44" i="12"/>
  <c r="AY44" i="12"/>
  <c r="AZ44" i="12"/>
  <c r="BA44" i="12"/>
  <c r="BB44" i="12"/>
  <c r="BC44" i="12"/>
  <c r="BD44" i="12"/>
  <c r="BE44" i="12"/>
  <c r="BF44" i="12"/>
  <c r="BG44" i="12"/>
  <c r="BH44" i="12"/>
  <c r="BI44" i="12"/>
  <c r="BJ44" i="12"/>
  <c r="BK44" i="12"/>
  <c r="BL44" i="12"/>
  <c r="BM44" i="12"/>
  <c r="BN44" i="12"/>
  <c r="BO44" i="12"/>
  <c r="BP44" i="12"/>
  <c r="BQ44" i="12"/>
  <c r="BR44" i="12"/>
  <c r="BS44" i="12"/>
  <c r="BT44" i="12"/>
  <c r="BU44" i="12"/>
  <c r="BV44" i="12"/>
  <c r="BW44" i="12"/>
  <c r="BX44" i="12"/>
  <c r="BY44" i="12"/>
  <c r="BZ44" i="12"/>
  <c r="CA44" i="12"/>
  <c r="CB44" i="12"/>
  <c r="CC44" i="12"/>
  <c r="CD44" i="12"/>
  <c r="CE44" i="12"/>
  <c r="CF44" i="12"/>
  <c r="CG44" i="12"/>
  <c r="CH44" i="12"/>
  <c r="CI44" i="12"/>
  <c r="CJ44" i="12"/>
  <c r="CK44" i="12"/>
  <c r="CL44" i="12"/>
  <c r="CM44" i="12"/>
  <c r="CN44" i="12"/>
  <c r="CO44" i="12"/>
  <c r="CP44" i="12"/>
  <c r="CQ44" i="12"/>
  <c r="CR44" i="12"/>
  <c r="CS44" i="12"/>
  <c r="CT44" i="12"/>
  <c r="CU44" i="12"/>
  <c r="CV44" i="12"/>
  <c r="CW44" i="12"/>
  <c r="CX44" i="12"/>
  <c r="CY44" i="12"/>
  <c r="CZ44" i="12"/>
  <c r="DA44" i="12"/>
  <c r="DB44" i="12"/>
  <c r="DC44" i="12"/>
  <c r="DD44" i="12"/>
  <c r="DE44" i="12"/>
  <c r="DF44" i="12"/>
  <c r="B45" i="12"/>
  <c r="C45" i="12"/>
  <c r="D45" i="12"/>
  <c r="E45" i="12"/>
  <c r="F45" i="12"/>
  <c r="G45" i="12"/>
  <c r="H45" i="12"/>
  <c r="I45" i="12"/>
  <c r="J45" i="12"/>
  <c r="K45" i="12"/>
  <c r="L45" i="12"/>
  <c r="M45" i="12"/>
  <c r="N45" i="12"/>
  <c r="O45" i="12"/>
  <c r="P45" i="12"/>
  <c r="Q45" i="12"/>
  <c r="R45" i="12"/>
  <c r="S45" i="12"/>
  <c r="T45" i="12"/>
  <c r="U45" i="12"/>
  <c r="V45" i="12"/>
  <c r="W45" i="12"/>
  <c r="X45" i="12"/>
  <c r="Y45" i="12"/>
  <c r="Z45" i="12"/>
  <c r="AA45" i="12"/>
  <c r="AB45" i="12"/>
  <c r="AC45" i="12"/>
  <c r="AD45" i="12"/>
  <c r="AE45" i="12"/>
  <c r="AF45" i="12"/>
  <c r="AG45" i="12"/>
  <c r="AH45" i="12"/>
  <c r="AI45" i="12"/>
  <c r="AJ45" i="12"/>
  <c r="AK45" i="12"/>
  <c r="AL45" i="12"/>
  <c r="AM45" i="12"/>
  <c r="AN45" i="12"/>
  <c r="AO45" i="12"/>
  <c r="AP45" i="12"/>
  <c r="AQ45" i="12"/>
  <c r="AR45" i="12"/>
  <c r="AS45" i="12"/>
  <c r="AT45" i="12"/>
  <c r="AU45" i="12"/>
  <c r="AV45" i="12"/>
  <c r="AW45" i="12"/>
  <c r="AX45" i="12"/>
  <c r="AY45" i="12"/>
  <c r="AZ45" i="12"/>
  <c r="BA45" i="12"/>
  <c r="BB45" i="12"/>
  <c r="BC45" i="12"/>
  <c r="BD45" i="12"/>
  <c r="BE45" i="12"/>
  <c r="BF45" i="12"/>
  <c r="BG45" i="12"/>
  <c r="BH45" i="12"/>
  <c r="BI45" i="12"/>
  <c r="BJ45" i="12"/>
  <c r="BK45" i="12"/>
  <c r="BL45" i="12"/>
  <c r="BM45" i="12"/>
  <c r="BN45" i="12"/>
  <c r="BO45" i="12"/>
  <c r="BP45" i="12"/>
  <c r="BQ45" i="12"/>
  <c r="BR45" i="12"/>
  <c r="BS45" i="12"/>
  <c r="BT45" i="12"/>
  <c r="BU45" i="12"/>
  <c r="BV45" i="12"/>
  <c r="BW45" i="12"/>
  <c r="BX45" i="12"/>
  <c r="BY45" i="12"/>
  <c r="BZ45" i="12"/>
  <c r="CA45" i="12"/>
  <c r="CB45" i="12"/>
  <c r="CC45" i="12"/>
  <c r="CD45" i="12"/>
  <c r="CE45" i="12"/>
  <c r="CF45" i="12"/>
  <c r="CG45" i="12"/>
  <c r="CH45" i="12"/>
  <c r="CI45" i="12"/>
  <c r="CJ45" i="12"/>
  <c r="CK45" i="12"/>
  <c r="CL45" i="12"/>
  <c r="CM45" i="12"/>
  <c r="CN45" i="12"/>
  <c r="CO45" i="12"/>
  <c r="CP45" i="12"/>
  <c r="CQ45" i="12"/>
  <c r="CR45" i="12"/>
  <c r="CS45" i="12"/>
  <c r="CT45" i="12"/>
  <c r="CU45" i="12"/>
  <c r="CV45" i="12"/>
  <c r="CW45" i="12"/>
  <c r="CX45" i="12"/>
  <c r="CY45" i="12"/>
  <c r="CZ45" i="12"/>
  <c r="DA45" i="12"/>
  <c r="DB45" i="12"/>
  <c r="DC45" i="12"/>
  <c r="DD45" i="12"/>
  <c r="DE45" i="12"/>
  <c r="DF45" i="12"/>
  <c r="B46" i="12"/>
  <c r="C46" i="12"/>
  <c r="D46" i="12"/>
  <c r="E46" i="12"/>
  <c r="F46" i="12"/>
  <c r="G46" i="12"/>
  <c r="H46" i="12"/>
  <c r="I46" i="12"/>
  <c r="J46" i="12"/>
  <c r="K46" i="12"/>
  <c r="L46" i="12"/>
  <c r="M46" i="12"/>
  <c r="N46" i="12"/>
  <c r="O46" i="12"/>
  <c r="P46" i="12"/>
  <c r="Q46" i="12"/>
  <c r="R46" i="12"/>
  <c r="S46" i="12"/>
  <c r="T46" i="12"/>
  <c r="U46" i="12"/>
  <c r="V46" i="12"/>
  <c r="W46" i="12"/>
  <c r="X46" i="12"/>
  <c r="Y46" i="12"/>
  <c r="Z46" i="12"/>
  <c r="AA46" i="12"/>
  <c r="AB46" i="12"/>
  <c r="AC46" i="12"/>
  <c r="AD46" i="12"/>
  <c r="AE46" i="12"/>
  <c r="AF46" i="12"/>
  <c r="AG46" i="12"/>
  <c r="AH46" i="12"/>
  <c r="AI46" i="12"/>
  <c r="AJ46" i="12"/>
  <c r="AK46" i="12"/>
  <c r="AL46" i="12"/>
  <c r="AM46" i="12"/>
  <c r="AN46" i="12"/>
  <c r="AO46" i="12"/>
  <c r="AP46" i="12"/>
  <c r="AQ46" i="12"/>
  <c r="AR46" i="12"/>
  <c r="AS46" i="12"/>
  <c r="AT46" i="12"/>
  <c r="AU46" i="12"/>
  <c r="AV46" i="12"/>
  <c r="AW46" i="12"/>
  <c r="AX46" i="12"/>
  <c r="AY46" i="12"/>
  <c r="AZ46" i="12"/>
  <c r="BA46" i="12"/>
  <c r="BB46" i="12"/>
  <c r="BC46" i="12"/>
  <c r="BD46" i="12"/>
  <c r="BE46" i="12"/>
  <c r="BF46" i="12"/>
  <c r="BG46" i="12"/>
  <c r="BH46" i="12"/>
  <c r="BI46" i="12"/>
  <c r="BJ46" i="12"/>
  <c r="BK46" i="12"/>
  <c r="BL46" i="12"/>
  <c r="BM46" i="12"/>
  <c r="BN46" i="12"/>
  <c r="BO46" i="12"/>
  <c r="BP46" i="12"/>
  <c r="BQ46" i="12"/>
  <c r="BR46" i="12"/>
  <c r="BS46" i="12"/>
  <c r="BT46" i="12"/>
  <c r="BU46" i="12"/>
  <c r="BV46" i="12"/>
  <c r="BW46" i="12"/>
  <c r="BX46" i="12"/>
  <c r="BY46" i="12"/>
  <c r="BZ46" i="12"/>
  <c r="CA46" i="12"/>
  <c r="CB46" i="12"/>
  <c r="CC46" i="12"/>
  <c r="CD46" i="12"/>
  <c r="CE46" i="12"/>
  <c r="CF46" i="12"/>
  <c r="CG46" i="12"/>
  <c r="CH46" i="12"/>
  <c r="CI46" i="12"/>
  <c r="CJ46" i="12"/>
  <c r="CK46" i="12"/>
  <c r="CL46" i="12"/>
  <c r="CM46" i="12"/>
  <c r="CN46" i="12"/>
  <c r="CO46" i="12"/>
  <c r="CP46" i="12"/>
  <c r="CQ46" i="12"/>
  <c r="CR46" i="12"/>
  <c r="CS46" i="12"/>
  <c r="CT46" i="12"/>
  <c r="CU46" i="12"/>
  <c r="CV46" i="12"/>
  <c r="CW46" i="12"/>
  <c r="CX46" i="12"/>
  <c r="CY46" i="12"/>
  <c r="CZ46" i="12"/>
  <c r="DA46" i="12"/>
  <c r="DB46" i="12"/>
  <c r="DC46" i="12"/>
  <c r="DD46" i="12"/>
  <c r="DE46" i="12"/>
  <c r="DF46" i="12"/>
  <c r="B47" i="12"/>
  <c r="C47" i="12"/>
  <c r="D47" i="12"/>
  <c r="E47" i="12"/>
  <c r="F47" i="12"/>
  <c r="G47" i="12"/>
  <c r="H47" i="12"/>
  <c r="I47" i="12"/>
  <c r="J47" i="12"/>
  <c r="K47" i="12"/>
  <c r="L47" i="12"/>
  <c r="M47" i="12"/>
  <c r="N47" i="12"/>
  <c r="O47" i="12"/>
  <c r="P47" i="12"/>
  <c r="Q47" i="12"/>
  <c r="R47" i="12"/>
  <c r="S47" i="12"/>
  <c r="T47" i="12"/>
  <c r="U47" i="12"/>
  <c r="V47" i="12"/>
  <c r="W47" i="12"/>
  <c r="X47" i="12"/>
  <c r="Y47" i="12"/>
  <c r="Z47" i="12"/>
  <c r="AA47" i="12"/>
  <c r="AB47" i="12"/>
  <c r="AC47" i="12"/>
  <c r="AD47" i="12"/>
  <c r="AE47" i="12"/>
  <c r="AF47" i="12"/>
  <c r="AG47" i="12"/>
  <c r="AH47" i="12"/>
  <c r="AI47" i="12"/>
  <c r="AJ47" i="12"/>
  <c r="AK47" i="12"/>
  <c r="AL47" i="12"/>
  <c r="AM47" i="12"/>
  <c r="AN47" i="12"/>
  <c r="AO47" i="12"/>
  <c r="AP47" i="12"/>
  <c r="AQ47" i="12"/>
  <c r="AR47" i="12"/>
  <c r="AS47" i="12"/>
  <c r="AT47" i="12"/>
  <c r="AU47" i="12"/>
  <c r="AV47" i="12"/>
  <c r="AW47" i="12"/>
  <c r="AX47" i="12"/>
  <c r="AY47" i="12"/>
  <c r="AZ47" i="12"/>
  <c r="BA47" i="12"/>
  <c r="BB47" i="12"/>
  <c r="BC47" i="12"/>
  <c r="BD47" i="12"/>
  <c r="BE47" i="12"/>
  <c r="BF47" i="12"/>
  <c r="BG47" i="12"/>
  <c r="BH47" i="12"/>
  <c r="BI47" i="12"/>
  <c r="BJ47" i="12"/>
  <c r="BK47" i="12"/>
  <c r="BL47" i="12"/>
  <c r="BM47" i="12"/>
  <c r="BN47" i="12"/>
  <c r="BO47" i="12"/>
  <c r="BP47" i="12"/>
  <c r="BQ47" i="12"/>
  <c r="BR47" i="12"/>
  <c r="BS47" i="12"/>
  <c r="BT47" i="12"/>
  <c r="BU47" i="12"/>
  <c r="BV47" i="12"/>
  <c r="BW47" i="12"/>
  <c r="BX47" i="12"/>
  <c r="BY47" i="12"/>
  <c r="BZ47" i="12"/>
  <c r="CA47" i="12"/>
  <c r="CB47" i="12"/>
  <c r="CC47" i="12"/>
  <c r="CD47" i="12"/>
  <c r="CE47" i="12"/>
  <c r="CF47" i="12"/>
  <c r="CG47" i="12"/>
  <c r="CH47" i="12"/>
  <c r="CI47" i="12"/>
  <c r="CJ47" i="12"/>
  <c r="CK47" i="12"/>
  <c r="CL47" i="12"/>
  <c r="CM47" i="12"/>
  <c r="CN47" i="12"/>
  <c r="CO47" i="12"/>
  <c r="CP47" i="12"/>
  <c r="CQ47" i="12"/>
  <c r="CR47" i="12"/>
  <c r="CS47" i="12"/>
  <c r="CT47" i="12"/>
  <c r="CU47" i="12"/>
  <c r="CV47" i="12"/>
  <c r="CW47" i="12"/>
  <c r="CX47" i="12"/>
  <c r="CY47" i="12"/>
  <c r="CZ47" i="12"/>
  <c r="DA47" i="12"/>
  <c r="DB47" i="12"/>
  <c r="DC47" i="12"/>
  <c r="DD47" i="12"/>
  <c r="DE47" i="12"/>
  <c r="DF47" i="12"/>
  <c r="C7" i="12"/>
  <c r="D7" i="12"/>
  <c r="E7" i="12"/>
  <c r="F7" i="12"/>
  <c r="G7" i="12"/>
  <c r="H7" i="12"/>
  <c r="I7" i="12"/>
  <c r="J7" i="12"/>
  <c r="K7" i="12"/>
  <c r="L7" i="12"/>
  <c r="M7" i="12"/>
  <c r="N7" i="12"/>
  <c r="O7" i="12"/>
  <c r="P7" i="12"/>
  <c r="Q7" i="12"/>
  <c r="R7" i="12"/>
  <c r="S7" i="12"/>
  <c r="T7" i="12"/>
  <c r="U7" i="12"/>
  <c r="V7" i="12"/>
  <c r="W7" i="12"/>
  <c r="X7" i="12"/>
  <c r="Y7" i="12"/>
  <c r="Z7" i="12"/>
  <c r="AA7" i="12"/>
  <c r="AB7" i="12"/>
  <c r="AC7" i="12"/>
  <c r="AD7" i="12"/>
  <c r="AE7" i="12"/>
  <c r="AF7" i="12"/>
  <c r="AG7" i="12"/>
  <c r="AH7" i="12"/>
  <c r="AI7" i="12"/>
  <c r="AJ7" i="12"/>
  <c r="AK7" i="12"/>
  <c r="AL7" i="12"/>
  <c r="AM7" i="12"/>
  <c r="AN7" i="12"/>
  <c r="AO7" i="12"/>
  <c r="AP7" i="12"/>
  <c r="AQ7" i="12"/>
  <c r="AR7" i="12"/>
  <c r="AS7" i="12"/>
  <c r="AT7" i="12"/>
  <c r="AU7" i="12"/>
  <c r="AV7" i="12"/>
  <c r="AW7" i="12"/>
  <c r="AZ7" i="12"/>
  <c r="BA7" i="12"/>
  <c r="BB7" i="12"/>
  <c r="BC7" i="12"/>
  <c r="BD7" i="12"/>
  <c r="BE7" i="12"/>
  <c r="BF7" i="12"/>
  <c r="BG7" i="12"/>
  <c r="BH7" i="12"/>
  <c r="BI7" i="12"/>
  <c r="BJ7" i="12"/>
  <c r="BK7" i="12"/>
  <c r="BN7" i="12"/>
  <c r="BO7" i="12"/>
  <c r="BP7" i="12"/>
  <c r="BQ7" i="12"/>
  <c r="BS7" i="12"/>
  <c r="BT7" i="12"/>
  <c r="BU7" i="12"/>
  <c r="BV7" i="12"/>
  <c r="BW7" i="12"/>
  <c r="BX7" i="12"/>
  <c r="BY7" i="12"/>
  <c r="BZ7" i="12"/>
  <c r="CA7" i="12"/>
  <c r="CB7" i="12"/>
  <c r="CC7" i="12"/>
  <c r="CD7" i="12"/>
  <c r="CE7" i="12"/>
  <c r="CF7" i="12"/>
  <c r="CG7" i="12"/>
  <c r="CH7" i="12"/>
  <c r="CI7" i="12"/>
  <c r="CJ7" i="12"/>
  <c r="CK7" i="12"/>
  <c r="CL7" i="12"/>
  <c r="CM7" i="12"/>
  <c r="CN7" i="12"/>
  <c r="CO7" i="12"/>
  <c r="CP7" i="12"/>
  <c r="CQ7" i="12"/>
  <c r="CR7" i="12"/>
  <c r="CS7" i="12"/>
  <c r="CT7" i="12"/>
  <c r="CU7" i="12"/>
  <c r="CV7" i="12"/>
  <c r="CW7" i="12"/>
  <c r="CX7" i="12"/>
  <c r="CY7" i="12"/>
  <c r="CZ7" i="12"/>
  <c r="DA7" i="12"/>
  <c r="DB7" i="12"/>
  <c r="DC7" i="12"/>
  <c r="B7" i="12"/>
  <c r="A7" i="12" s="1"/>
  <c r="O20" i="36" l="1"/>
  <c r="AX8" i="11"/>
  <c r="AL43" i="11"/>
  <c r="AK43" i="11"/>
  <c r="U43" i="11"/>
  <c r="T43" i="11"/>
  <c r="AL42" i="11"/>
  <c r="AK42" i="11"/>
  <c r="U42" i="11"/>
  <c r="T42" i="11"/>
  <c r="AL41" i="11"/>
  <c r="AK41" i="11"/>
  <c r="U41" i="11"/>
  <c r="T41" i="11"/>
  <c r="AL40" i="11"/>
  <c r="AK40" i="11"/>
  <c r="U40" i="11"/>
  <c r="T40" i="11"/>
  <c r="AL39" i="11"/>
  <c r="AK39" i="11"/>
  <c r="U39" i="11"/>
  <c r="T39" i="11"/>
  <c r="AL38" i="11"/>
  <c r="AK38" i="11"/>
  <c r="U38" i="11"/>
  <c r="T38" i="11"/>
  <c r="AL37" i="11"/>
  <c r="AK37" i="11"/>
  <c r="U37" i="11"/>
  <c r="T37" i="11"/>
  <c r="AL36" i="11"/>
  <c r="AK36" i="11"/>
  <c r="U36" i="11"/>
  <c r="T36" i="11"/>
  <c r="AL35" i="11"/>
  <c r="AK35" i="11"/>
  <c r="U35" i="11"/>
  <c r="T35" i="11"/>
  <c r="AL34" i="11"/>
  <c r="AK34" i="11"/>
  <c r="U34" i="11"/>
  <c r="T34" i="11"/>
  <c r="AN51" i="11" l="1"/>
  <c r="BM39" i="12" l="1"/>
  <c r="AY39" i="12"/>
  <c r="BL9" i="12"/>
  <c r="AX9" i="12"/>
  <c r="BM12" i="12"/>
  <c r="AY12" i="12"/>
  <c r="AX24" i="12"/>
  <c r="BL35" i="12"/>
  <c r="AX35" i="12"/>
  <c r="BL21" i="12"/>
  <c r="AX21" i="12"/>
  <c r="AX29" i="12"/>
  <c r="BL32" i="12"/>
  <c r="AX32" i="12"/>
  <c r="BL36" i="12"/>
  <c r="AX36" i="12"/>
  <c r="BL13" i="12"/>
  <c r="AX13" i="12"/>
  <c r="BL17" i="12"/>
  <c r="AX17" i="12"/>
  <c r="AX25" i="12"/>
  <c r="BL10" i="12"/>
  <c r="AX10" i="12"/>
  <c r="BL40" i="12"/>
  <c r="AX40" i="12"/>
  <c r="BL14" i="12"/>
  <c r="AX14" i="12"/>
  <c r="BL18" i="12"/>
  <c r="AX18" i="12"/>
  <c r="BL22" i="12"/>
  <c r="AX22" i="12"/>
  <c r="BL26" i="12"/>
  <c r="AX26" i="12"/>
  <c r="BL33" i="12"/>
  <c r="AX33" i="12"/>
  <c r="AX37" i="12"/>
  <c r="BL41" i="12"/>
  <c r="AX41" i="12"/>
  <c r="AX7" i="12"/>
  <c r="BL11" i="12"/>
  <c r="AX11" i="12"/>
  <c r="BL8" i="12"/>
  <c r="AX8" i="12"/>
  <c r="AX23" i="12"/>
  <c r="BL34" i="12"/>
  <c r="AX34" i="12"/>
  <c r="AX38" i="12"/>
  <c r="AX15" i="12"/>
  <c r="BL19" i="12"/>
  <c r="AX19" i="12"/>
  <c r="BL27" i="12"/>
  <c r="AX27" i="12"/>
  <c r="BL12" i="12"/>
  <c r="AX12" i="12"/>
  <c r="BL42" i="12"/>
  <c r="AX42" i="12"/>
  <c r="BL16" i="12"/>
  <c r="AX16" i="12"/>
  <c r="BL20" i="12"/>
  <c r="AX20" i="12"/>
  <c r="BL28" i="12"/>
  <c r="AX28" i="12"/>
  <c r="BL39" i="12"/>
  <c r="AX39" i="12"/>
  <c r="BL24" i="12"/>
  <c r="BL29" i="12"/>
  <c r="BL38" i="12"/>
  <c r="BL25" i="12"/>
  <c r="BL7" i="12"/>
  <c r="BL15" i="12"/>
  <c r="BL23" i="12"/>
  <c r="BL37" i="12"/>
  <c r="BM21" i="12" l="1"/>
  <c r="AY21" i="12"/>
  <c r="BM41" i="12"/>
  <c r="AY41" i="12"/>
  <c r="BM27" i="12"/>
  <c r="AY27" i="12"/>
  <c r="BM24" i="12"/>
  <c r="AY24" i="12"/>
  <c r="BM29" i="12"/>
  <c r="AY29" i="12"/>
  <c r="BM13" i="12"/>
  <c r="AY13" i="12"/>
  <c r="BM19" i="12"/>
  <c r="AY19" i="12"/>
  <c r="BM16" i="12"/>
  <c r="AY16" i="12"/>
  <c r="BM38" i="12"/>
  <c r="AY38" i="12"/>
  <c r="BM40" i="12"/>
  <c r="AY40" i="12"/>
  <c r="BM10" i="12"/>
  <c r="AY10" i="12"/>
  <c r="BM7" i="12"/>
  <c r="AY7" i="12"/>
  <c r="BM18" i="12"/>
  <c r="AY18" i="12"/>
  <c r="BM11" i="12"/>
  <c r="AY11" i="12"/>
  <c r="BM33" i="12"/>
  <c r="AY33" i="12"/>
  <c r="BM15" i="12"/>
  <c r="AY15" i="12"/>
  <c r="BM25" i="12"/>
  <c r="AY25" i="12"/>
  <c r="BM36" i="12"/>
  <c r="AY36" i="12"/>
  <c r="BM28" i="12"/>
  <c r="AY28" i="12"/>
  <c r="BM9" i="12"/>
  <c r="AY9" i="12"/>
  <c r="BM37" i="12"/>
  <c r="AY37" i="12"/>
  <c r="BM8" i="12"/>
  <c r="AY8" i="12"/>
  <c r="BM35" i="12"/>
  <c r="AY35" i="12"/>
  <c r="BM32" i="12"/>
  <c r="AY32" i="12"/>
  <c r="BM42" i="12"/>
  <c r="AY42" i="12"/>
  <c r="BM22" i="12"/>
  <c r="AY22" i="12"/>
  <c r="BM26" i="12"/>
  <c r="AY26" i="12"/>
  <c r="BM20" i="12"/>
  <c r="AY20" i="12"/>
  <c r="BM23" i="12"/>
  <c r="AY23" i="12"/>
  <c r="BM34" i="12"/>
  <c r="AY34" i="12"/>
  <c r="BM14" i="12"/>
  <c r="AY14" i="12"/>
  <c r="BM17" i="12"/>
  <c r="AY17" i="12"/>
  <c r="DD10" i="12"/>
  <c r="DD35" i="12"/>
  <c r="DD37" i="12"/>
  <c r="DD12" i="12"/>
  <c r="DD14" i="12"/>
  <c r="DD22" i="12"/>
  <c r="DD29" i="12"/>
  <c r="DD23" i="12"/>
  <c r="DD39" i="12"/>
  <c r="DD21" i="12"/>
  <c r="DD15" i="12"/>
  <c r="DD31" i="12"/>
  <c r="DD41" i="12"/>
  <c r="DD13" i="12"/>
  <c r="DD28" i="12"/>
  <c r="DD38" i="12"/>
  <c r="DD40" i="12"/>
  <c r="DD7" i="12"/>
  <c r="DD25" i="12"/>
  <c r="DD33" i="12"/>
  <c r="DD11" i="12"/>
  <c r="DD24" i="12"/>
  <c r="DD32" i="12"/>
  <c r="DD20" i="12"/>
  <c r="DD17" i="12"/>
  <c r="DD30" i="12"/>
  <c r="DD16" i="12"/>
  <c r="DD26" i="12"/>
  <c r="DD42" i="12"/>
  <c r="DD9" i="12"/>
  <c r="DD27" i="12"/>
  <c r="DD8" i="12"/>
  <c r="DD18" i="12"/>
  <c r="DD34" i="12"/>
  <c r="DD36" i="12"/>
  <c r="DD19" i="12"/>
  <c r="BR26" i="12" l="1"/>
  <c r="BR23" i="12"/>
  <c r="BR12" i="12"/>
  <c r="BR8" i="12"/>
  <c r="BR25" i="12"/>
  <c r="BR28" i="12"/>
  <c r="BR15" i="12"/>
  <c r="BR29" i="12"/>
  <c r="DF30" i="12"/>
  <c r="DF24" i="12"/>
  <c r="BR7" i="12"/>
  <c r="BR13" i="12"/>
  <c r="BR22" i="12"/>
  <c r="BR42" i="12"/>
  <c r="BR17" i="12"/>
  <c r="DF11" i="12"/>
  <c r="BR39" i="12"/>
  <c r="BR10" i="12"/>
  <c r="DE19" i="12"/>
  <c r="DE26" i="12"/>
  <c r="DE20" i="12"/>
  <c r="DE33" i="12"/>
  <c r="DE31" i="12"/>
  <c r="DE23" i="12"/>
  <c r="DE12" i="12"/>
  <c r="DE8" i="12"/>
  <c r="DE38" i="12"/>
  <c r="DE36" i="12"/>
  <c r="DE27" i="12"/>
  <c r="DE16" i="12"/>
  <c r="DE25" i="12"/>
  <c r="DE28" i="12"/>
  <c r="DE15" i="12"/>
  <c r="DE29" i="12"/>
  <c r="DE37" i="12"/>
  <c r="DE32" i="12"/>
  <c r="DE34" i="12"/>
  <c r="DE9" i="12"/>
  <c r="DE30" i="12"/>
  <c r="DE24" i="12"/>
  <c r="DE7" i="12"/>
  <c r="DE13" i="12"/>
  <c r="DE21" i="12"/>
  <c r="DE22" i="12"/>
  <c r="DE35" i="12"/>
  <c r="DE18" i="12"/>
  <c r="DE42" i="12"/>
  <c r="DE17" i="12"/>
  <c r="DE11" i="12"/>
  <c r="DE40" i="12"/>
  <c r="DE41" i="12"/>
  <c r="DE39" i="12"/>
  <c r="DE14" i="12"/>
  <c r="DE10" i="12"/>
  <c r="BR9" i="12"/>
  <c r="DF9" i="12"/>
  <c r="BR34" i="12"/>
  <c r="DF34" i="12"/>
  <c r="BR37" i="12"/>
  <c r="DF37" i="12"/>
  <c r="DF22" i="12"/>
  <c r="BR27" i="12"/>
  <c r="DF27" i="12"/>
  <c r="BR32" i="12"/>
  <c r="DF32" i="12"/>
  <c r="BR35" i="12"/>
  <c r="DF35" i="12"/>
  <c r="BR33" i="12"/>
  <c r="DF33" i="12"/>
  <c r="BR41" i="12"/>
  <c r="DF41" i="12"/>
  <c r="DF26" i="12"/>
  <c r="BR31" i="12"/>
  <c r="DF31" i="12"/>
  <c r="BR14" i="12"/>
  <c r="DF14" i="12"/>
  <c r="BR38" i="12"/>
  <c r="DF38" i="12"/>
  <c r="BR18" i="12"/>
  <c r="DF18" i="12"/>
  <c r="BR20" i="12"/>
  <c r="DF20" i="12"/>
  <c r="BR19" i="12"/>
  <c r="DF19" i="12"/>
  <c r="BR16" i="12"/>
  <c r="DF16" i="12"/>
  <c r="M2" i="17"/>
  <c r="N2" i="17"/>
  <c r="BR24" i="12" l="1"/>
  <c r="DF39" i="12"/>
  <c r="BR11" i="12"/>
  <c r="DF7" i="12"/>
  <c r="DF25" i="12"/>
  <c r="DF42" i="12"/>
  <c r="DF28" i="12"/>
  <c r="BR30" i="12"/>
  <c r="DF12" i="12"/>
  <c r="DF15" i="12"/>
  <c r="DF17" i="12"/>
  <c r="DF10" i="12"/>
  <c r="DF23" i="12"/>
  <c r="DF40" i="12"/>
  <c r="BR40" i="12"/>
  <c r="DF13" i="12"/>
  <c r="DF29" i="12"/>
  <c r="DF8" i="12"/>
  <c r="DF36" i="12"/>
  <c r="BR36" i="12"/>
  <c r="DF21" i="12"/>
  <c r="BR21" i="12"/>
  <c r="AX10" i="11"/>
  <c r="AX52" i="11" l="1"/>
  <c r="BA8" i="11"/>
  <c r="B55" i="31" l="1"/>
  <c r="A9" i="31" s="1"/>
  <c r="M5" i="17"/>
  <c r="AN60" i="11"/>
  <c r="AX25" i="11" l="1"/>
  <c r="BA25" i="11" s="1"/>
  <c r="B49" i="31" l="1"/>
  <c r="B50" i="31"/>
  <c r="A4" i="31" s="1"/>
  <c r="B51" i="31"/>
  <c r="A5" i="31" s="1"/>
  <c r="B53" i="31"/>
  <c r="A7" i="31" s="1"/>
  <c r="B54" i="31"/>
  <c r="A8" i="31" s="1"/>
  <c r="B56" i="31"/>
  <c r="A10" i="31" s="1"/>
  <c r="B57" i="31"/>
  <c r="A11" i="31" s="1"/>
  <c r="B58" i="31"/>
  <c r="A12" i="31" s="1"/>
  <c r="B59" i="31"/>
  <c r="A13" i="31" s="1"/>
  <c r="B52" i="31"/>
  <c r="A6" i="31" s="1"/>
  <c r="H13" i="31" l="1"/>
  <c r="H12" i="31"/>
  <c r="K12" i="31" s="1"/>
  <c r="A3" i="31"/>
  <c r="AG6" i="36"/>
  <c r="AG13" i="36" s="1"/>
  <c r="V30" i="36"/>
  <c r="AG16" i="36"/>
  <c r="G7" i="31"/>
  <c r="G9" i="31"/>
  <c r="G4" i="31"/>
  <c r="G10" i="31"/>
  <c r="G6" i="31"/>
  <c r="H10" i="31"/>
  <c r="H9" i="31"/>
  <c r="H8" i="31"/>
  <c r="H11" i="31"/>
  <c r="G8" i="31"/>
  <c r="H7" i="31"/>
  <c r="H6" i="31"/>
  <c r="H3" i="31"/>
  <c r="H5" i="31"/>
  <c r="H4" i="31"/>
  <c r="G5" i="31"/>
  <c r="G11" i="31"/>
  <c r="G3" i="31"/>
  <c r="J12" i="31" l="1"/>
  <c r="J13" i="31"/>
  <c r="K13" i="31"/>
  <c r="AH6" i="36"/>
  <c r="AH13" i="36" s="1"/>
  <c r="K5" i="31"/>
  <c r="K7" i="31"/>
  <c r="K10" i="31"/>
  <c r="AG17" i="36"/>
  <c r="W12" i="36"/>
  <c r="W6" i="36"/>
  <c r="W14" i="36"/>
  <c r="W22" i="36"/>
  <c r="V7" i="36"/>
  <c r="V15" i="36"/>
  <c r="V23" i="36"/>
  <c r="W15" i="36"/>
  <c r="W23" i="36"/>
  <c r="V8" i="36"/>
  <c r="V16" i="36"/>
  <c r="V24" i="36"/>
  <c r="W24" i="36"/>
  <c r="W7" i="36"/>
  <c r="W8" i="36"/>
  <c r="W16" i="36"/>
  <c r="V9" i="36"/>
  <c r="V17" i="36"/>
  <c r="V25" i="36"/>
  <c r="V26" i="36"/>
  <c r="W10" i="36"/>
  <c r="W20" i="36"/>
  <c r="W21" i="36"/>
  <c r="V6" i="36"/>
  <c r="V14" i="36"/>
  <c r="V22" i="36"/>
  <c r="W9" i="36"/>
  <c r="W17" i="36"/>
  <c r="W25" i="36"/>
  <c r="V10" i="36"/>
  <c r="V18" i="36"/>
  <c r="W18" i="36"/>
  <c r="W26" i="36"/>
  <c r="V11" i="36"/>
  <c r="V19" i="36"/>
  <c r="V5" i="36"/>
  <c r="W11" i="36"/>
  <c r="W19" i="36"/>
  <c r="W5" i="36"/>
  <c r="V12" i="36"/>
  <c r="V20" i="36"/>
  <c r="V13" i="36"/>
  <c r="V21" i="36"/>
  <c r="W13" i="36"/>
  <c r="K3" i="31"/>
  <c r="K6" i="31"/>
  <c r="K8" i="31"/>
  <c r="K2" i="31"/>
  <c r="K9" i="31"/>
  <c r="K4" i="31"/>
  <c r="K11" i="31"/>
  <c r="J7" i="31"/>
  <c r="J11" i="31"/>
  <c r="J8" i="31"/>
  <c r="J5" i="31"/>
  <c r="J9" i="31"/>
  <c r="J6" i="31"/>
  <c r="J4" i="31"/>
  <c r="J3" i="31"/>
  <c r="J10" i="31"/>
  <c r="AH16" i="36" l="1"/>
  <c r="AH17" i="36" s="1"/>
  <c r="W30" i="36"/>
  <c r="V27" i="36"/>
  <c r="V31" i="36" s="1"/>
  <c r="W27" i="36"/>
  <c r="B4" i="20"/>
  <c r="A4" i="20"/>
  <c r="E4" i="20" s="1"/>
  <c r="D8" i="5" a="1"/>
  <c r="W31" i="36" l="1"/>
  <c r="U30" i="36"/>
  <c r="AF7" i="36"/>
  <c r="AF11" i="36"/>
  <c r="AF8" i="36"/>
  <c r="AF12" i="36"/>
  <c r="AF6" i="36"/>
  <c r="AF10" i="36"/>
  <c r="D8" i="5"/>
  <c r="U10" i="36" l="1"/>
  <c r="U27" i="36" s="1"/>
  <c r="U31" i="36" s="1"/>
  <c r="AF5" i="36"/>
  <c r="AF9" i="36"/>
  <c r="AF16" i="36"/>
  <c r="AY8" i="11"/>
  <c r="AZ8" i="11" s="1"/>
  <c r="AF13" i="36" l="1"/>
  <c r="AF17" i="36" s="1"/>
  <c r="AI165" i="11"/>
  <c r="AL61" i="11" l="1"/>
  <c r="T2" i="17" l="1"/>
  <c r="A43" i="12" l="1"/>
  <c r="A42" i="12" l="1"/>
  <c r="A41" i="12" l="1"/>
  <c r="A40" i="12" l="1"/>
  <c r="A39" i="12" l="1"/>
  <c r="A38" i="12" l="1"/>
  <c r="A37" i="12" l="1"/>
  <c r="A36" i="12" l="1"/>
  <c r="A35" i="12" l="1"/>
  <c r="A34" i="12" l="1"/>
  <c r="A33" i="12" l="1"/>
  <c r="A32" i="12" l="1"/>
  <c r="A31" i="12" l="1"/>
  <c r="A30" i="12" l="1"/>
  <c r="A29" i="12" l="1"/>
  <c r="A28" i="12" l="1"/>
  <c r="A27" i="12" l="1"/>
  <c r="A26" i="12" l="1"/>
  <c r="A25" i="12" l="1"/>
  <c r="A24" i="12" l="1"/>
  <c r="A23" i="12" l="1"/>
  <c r="A22" i="12" l="1"/>
  <c r="A21" i="12" l="1"/>
  <c r="A20" i="12" l="1"/>
  <c r="A19" i="12" l="1"/>
  <c r="A18" i="12" l="1"/>
  <c r="A17" i="12" l="1"/>
  <c r="A16" i="12" l="1"/>
  <c r="A15" i="12" l="1"/>
  <c r="A14" i="12" l="1"/>
  <c r="A13" i="12" l="1"/>
  <c r="A12" i="12" l="1"/>
  <c r="A11" i="12" l="1"/>
  <c r="A10" i="12" l="1"/>
  <c r="A9" i="12" l="1"/>
  <c r="A8" i="12" l="1"/>
  <c r="AI84" i="11" l="1"/>
  <c r="AH84" i="11"/>
  <c r="AJ83" i="11"/>
  <c r="AF83" i="11"/>
  <c r="AJ78" i="11"/>
  <c r="AJ73" i="11"/>
  <c r="AQ66" i="11"/>
  <c r="AP66" i="11"/>
  <c r="AO100" i="11" s="1"/>
  <c r="AR100" i="11" s="1"/>
  <c r="AI60" i="11"/>
  <c r="N56" i="11"/>
  <c r="M56" i="11"/>
  <c r="GA43" i="11"/>
  <c r="GB43" i="11" s="1"/>
  <c r="FZ43" i="11"/>
  <c r="CH43" i="11"/>
  <c r="BZ43" i="11"/>
  <c r="BR43" i="11"/>
  <c r="AY43" i="11"/>
  <c r="AZ43" i="11" s="1"/>
  <c r="AX43" i="11"/>
  <c r="BA43" i="11" s="1"/>
  <c r="GA42" i="11"/>
  <c r="GB42" i="11" s="1"/>
  <c r="FZ42" i="11"/>
  <c r="CH42" i="11"/>
  <c r="BZ42" i="11"/>
  <c r="BR42" i="11"/>
  <c r="AY42" i="11"/>
  <c r="AZ42" i="11" s="1"/>
  <c r="AX42" i="11"/>
  <c r="BA42" i="11" s="1"/>
  <c r="GA41" i="11"/>
  <c r="GB41" i="11" s="1"/>
  <c r="FZ41" i="11"/>
  <c r="CH41" i="11"/>
  <c r="BZ41" i="11"/>
  <c r="BR41" i="11"/>
  <c r="AY41" i="11"/>
  <c r="AZ41" i="11" s="1"/>
  <c r="AX41" i="11"/>
  <c r="BA41" i="11" s="1"/>
  <c r="GA40" i="11"/>
  <c r="GB40" i="11" s="1"/>
  <c r="FZ40" i="11"/>
  <c r="CH40" i="11"/>
  <c r="BZ40" i="11"/>
  <c r="BR40" i="11"/>
  <c r="AY40" i="11"/>
  <c r="AZ40" i="11" s="1"/>
  <c r="AX40" i="11"/>
  <c r="BA40" i="11" s="1"/>
  <c r="GA39" i="11"/>
  <c r="GB39" i="11" s="1"/>
  <c r="FZ39" i="11"/>
  <c r="CH39" i="11"/>
  <c r="BZ39" i="11"/>
  <c r="BR39" i="11"/>
  <c r="AY39" i="11"/>
  <c r="AZ39" i="11" s="1"/>
  <c r="AX39" i="11"/>
  <c r="BA39" i="11" s="1"/>
  <c r="GA38" i="11"/>
  <c r="GB38" i="11" s="1"/>
  <c r="FZ38" i="11"/>
  <c r="CH38" i="11"/>
  <c r="BZ38" i="11"/>
  <c r="BR38" i="11"/>
  <c r="AY38" i="11"/>
  <c r="AZ38" i="11" s="1"/>
  <c r="AX38" i="11"/>
  <c r="BA38" i="11" s="1"/>
  <c r="GA37" i="11"/>
  <c r="GB37" i="11" s="1"/>
  <c r="FZ37" i="11"/>
  <c r="CH37" i="11"/>
  <c r="BZ37" i="11"/>
  <c r="BR37" i="11"/>
  <c r="AY37" i="11"/>
  <c r="AZ37" i="11" s="1"/>
  <c r="AX37" i="11"/>
  <c r="BA37" i="11" s="1"/>
  <c r="GA36" i="11"/>
  <c r="GB36" i="11" s="1"/>
  <c r="FZ36" i="11"/>
  <c r="CH36" i="11"/>
  <c r="BZ36" i="11"/>
  <c r="BR36" i="11"/>
  <c r="AY36" i="11"/>
  <c r="AZ36" i="11" s="1"/>
  <c r="AX36" i="11"/>
  <c r="BA36" i="11" s="1"/>
  <c r="GA35" i="11"/>
  <c r="GB35" i="11" s="1"/>
  <c r="FZ35" i="11"/>
  <c r="CH35" i="11"/>
  <c r="BZ35" i="11"/>
  <c r="BR35" i="11"/>
  <c r="AY35" i="11"/>
  <c r="AZ35" i="11" s="1"/>
  <c r="AX35" i="11"/>
  <c r="BA35" i="11" s="1"/>
  <c r="GA34" i="11"/>
  <c r="GB34" i="11" s="1"/>
  <c r="FZ34" i="11"/>
  <c r="CH34" i="11"/>
  <c r="BZ34" i="11"/>
  <c r="BR34" i="11"/>
  <c r="AY34" i="11"/>
  <c r="AZ34" i="11" s="1"/>
  <c r="AX34" i="11"/>
  <c r="BA34" i="11" s="1"/>
  <c r="GA33" i="11"/>
  <c r="GB33" i="11" s="1"/>
  <c r="FZ33" i="11"/>
  <c r="CH33" i="11"/>
  <c r="BZ33" i="11"/>
  <c r="BR33" i="11"/>
  <c r="AY33" i="11"/>
  <c r="AZ33" i="11" s="1"/>
  <c r="AX33" i="11"/>
  <c r="BA33" i="11" s="1"/>
  <c r="GA32" i="11"/>
  <c r="GB32" i="11" s="1"/>
  <c r="FZ32" i="11"/>
  <c r="CH32" i="11"/>
  <c r="BZ32" i="11"/>
  <c r="BR32" i="11"/>
  <c r="AY32" i="11"/>
  <c r="AZ32" i="11" s="1"/>
  <c r="AX32" i="11"/>
  <c r="BA32" i="11" s="1"/>
  <c r="GA31" i="11"/>
  <c r="GB31" i="11" s="1"/>
  <c r="FZ31" i="11"/>
  <c r="CH31" i="11"/>
  <c r="BZ31" i="11"/>
  <c r="BR31" i="11"/>
  <c r="AY31" i="11"/>
  <c r="AZ31" i="11" s="1"/>
  <c r="AX31" i="11"/>
  <c r="BA31" i="11" s="1"/>
  <c r="GA30" i="11"/>
  <c r="GB30" i="11" s="1"/>
  <c r="FZ30" i="11"/>
  <c r="CH30" i="11"/>
  <c r="BZ30" i="11"/>
  <c r="BR30" i="11"/>
  <c r="AY30" i="11"/>
  <c r="AZ30" i="11" s="1"/>
  <c r="AX30" i="11"/>
  <c r="BA30" i="11" s="1"/>
  <c r="GA29" i="11"/>
  <c r="GB29" i="11" s="1"/>
  <c r="FZ29" i="11"/>
  <c r="CH29" i="11"/>
  <c r="BZ29" i="11"/>
  <c r="BR29" i="11"/>
  <c r="AY29" i="11"/>
  <c r="AZ29" i="11" s="1"/>
  <c r="AX29" i="11"/>
  <c r="BA29" i="11" s="1"/>
  <c r="GA28" i="11"/>
  <c r="GB28" i="11" s="1"/>
  <c r="FZ28" i="11"/>
  <c r="CH28" i="11"/>
  <c r="BZ28" i="11"/>
  <c r="BR28" i="11"/>
  <c r="AY28" i="11"/>
  <c r="AZ28" i="11" s="1"/>
  <c r="AX28" i="11"/>
  <c r="BA28" i="11" s="1"/>
  <c r="GA27" i="11"/>
  <c r="GB27" i="11" s="1"/>
  <c r="FZ27" i="11"/>
  <c r="CH27" i="11"/>
  <c r="BZ27" i="11"/>
  <c r="BR27" i="11"/>
  <c r="AY27" i="11"/>
  <c r="AZ27" i="11" s="1"/>
  <c r="AX27" i="11"/>
  <c r="BA27" i="11" s="1"/>
  <c r="GA26" i="11"/>
  <c r="GB26" i="11" s="1"/>
  <c r="FZ26" i="11"/>
  <c r="CH26" i="11"/>
  <c r="BZ26" i="11"/>
  <c r="BR26" i="11"/>
  <c r="AY26" i="11"/>
  <c r="AZ26" i="11" s="1"/>
  <c r="AX26" i="11"/>
  <c r="BA26" i="11" s="1"/>
  <c r="GA25" i="11"/>
  <c r="GB25" i="11" s="1"/>
  <c r="FZ25" i="11"/>
  <c r="CH25" i="11"/>
  <c r="BZ25" i="11"/>
  <c r="BR25" i="11"/>
  <c r="AY25" i="11"/>
  <c r="AZ25" i="11" s="1"/>
  <c r="GA24" i="11"/>
  <c r="GB24" i="11" s="1"/>
  <c r="FZ24" i="11"/>
  <c r="CH24" i="11"/>
  <c r="BZ24" i="11"/>
  <c r="BR24" i="11"/>
  <c r="AY24" i="11"/>
  <c r="AZ24" i="11" s="1"/>
  <c r="AX24" i="11"/>
  <c r="BA24" i="11" s="1"/>
  <c r="GA23" i="11"/>
  <c r="GB23" i="11" s="1"/>
  <c r="FZ23" i="11"/>
  <c r="CH23" i="11"/>
  <c r="BZ23" i="11"/>
  <c r="BR23" i="11"/>
  <c r="AY23" i="11"/>
  <c r="AZ23" i="11" s="1"/>
  <c r="AX23" i="11"/>
  <c r="BA23" i="11" s="1"/>
  <c r="GA22" i="11"/>
  <c r="GB22" i="11" s="1"/>
  <c r="FZ22" i="11"/>
  <c r="CH22" i="11"/>
  <c r="BZ22" i="11"/>
  <c r="BR22" i="11"/>
  <c r="AY22" i="11"/>
  <c r="AZ22" i="11" s="1"/>
  <c r="AX22" i="11"/>
  <c r="BA22" i="11" s="1"/>
  <c r="GA21" i="11"/>
  <c r="GB21" i="11" s="1"/>
  <c r="FZ21" i="11"/>
  <c r="CH21" i="11"/>
  <c r="BZ21" i="11"/>
  <c r="BR21" i="11"/>
  <c r="AY21" i="11"/>
  <c r="AZ21" i="11" s="1"/>
  <c r="AX21" i="11"/>
  <c r="BA21" i="11" s="1"/>
  <c r="GA20" i="11"/>
  <c r="GB20" i="11" s="1"/>
  <c r="FZ20" i="11"/>
  <c r="CH20" i="11"/>
  <c r="BZ20" i="11"/>
  <c r="BR20" i="11"/>
  <c r="AY20" i="11"/>
  <c r="AZ20" i="11" s="1"/>
  <c r="AX20" i="11"/>
  <c r="GA19" i="11"/>
  <c r="GB19" i="11" s="1"/>
  <c r="FZ19" i="11"/>
  <c r="CH19" i="11"/>
  <c r="BZ19" i="11"/>
  <c r="BR19" i="11"/>
  <c r="AY19" i="11"/>
  <c r="AZ19" i="11" s="1"/>
  <c r="AX19" i="11"/>
  <c r="BA19" i="11" s="1"/>
  <c r="GA18" i="11"/>
  <c r="GB18" i="11" s="1"/>
  <c r="FZ18" i="11"/>
  <c r="CH18" i="11"/>
  <c r="BZ18" i="11"/>
  <c r="BR18" i="11"/>
  <c r="AY18" i="11"/>
  <c r="AZ18" i="11" s="1"/>
  <c r="AX18" i="11"/>
  <c r="BA18" i="11" s="1"/>
  <c r="GA17" i="11"/>
  <c r="GB17" i="11" s="1"/>
  <c r="FZ17" i="11"/>
  <c r="CH17" i="11"/>
  <c r="BZ17" i="11"/>
  <c r="BR17" i="11"/>
  <c r="AY17" i="11"/>
  <c r="AZ17" i="11" s="1"/>
  <c r="AX17" i="11"/>
  <c r="BA17" i="11" s="1"/>
  <c r="GA16" i="11"/>
  <c r="GB16" i="11" s="1"/>
  <c r="FZ16" i="11"/>
  <c r="CH16" i="11"/>
  <c r="BZ16" i="11"/>
  <c r="BR16" i="11"/>
  <c r="AY16" i="11"/>
  <c r="AZ16" i="11" s="1"/>
  <c r="AX16" i="11"/>
  <c r="BA16" i="11" s="1"/>
  <c r="GA15" i="11"/>
  <c r="GB15" i="11" s="1"/>
  <c r="FZ15" i="11"/>
  <c r="CH15" i="11"/>
  <c r="BZ15" i="11"/>
  <c r="BR15" i="11"/>
  <c r="AY15" i="11"/>
  <c r="AZ15" i="11" s="1"/>
  <c r="AX15" i="11"/>
  <c r="BA15" i="11" s="1"/>
  <c r="GA14" i="11"/>
  <c r="GB14" i="11" s="1"/>
  <c r="FZ14" i="11"/>
  <c r="CH14" i="11"/>
  <c r="BZ14" i="11"/>
  <c r="BR14" i="11"/>
  <c r="AY14" i="11"/>
  <c r="AZ14" i="11" s="1"/>
  <c r="AX14" i="11"/>
  <c r="BA14" i="11" s="1"/>
  <c r="GA13" i="11"/>
  <c r="GB13" i="11" s="1"/>
  <c r="FZ13" i="11"/>
  <c r="CH13" i="11"/>
  <c r="BZ13" i="11"/>
  <c r="BR13" i="11"/>
  <c r="AY13" i="11"/>
  <c r="AZ13" i="11" s="1"/>
  <c r="AX13" i="11"/>
  <c r="BA13" i="11" s="1"/>
  <c r="GA12" i="11"/>
  <c r="GB12" i="11" s="1"/>
  <c r="FZ12" i="11"/>
  <c r="CH12" i="11"/>
  <c r="BZ12" i="11"/>
  <c r="BR12" i="11"/>
  <c r="AY12" i="11"/>
  <c r="AZ12" i="11" s="1"/>
  <c r="AX12" i="11"/>
  <c r="BA12" i="11" s="1"/>
  <c r="GA11" i="11"/>
  <c r="GB11" i="11" s="1"/>
  <c r="FZ11" i="11"/>
  <c r="CH11" i="11"/>
  <c r="BZ11" i="11"/>
  <c r="BR11" i="11"/>
  <c r="AY11" i="11"/>
  <c r="AZ11" i="11" s="1"/>
  <c r="AX11" i="11"/>
  <c r="BA11" i="11" s="1"/>
  <c r="GA10" i="11"/>
  <c r="GB10" i="11" s="1"/>
  <c r="FZ10" i="11"/>
  <c r="CH10" i="11"/>
  <c r="BZ10" i="11"/>
  <c r="BR10" i="11"/>
  <c r="AY10" i="11"/>
  <c r="AZ10" i="11" s="1"/>
  <c r="BA10" i="11"/>
  <c r="GA9" i="11"/>
  <c r="GB9" i="11" s="1"/>
  <c r="FZ9" i="11"/>
  <c r="CH9" i="11"/>
  <c r="BZ9" i="11"/>
  <c r="BR9" i="11"/>
  <c r="AY9" i="11"/>
  <c r="AZ9" i="11" s="1"/>
  <c r="AX9" i="11"/>
  <c r="GA8" i="11"/>
  <c r="GB8" i="11" s="1"/>
  <c r="FZ8" i="11"/>
  <c r="CH8" i="11"/>
  <c r="BZ8" i="11"/>
  <c r="BR8" i="11"/>
  <c r="X5" i="17"/>
  <c r="T5" i="17"/>
  <c r="O5" i="17"/>
  <c r="N5" i="17"/>
  <c r="L5" i="17"/>
  <c r="K5" i="17"/>
  <c r="J5" i="17"/>
  <c r="I5" i="17"/>
  <c r="H5" i="17"/>
  <c r="G5" i="17"/>
  <c r="F5" i="17"/>
  <c r="E5" i="17"/>
  <c r="D5" i="17"/>
  <c r="C5" i="17"/>
  <c r="B5" i="17"/>
  <c r="A5" i="17"/>
  <c r="X4" i="17"/>
  <c r="T4" i="17"/>
  <c r="O4" i="17"/>
  <c r="N4" i="17"/>
  <c r="L4" i="17"/>
  <c r="K4" i="17"/>
  <c r="J4" i="17"/>
  <c r="I4" i="17"/>
  <c r="H4" i="17"/>
  <c r="G4" i="17"/>
  <c r="F4" i="17"/>
  <c r="E4" i="17"/>
  <c r="D4" i="17"/>
  <c r="C4" i="17"/>
  <c r="B4" i="17"/>
  <c r="A4" i="17"/>
  <c r="X3" i="17"/>
  <c r="T3" i="17"/>
  <c r="O3" i="17"/>
  <c r="N3" i="17"/>
  <c r="M3" i="17"/>
  <c r="L3" i="17"/>
  <c r="K3" i="17"/>
  <c r="J3" i="17"/>
  <c r="I3" i="17"/>
  <c r="H3" i="17"/>
  <c r="G3" i="17"/>
  <c r="F3" i="17"/>
  <c r="E3" i="17"/>
  <c r="D3" i="17"/>
  <c r="C3" i="17"/>
  <c r="B3" i="17"/>
  <c r="A3" i="17"/>
  <c r="X2" i="17"/>
  <c r="O2" i="17"/>
  <c r="L2" i="17"/>
  <c r="K2" i="17"/>
  <c r="J2" i="17"/>
  <c r="I2" i="17"/>
  <c r="H2" i="17"/>
  <c r="G2" i="17"/>
  <c r="F2" i="17"/>
  <c r="E2" i="17"/>
  <c r="D2" i="17"/>
  <c r="C2" i="17"/>
  <c r="B2" i="17"/>
  <c r="A2" i="17"/>
  <c r="X5" i="36" l="1"/>
  <c r="Y11" i="36"/>
  <c r="AA11" i="36" s="1"/>
  <c r="Y19" i="36"/>
  <c r="AA19" i="36" s="1"/>
  <c r="Y5" i="36"/>
  <c r="X13" i="36"/>
  <c r="Z13" i="36" s="1"/>
  <c r="M11" i="36" s="1"/>
  <c r="O11" i="36" s="1"/>
  <c r="X21" i="36"/>
  <c r="Z21" i="36" s="1"/>
  <c r="M17" i="36" s="1"/>
  <c r="O17" i="36" s="1"/>
  <c r="Y12" i="36"/>
  <c r="AA12" i="36" s="1"/>
  <c r="Y20" i="36"/>
  <c r="AA20" i="36" s="1"/>
  <c r="X6" i="36"/>
  <c r="Z6" i="36" s="1"/>
  <c r="M6" i="36" s="1"/>
  <c r="O6" i="36" s="1"/>
  <c r="X14" i="36"/>
  <c r="Z14" i="36" s="1"/>
  <c r="M12" i="36" s="1"/>
  <c r="O12" i="36" s="1"/>
  <c r="X22" i="36"/>
  <c r="Z22" i="36" s="1"/>
  <c r="M18" i="36" s="1"/>
  <c r="O18" i="36" s="1"/>
  <c r="Y13" i="36"/>
  <c r="AA13" i="36" s="1"/>
  <c r="N11" i="36" s="1"/>
  <c r="P11" i="36" s="1"/>
  <c r="Y21" i="36"/>
  <c r="AA21" i="36" s="1"/>
  <c r="N17" i="36" s="1"/>
  <c r="P17" i="36" s="1"/>
  <c r="X7" i="36"/>
  <c r="Z7" i="36" s="1"/>
  <c r="X15" i="36"/>
  <c r="Z15" i="36" s="1"/>
  <c r="M13" i="36" s="1"/>
  <c r="O13" i="36" s="1"/>
  <c r="X23" i="36"/>
  <c r="Z23" i="36" s="1"/>
  <c r="M19" i="36" s="1"/>
  <c r="O19" i="36" s="1"/>
  <c r="Y6" i="36"/>
  <c r="AA6" i="36" s="1"/>
  <c r="Y14" i="36"/>
  <c r="AA14" i="36" s="1"/>
  <c r="N12" i="36" s="1"/>
  <c r="P12" i="36" s="1"/>
  <c r="Y22" i="36"/>
  <c r="AA22" i="36" s="1"/>
  <c r="N18" i="36" s="1"/>
  <c r="P18" i="36" s="1"/>
  <c r="X8" i="36"/>
  <c r="Z8" i="36" s="1"/>
  <c r="M7" i="36" s="1"/>
  <c r="O7" i="36" s="1"/>
  <c r="X16" i="36"/>
  <c r="Z16" i="36" s="1"/>
  <c r="M14" i="36" s="1"/>
  <c r="O14" i="36" s="1"/>
  <c r="X24" i="36"/>
  <c r="Z24" i="36" s="1"/>
  <c r="Y7" i="36"/>
  <c r="AA7" i="36" s="1"/>
  <c r="Y15" i="36"/>
  <c r="AA15" i="36" s="1"/>
  <c r="N13" i="36" s="1"/>
  <c r="P13" i="36" s="1"/>
  <c r="Y23" i="36"/>
  <c r="AA23" i="36" s="1"/>
  <c r="X9" i="36"/>
  <c r="Z9" i="36" s="1"/>
  <c r="M8" i="36" s="1"/>
  <c r="O8" i="36" s="1"/>
  <c r="X17" i="36"/>
  <c r="Z17" i="36" s="1"/>
  <c r="X25" i="36"/>
  <c r="Z25" i="36" s="1"/>
  <c r="Y8" i="36"/>
  <c r="AA8" i="36" s="1"/>
  <c r="N7" i="36" s="1"/>
  <c r="P7" i="36" s="1"/>
  <c r="Y16" i="36"/>
  <c r="AA16" i="36" s="1"/>
  <c r="Y24" i="36"/>
  <c r="AA24" i="36" s="1"/>
  <c r="X10" i="36"/>
  <c r="Z10" i="36" s="1"/>
  <c r="M9" i="36" s="1"/>
  <c r="O9" i="36" s="1"/>
  <c r="X18" i="36"/>
  <c r="Z18" i="36" s="1"/>
  <c r="M15" i="36" s="1"/>
  <c r="O15" i="36" s="1"/>
  <c r="X26" i="36"/>
  <c r="Z26" i="36" s="1"/>
  <c r="Y9" i="36"/>
  <c r="AA9" i="36" s="1"/>
  <c r="N8" i="36" s="1"/>
  <c r="P8" i="36" s="1"/>
  <c r="Y17" i="36"/>
  <c r="AA17" i="36" s="1"/>
  <c r="Y25" i="36"/>
  <c r="AA25" i="36" s="1"/>
  <c r="X11" i="36"/>
  <c r="Z11" i="36" s="1"/>
  <c r="M10" i="36" s="1"/>
  <c r="O10" i="36" s="1"/>
  <c r="X19" i="36"/>
  <c r="Z19" i="36" s="1"/>
  <c r="M16" i="36" s="1"/>
  <c r="O16" i="36" s="1"/>
  <c r="Y10" i="36"/>
  <c r="AA10" i="36" s="1"/>
  <c r="N9" i="36" s="1"/>
  <c r="P9" i="36" s="1"/>
  <c r="Y18" i="36"/>
  <c r="AA18" i="36" s="1"/>
  <c r="N15" i="36" s="1"/>
  <c r="P15" i="36" s="1"/>
  <c r="Y26" i="36"/>
  <c r="AA26" i="36" s="1"/>
  <c r="X12" i="36"/>
  <c r="Z12" i="36" s="1"/>
  <c r="X20" i="36"/>
  <c r="Z20" i="36" s="1"/>
  <c r="X30" i="36"/>
  <c r="AI16" i="36"/>
  <c r="AK16" i="36" s="1"/>
  <c r="AJ9" i="36"/>
  <c r="AL9" i="36" s="1"/>
  <c r="AJ6" i="36"/>
  <c r="AL6" i="36" s="1"/>
  <c r="N25" i="36" s="1"/>
  <c r="P25" i="36" s="1"/>
  <c r="AJ10" i="36"/>
  <c r="AL10" i="36" s="1"/>
  <c r="N39" i="36" s="1"/>
  <c r="P39" i="36" s="1"/>
  <c r="AI7" i="36"/>
  <c r="AK7" i="36" s="1"/>
  <c r="M26" i="36" s="1"/>
  <c r="O26" i="36" s="1"/>
  <c r="AI11" i="36"/>
  <c r="AK11" i="36" s="1"/>
  <c r="M38" i="36" s="1"/>
  <c r="AJ7" i="36"/>
  <c r="AL7" i="36" s="1"/>
  <c r="N26" i="36" s="1"/>
  <c r="P26" i="36" s="1"/>
  <c r="AJ11" i="36"/>
  <c r="AL11" i="36" s="1"/>
  <c r="N38" i="36" s="1"/>
  <c r="AI8" i="36"/>
  <c r="AK8" i="36" s="1"/>
  <c r="AI12" i="36"/>
  <c r="AK12" i="36" s="1"/>
  <c r="M28" i="36" s="1"/>
  <c r="O28" i="36" s="1"/>
  <c r="AJ8" i="36"/>
  <c r="AL8" i="36" s="1"/>
  <c r="AJ12" i="36"/>
  <c r="AL12" i="36" s="1"/>
  <c r="N28" i="36" s="1"/>
  <c r="P28" i="36" s="1"/>
  <c r="AI9" i="36"/>
  <c r="AK9" i="36" s="1"/>
  <c r="AJ5" i="36"/>
  <c r="AI6" i="36"/>
  <c r="AK6" i="36" s="1"/>
  <c r="M25" i="36" s="1"/>
  <c r="O25" i="36" s="1"/>
  <c r="AI10" i="36"/>
  <c r="AK10" i="36" s="1"/>
  <c r="M39" i="36" s="1"/>
  <c r="O39" i="36" s="1"/>
  <c r="AI5" i="36"/>
  <c r="Y30" i="36"/>
  <c r="AA30" i="36" s="1"/>
  <c r="AJ16" i="36"/>
  <c r="AL16" i="36" s="1"/>
  <c r="BA20" i="11"/>
  <c r="AW20" i="11"/>
  <c r="AV20" i="11" s="1"/>
  <c r="AV21" i="11" s="1"/>
  <c r="S2" i="17"/>
  <c r="AX51" i="11"/>
  <c r="Q3" i="17"/>
  <c r="BA9" i="11"/>
  <c r="Q4" i="17"/>
  <c r="R4" i="17"/>
  <c r="S5" i="17"/>
  <c r="Q5" i="17"/>
  <c r="AO80" i="11"/>
  <c r="AR80" i="11" s="1"/>
  <c r="AO85" i="11"/>
  <c r="AR85" i="11" s="1"/>
  <c r="AO93" i="11"/>
  <c r="AR93" i="11" s="1"/>
  <c r="AO79" i="11"/>
  <c r="AR79" i="11" s="1"/>
  <c r="AO94" i="11"/>
  <c r="AR94" i="11" s="1"/>
  <c r="AO73" i="11"/>
  <c r="AR73" i="11" s="1"/>
  <c r="AO86" i="11"/>
  <c r="AR86" i="11" s="1"/>
  <c r="AO97" i="11"/>
  <c r="AR97" i="11" s="1"/>
  <c r="AO98" i="11"/>
  <c r="AR98" i="11" s="1"/>
  <c r="AO76" i="11"/>
  <c r="AR76" i="11" s="1"/>
  <c r="AO89" i="11"/>
  <c r="AR89" i="11" s="1"/>
  <c r="AO69" i="11"/>
  <c r="AR69" i="11" s="1"/>
  <c r="AO77" i="11"/>
  <c r="AR77" i="11" s="1"/>
  <c r="AO83" i="11"/>
  <c r="AR83" i="11" s="1"/>
  <c r="AO90" i="11"/>
  <c r="AR90" i="11" s="1"/>
  <c r="AO101" i="11"/>
  <c r="AR101" i="11" s="1"/>
  <c r="AO70" i="11"/>
  <c r="AR70" i="11" s="1"/>
  <c r="Q2" i="17"/>
  <c r="R3" i="17"/>
  <c r="S3" i="17"/>
  <c r="AM78" i="11"/>
  <c r="R2" i="17"/>
  <c r="S4" i="17"/>
  <c r="R5" i="17"/>
  <c r="AO67" i="11"/>
  <c r="AR67" i="11" s="1"/>
  <c r="AO71" i="11"/>
  <c r="AR71" i="11" s="1"/>
  <c r="AO74" i="11"/>
  <c r="AR74" i="11" s="1"/>
  <c r="AO81" i="11"/>
  <c r="AR81" i="11" s="1"/>
  <c r="AO87" i="11"/>
  <c r="AR87" i="11" s="1"/>
  <c r="AO91" i="11"/>
  <c r="AR91" i="11" s="1"/>
  <c r="AO95" i="11"/>
  <c r="AR95" i="11" s="1"/>
  <c r="AO99" i="11"/>
  <c r="AR99" i="11" s="1"/>
  <c r="AO68" i="11"/>
  <c r="AR68" i="11" s="1"/>
  <c r="AO72" i="11"/>
  <c r="AR72" i="11" s="1"/>
  <c r="AO75" i="11"/>
  <c r="AR75" i="11" s="1"/>
  <c r="AO78" i="11"/>
  <c r="AR78" i="11" s="1"/>
  <c r="AO82" i="11"/>
  <c r="AR82" i="11" s="1"/>
  <c r="AO84" i="11"/>
  <c r="AR84" i="11" s="1"/>
  <c r="AO88" i="11"/>
  <c r="AR88" i="11" s="1"/>
  <c r="AO92" i="11"/>
  <c r="AR92" i="11" s="1"/>
  <c r="AO96" i="11"/>
  <c r="AR96" i="11" s="1"/>
  <c r="N27" i="36" l="1"/>
  <c r="P27" i="36" s="1"/>
  <c r="M27" i="36"/>
  <c r="O27" i="36" s="1"/>
  <c r="AI13" i="36"/>
  <c r="AI17" i="36" s="1"/>
  <c r="AK5" i="36"/>
  <c r="N14" i="36"/>
  <c r="P14" i="36" s="1"/>
  <c r="P38" i="36"/>
  <c r="P30" i="36" s="1"/>
  <c r="N30" i="36"/>
  <c r="Z30" i="36"/>
  <c r="U2" i="17"/>
  <c r="Y27" i="36"/>
  <c r="Y31" i="36" s="1"/>
  <c r="AA5" i="36"/>
  <c r="AJ13" i="36"/>
  <c r="AJ17" i="36" s="1"/>
  <c r="AL5" i="36"/>
  <c r="O38" i="36"/>
  <c r="O30" i="36" s="1"/>
  <c r="M30" i="36"/>
  <c r="N16" i="36"/>
  <c r="P16" i="36" s="1"/>
  <c r="N10" i="36"/>
  <c r="P10" i="36" s="1"/>
  <c r="N19" i="36"/>
  <c r="P19" i="36" s="1"/>
  <c r="N6" i="36"/>
  <c r="P6" i="36" s="1"/>
  <c r="X27" i="36"/>
  <c r="X31" i="36" s="1"/>
  <c r="Z5" i="36"/>
  <c r="AN53" i="11"/>
  <c r="AX53" i="11"/>
  <c r="AN56" i="11" s="1"/>
  <c r="U3" i="17"/>
  <c r="U4" i="17"/>
  <c r="U5" i="17"/>
  <c r="AR66" i="11"/>
  <c r="AL66" i="11" s="1"/>
  <c r="AK66" i="11" s="1"/>
  <c r="M5" i="36" l="1"/>
  <c r="Z27" i="36"/>
  <c r="Z31" i="36" s="1"/>
  <c r="N24" i="36"/>
  <c r="AL13" i="36"/>
  <c r="AL17" i="36" s="1"/>
  <c r="N5" i="36"/>
  <c r="AA27" i="36"/>
  <c r="AA31" i="36" s="1"/>
  <c r="M24" i="36"/>
  <c r="O24" i="36" s="1"/>
  <c r="O31" i="36" s="1"/>
  <c r="AK13" i="36"/>
  <c r="AK17" i="36" s="1"/>
  <c r="AN58" i="11"/>
  <c r="R2" i="5"/>
  <c r="AN61" i="11"/>
  <c r="AN62" i="11" s="1"/>
  <c r="P5" i="36" l="1"/>
  <c r="P21" i="36" s="1"/>
  <c r="N21" i="36"/>
  <c r="N31" i="36"/>
  <c r="P24" i="36"/>
  <c r="P31" i="36" s="1"/>
  <c r="M31" i="36"/>
  <c r="O5" i="36"/>
  <c r="O21" i="36" s="1"/>
  <c r="M21" i="3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<sst xmlns="http://schemas.openxmlformats.org/spreadsheetml/2006/main" count="18520" uniqueCount="1676">
  <si>
    <t xml:space="preserve">Created: </t>
  </si>
  <si>
    <t xml:space="preserve">Valuation Date: </t>
  </si>
  <si>
    <t>Notional</t>
  </si>
  <si>
    <t>Currency</t>
  </si>
  <si>
    <t>Counterparty</t>
  </si>
  <si>
    <t>Custom Attribute2 Name</t>
  </si>
  <si>
    <t>Custom Attribute2 Value</t>
  </si>
  <si>
    <t>Custom Attribute3 Name</t>
  </si>
  <si>
    <t>Custom Attribute3 Value</t>
  </si>
  <si>
    <t>Custom Attribute4 Name</t>
  </si>
  <si>
    <t>Custom Attribute4 Value</t>
  </si>
  <si>
    <t>Custom Attribute5 Name</t>
  </si>
  <si>
    <t>Custom Attribute5 Value</t>
  </si>
  <si>
    <t>Custom Attribute6 Name</t>
  </si>
  <si>
    <t>Custom Attribute6 Value</t>
  </si>
  <si>
    <t>Custom Attribute7 Name</t>
  </si>
  <si>
    <t>Custom Attribute7 Value</t>
  </si>
  <si>
    <t>Custom Attribute8 Name</t>
  </si>
  <si>
    <t>Custom Attribute8 Value</t>
  </si>
  <si>
    <t>Custom Attribute9 Name</t>
  </si>
  <si>
    <t>Custom Attribute9 Value</t>
  </si>
  <si>
    <t>Custom Attribute10 Name</t>
  </si>
  <si>
    <t>Custom Attribute10 Value</t>
  </si>
  <si>
    <t>Data Source:</t>
  </si>
  <si>
    <t>Ref Date:</t>
  </si>
  <si>
    <t>Cutoff:</t>
  </si>
  <si>
    <t>LEG 2</t>
  </si>
  <si>
    <t>LEG 1</t>
  </si>
  <si>
    <t>Leg Type</t>
  </si>
  <si>
    <t>Pay/Rec</t>
  </si>
  <si>
    <t>Index/Fixed Rate</t>
  </si>
  <si>
    <t>Start Date</t>
  </si>
  <si>
    <t>End Date</t>
  </si>
  <si>
    <t>Spread (bp)</t>
  </si>
  <si>
    <t>Market Value</t>
  </si>
  <si>
    <t>Dirty Value</t>
  </si>
  <si>
    <t>Clean Value</t>
  </si>
  <si>
    <t>Accrued Interest</t>
  </si>
  <si>
    <t>DV01</t>
  </si>
  <si>
    <t>Delta</t>
  </si>
  <si>
    <t>London 6pm</t>
  </si>
  <si>
    <t>External Id</t>
  </si>
  <si>
    <t>Class</t>
  </si>
  <si>
    <t>NATIXIS</t>
  </si>
  <si>
    <t>EUR</t>
  </si>
  <si>
    <t>10/18/2027</t>
  </si>
  <si>
    <t>USD</t>
  </si>
  <si>
    <t>6MEURIBOR</t>
  </si>
  <si>
    <t>10/18/2017</t>
  </si>
  <si>
    <t>Semi Annual</t>
  </si>
  <si>
    <t>Sicovam</t>
  </si>
  <si>
    <t>UTI</t>
  </si>
  <si>
    <t>1030309904SFOEXOTIC9132315M00009RYF0000000</t>
  </si>
  <si>
    <t>DImension</t>
  </si>
  <si>
    <t>IRSB100000105</t>
  </si>
  <si>
    <t>LEI</t>
  </si>
  <si>
    <t>KX1WK48MPD4Y2NCUIZ63</t>
  </si>
  <si>
    <t>Code DI</t>
  </si>
  <si>
    <t>SWAP_357</t>
  </si>
  <si>
    <t>CA CIB</t>
  </si>
  <si>
    <t>IRSB100000106</t>
  </si>
  <si>
    <t>1VUV7VQFKUOQSJ21A208</t>
  </si>
  <si>
    <t>SWAP_359</t>
  </si>
  <si>
    <t>BNP PARIBAS</t>
  </si>
  <si>
    <t>GBP</t>
  </si>
  <si>
    <t>10/17/2016</t>
  </si>
  <si>
    <t>Zero Coupon</t>
  </si>
  <si>
    <t>Receiver</t>
  </si>
  <si>
    <t>10/15/2046</t>
  </si>
  <si>
    <t>Annual</t>
  </si>
  <si>
    <t>Inflation</t>
  </si>
  <si>
    <t>Payer</t>
  </si>
  <si>
    <t>UKRPI</t>
  </si>
  <si>
    <t>11/15/2016</t>
  </si>
  <si>
    <t>11/15/2046</t>
  </si>
  <si>
    <t>SOCIETE GENERALE</t>
  </si>
  <si>
    <t>HICPxT</t>
  </si>
  <si>
    <t>NOMURA</t>
  </si>
  <si>
    <t>Real Rate Swap</t>
  </si>
  <si>
    <t>Fixed</t>
  </si>
  <si>
    <t>GOLDMAN SACHS INTERNATIONAL</t>
  </si>
  <si>
    <t>Vanilla Swap</t>
  </si>
  <si>
    <t>01/13/2017</t>
  </si>
  <si>
    <t>01/13/2027</t>
  </si>
  <si>
    <t>Float</t>
  </si>
  <si>
    <t>3MLIBOR</t>
  </si>
  <si>
    <t>Quarterly</t>
  </si>
  <si>
    <t>01/06/2017</t>
  </si>
  <si>
    <t>01/06/2027</t>
  </si>
  <si>
    <t>UBS Limited</t>
  </si>
  <si>
    <t>02/28/2017</t>
  </si>
  <si>
    <t>02/26/2027</t>
  </si>
  <si>
    <t>MORGAN STANLEY</t>
  </si>
  <si>
    <t>Cross Currency Swap</t>
  </si>
  <si>
    <t>103023891730A44CC0380611E3B911B7FF5EAE8D5A</t>
  </si>
  <si>
    <t>IRSB100000075</t>
  </si>
  <si>
    <t>4PQUHN3JPFGFNF3BB653</t>
  </si>
  <si>
    <t>SWAP_267</t>
  </si>
  <si>
    <t>10/22/2014</t>
  </si>
  <si>
    <t>04/15/2024</t>
  </si>
  <si>
    <t>1030244282IRDONE00000000000000000006853563</t>
  </si>
  <si>
    <t>IRSB100000077</t>
  </si>
  <si>
    <t>O2RNE8IBXP4R0TD8PU41</t>
  </si>
  <si>
    <t>SWAP_296</t>
  </si>
  <si>
    <t>10302640771TTRC3FUF1P3PH7KHB0PMG19GP29GLSD</t>
  </si>
  <si>
    <t>IRSB100000091</t>
  </si>
  <si>
    <t>DGQCSV2PHVF7I2743539</t>
  </si>
  <si>
    <t>SWAP_282</t>
  </si>
  <si>
    <t>1030244282IRDONE00000000000000000006139112</t>
  </si>
  <si>
    <t>IRSB100000090</t>
  </si>
  <si>
    <t>SWAP_281</t>
  </si>
  <si>
    <t>12/07/2012</t>
  </si>
  <si>
    <t>12/07/2028</t>
  </si>
  <si>
    <t>1030244282IRDONE00000000000000000006135056</t>
  </si>
  <si>
    <t>IRSB100000088</t>
  </si>
  <si>
    <t>SWAP_280</t>
  </si>
  <si>
    <t>1030238917D38799C051FA11E3BBA12D1A3307926C</t>
  </si>
  <si>
    <t>IRSB100000086</t>
  </si>
  <si>
    <t>SWAP_279</t>
  </si>
  <si>
    <t>1030244282IRDONE00000000000000000006110588</t>
  </si>
  <si>
    <t>IRSB100000085</t>
  </si>
  <si>
    <t>SWAP_277</t>
  </si>
  <si>
    <t>11/13/2013</t>
  </si>
  <si>
    <t>03/18/2027</t>
  </si>
  <si>
    <t>1030244282IRDONE00000000000000000006105729</t>
  </si>
  <si>
    <t>IRSB100000084</t>
  </si>
  <si>
    <t>SWAP_273</t>
  </si>
  <si>
    <t>11/05/2013</t>
  </si>
  <si>
    <t>1030244282IRDONE00000000000000000006084180</t>
  </si>
  <si>
    <t>IRSB100000082</t>
  </si>
  <si>
    <t>SWAP_271</t>
  </si>
  <si>
    <t>1030244282IRDONE00000000000000000006097956</t>
  </si>
  <si>
    <t>IRSB100000083</t>
  </si>
  <si>
    <t>SWAP_272</t>
  </si>
  <si>
    <t>10302389175217BAA03D7D11E38B26FD3A69CF5746</t>
  </si>
  <si>
    <t>IRSB100000080</t>
  </si>
  <si>
    <t>SWAP_268</t>
  </si>
  <si>
    <t>1030244282IRDONE00000000000000000006073988</t>
  </si>
  <si>
    <t>IRSB100000076</t>
  </si>
  <si>
    <t>SWAP_265</t>
  </si>
  <si>
    <t>1030238917ECF7E110366D11E3B4176335E2493EA9</t>
  </si>
  <si>
    <t>IRSB100000074</t>
  </si>
  <si>
    <t>SWAP_266</t>
  </si>
  <si>
    <t>1030244641MARKITWIRE0000000000000064293667</t>
  </si>
  <si>
    <t>IRSB100000079</t>
  </si>
  <si>
    <t>SWAP_236</t>
  </si>
  <si>
    <t>09/06/2013</t>
  </si>
  <si>
    <t>10304451923A4C534014BA11E3A6080BF0D55FBCA1</t>
  </si>
  <si>
    <t>IRSB100000072</t>
  </si>
  <si>
    <t>SWAP_244</t>
  </si>
  <si>
    <t>10302106780101000000000000000000205667303L</t>
  </si>
  <si>
    <t>IRSB100000078</t>
  </si>
  <si>
    <t>7LTWFZYICNSX8D621K86</t>
  </si>
  <si>
    <t>SWAP_237</t>
  </si>
  <si>
    <t>1030244282IRDONE00000000000000000005968106</t>
  </si>
  <si>
    <t>IRSB100000070</t>
  </si>
  <si>
    <t>SWAP_243</t>
  </si>
  <si>
    <t>RBS</t>
  </si>
  <si>
    <t>1030272448IR123593366653</t>
  </si>
  <si>
    <t>IRSB100000071</t>
  </si>
  <si>
    <t>RR3QWICWWIPCS8A4S074</t>
  </si>
  <si>
    <t>SWAP_239</t>
  </si>
  <si>
    <t>103023891740E0582034BB11E3A293CB5C05BFB3E0</t>
  </si>
  <si>
    <t>IRSB100000073</t>
  </si>
  <si>
    <t>SWAP_264</t>
  </si>
  <si>
    <t>1030244282IRDONE00000000000000000006082649</t>
  </si>
  <si>
    <t>IRSB100000081</t>
  </si>
  <si>
    <t>SWAP_270</t>
  </si>
  <si>
    <t>03/18/2013</t>
  </si>
  <si>
    <t>1030238917049F91C05D9A11E3B0312B4B4BF2A87D</t>
  </si>
  <si>
    <t>IRSB100000033</t>
  </si>
  <si>
    <t>SWAP_284</t>
  </si>
  <si>
    <t>HSBC</t>
  </si>
  <si>
    <t>CMS Swap</t>
  </si>
  <si>
    <t>CMS</t>
  </si>
  <si>
    <t>04/25/2006</t>
  </si>
  <si>
    <t>04/25/2029</t>
  </si>
  <si>
    <t>1030247694FI-MAD-1533846A</t>
  </si>
  <si>
    <t>IRSB100000035</t>
  </si>
  <si>
    <t>R0MUWSFPU8MPRO8K5P83</t>
  </si>
  <si>
    <t>SWAP_303</t>
  </si>
  <si>
    <t>10/25/2006</t>
  </si>
  <si>
    <t>10/25/2025</t>
  </si>
  <si>
    <t>1030247694FI-MAD-1534664</t>
  </si>
  <si>
    <t>IRSB100000036</t>
  </si>
  <si>
    <t>SWAP_304</t>
  </si>
  <si>
    <t>1030247694FI-MAD-1533868</t>
  </si>
  <si>
    <t>IRSB100000034</t>
  </si>
  <si>
    <t>SWAP_302</t>
  </si>
  <si>
    <t>1030247694FI-MAD-1533867</t>
  </si>
  <si>
    <t>IRSB100000037</t>
  </si>
  <si>
    <t>SWAP_305</t>
  </si>
  <si>
    <t>10302640771TTRXT2DD7JEXP1RD3GWRJ90HRH7UWSP</t>
  </si>
  <si>
    <t>IRSB100000063</t>
  </si>
  <si>
    <t>SWAP_307</t>
  </si>
  <si>
    <t>1030244282IRDONE00000000000000000008331465</t>
  </si>
  <si>
    <t>IRSB100000094</t>
  </si>
  <si>
    <t>SWAP_311</t>
  </si>
  <si>
    <t>1030244282IRDONE00000000000000000008333676</t>
  </si>
  <si>
    <t>IRSB100000046</t>
  </si>
  <si>
    <t>SWAP_313</t>
  </si>
  <si>
    <t>1030244282IRDONE00000000000000000008333648</t>
  </si>
  <si>
    <t>IRSB100000047</t>
  </si>
  <si>
    <t>SWAP_314</t>
  </si>
  <si>
    <t>1030244282IRDONE00000000000000000008333614</t>
  </si>
  <si>
    <t>IRSB100000048</t>
  </si>
  <si>
    <t>SWAP_315</t>
  </si>
  <si>
    <t>1030244282IRDONE00000000000000000008333693</t>
  </si>
  <si>
    <t>IRSB100000049</t>
  </si>
  <si>
    <t>SWAP_316</t>
  </si>
  <si>
    <t>03/28/2006</t>
  </si>
  <si>
    <t>03/28/2028</t>
  </si>
  <si>
    <t>1030244282IRDONE00000000000000000008338928</t>
  </si>
  <si>
    <t>IRSB100000040</t>
  </si>
  <si>
    <t>SWAP_319</t>
  </si>
  <si>
    <t>08/03/2012</t>
  </si>
  <si>
    <t>10/24/2025</t>
  </si>
  <si>
    <t>1030244282IRDONE00000000000000000008338892</t>
  </si>
  <si>
    <t>IRSB100000051</t>
  </si>
  <si>
    <t>SWAP_320</t>
  </si>
  <si>
    <t>JP MORGAN</t>
  </si>
  <si>
    <t>01/31/2006</t>
  </si>
  <si>
    <t>01/31/2029</t>
  </si>
  <si>
    <t>IRSB100000032</t>
  </si>
  <si>
    <t>K6Q0W1PS1L1O4IQL9C32</t>
  </si>
  <si>
    <t>SWAP_324</t>
  </si>
  <si>
    <t>COMMERZBANK</t>
  </si>
  <si>
    <t>851WYGNLUQLFZBSYGB56</t>
  </si>
  <si>
    <t>CREDIT SUISSE</t>
  </si>
  <si>
    <t>E58DKGMJYYYJLN8C3868</t>
  </si>
  <si>
    <t>09/19/2012</t>
  </si>
  <si>
    <t>SWAP_335</t>
  </si>
  <si>
    <t>08/16/2012</t>
  </si>
  <si>
    <t>1030443823DTD1008204501</t>
  </si>
  <si>
    <t>IRSB100000059</t>
  </si>
  <si>
    <t>SWAP_341</t>
  </si>
  <si>
    <t>08/06/2012</t>
  </si>
  <si>
    <t>1030443823DTD1008198401</t>
  </si>
  <si>
    <t>IRSB100000060</t>
  </si>
  <si>
    <t>SWAP_342</t>
  </si>
  <si>
    <t>09/20/2012</t>
  </si>
  <si>
    <t>SWAP_352</t>
  </si>
  <si>
    <t>02/17/2006</t>
  </si>
  <si>
    <t>02/17/2025</t>
  </si>
  <si>
    <t>3MEURIBOR</t>
  </si>
  <si>
    <t>SWAP_5</t>
  </si>
  <si>
    <t>06/15/2017</t>
  </si>
  <si>
    <t>06/14/2047</t>
  </si>
  <si>
    <t>06/15/2027</t>
  </si>
  <si>
    <t>1030244641PP1Q9N42J8W7D</t>
  </si>
  <si>
    <t>IRSC100000002</t>
  </si>
  <si>
    <t>SWAP_358</t>
  </si>
  <si>
    <t>1030244641PP1Q9N42J98F5</t>
  </si>
  <si>
    <t>IRSC100000001</t>
  </si>
  <si>
    <t>SWAP_356</t>
  </si>
  <si>
    <t>1030239971COBASUM136676FRA0</t>
  </si>
  <si>
    <t>IRSB100000101</t>
  </si>
  <si>
    <t>SWAP_3</t>
  </si>
  <si>
    <t>09/15/2023</t>
  </si>
  <si>
    <t>FRCPIxT</t>
  </si>
  <si>
    <t>07/26/1999</t>
  </si>
  <si>
    <t>07/25/2029</t>
  </si>
  <si>
    <t>10302640771TTRTKHLRQH33H76N3THLSCNDH3SKNS7</t>
  </si>
  <si>
    <t>INFS10000059</t>
  </si>
  <si>
    <t>SWAP_234</t>
  </si>
  <si>
    <t>03/15/2011</t>
  </si>
  <si>
    <t>09/15/2026</t>
  </si>
  <si>
    <t>10302640771TTRMLB9EJ8HA109PCM5ET7J8VFU0XS9</t>
  </si>
  <si>
    <t>INFS10000067</t>
  </si>
  <si>
    <t>SWAP_258</t>
  </si>
  <si>
    <t>10302640771TTR1HSFCPT0CL5G1A4BC5MTPKCHBXSP</t>
  </si>
  <si>
    <t>INFS10000066</t>
  </si>
  <si>
    <t>SWAP_253</t>
  </si>
  <si>
    <t>08/26/2010</t>
  </si>
  <si>
    <t>07/26/2027</t>
  </si>
  <si>
    <t>10302389171EE84E700BF911E3BB9E55A8D258C6E6</t>
  </si>
  <si>
    <t>INFS10000055</t>
  </si>
  <si>
    <t>SWAP_240</t>
  </si>
  <si>
    <t>1030238917EC68E0812CF611E3AA86A98CB003CA6B</t>
  </si>
  <si>
    <t>INFS10000058</t>
  </si>
  <si>
    <t>SWAP_262</t>
  </si>
  <si>
    <t>1030238917AA36CE30251B11E39CD611D968A8B827</t>
  </si>
  <si>
    <t>INFS10000060</t>
  </si>
  <si>
    <t>SWAP_254</t>
  </si>
  <si>
    <t>10302389179A76DF41250611E39CD611D968A8B827</t>
  </si>
  <si>
    <t>INFS10000062</t>
  </si>
  <si>
    <t>SWAP_257</t>
  </si>
  <si>
    <t>1030272448IR123593169490</t>
  </si>
  <si>
    <t>INFS10000061</t>
  </si>
  <si>
    <t>SWAP_235</t>
  </si>
  <si>
    <t>1030272448IR123585073837</t>
  </si>
  <si>
    <t>INFS10000063</t>
  </si>
  <si>
    <t>SWAP_149</t>
  </si>
  <si>
    <t>BARCLAYS</t>
  </si>
  <si>
    <t>G5GSEF7VJP5I7OUK5573</t>
  </si>
  <si>
    <t>103020945210117862389BZZZZZZZZZZZZZZZZZZZZ</t>
  </si>
  <si>
    <t>INFS10000057</t>
  </si>
  <si>
    <t>SWAP_255</t>
  </si>
  <si>
    <t>1030247694FI-STAR-108305527</t>
  </si>
  <si>
    <t>INFS10000042</t>
  </si>
  <si>
    <t>SWAP_148</t>
  </si>
  <si>
    <t>Modified Duration</t>
  </si>
  <si>
    <t>Date  Prod</t>
  </si>
  <si>
    <t>Paths</t>
  </si>
  <si>
    <t>Alertes (Seuil de  Validité)</t>
  </si>
  <si>
    <t>SOCIETE GENERALE / LCH</t>
  </si>
  <si>
    <t>NATIXIS / LCH</t>
  </si>
  <si>
    <t>PARTY</t>
  </si>
  <si>
    <t>CURR</t>
  </si>
  <si>
    <t>MTM_CURR</t>
  </si>
  <si>
    <t>NOTIONAL</t>
  </si>
  <si>
    <t>MTM_VALUE</t>
  </si>
  <si>
    <t>BNPP</t>
  </si>
  <si>
    <t>CA</t>
  </si>
  <si>
    <t>Classif DI</t>
  </si>
  <si>
    <t>Dirty Value(%)</t>
  </si>
  <si>
    <t>Clean Value(%)</t>
  </si>
  <si>
    <t>Accrued Interest(%)</t>
  </si>
  <si>
    <t>LEG 1 + 2</t>
  </si>
  <si>
    <t>CTP</t>
  </si>
  <si>
    <t>BLOOMBERG</t>
  </si>
  <si>
    <t>SD vs CTP</t>
  </si>
  <si>
    <t>Alertes(Seuil de Validité)</t>
  </si>
  <si>
    <t>SD vs BLOOMBERG</t>
  </si>
  <si>
    <t>CTP vs BLOOMBERG</t>
  </si>
  <si>
    <t>LEG1</t>
  </si>
  <si>
    <t>LEG2</t>
  </si>
  <si>
    <t>LEG1 + LEG2</t>
  </si>
  <si>
    <t>FREE_TEXT_2</t>
  </si>
  <si>
    <t>MTMCTP</t>
  </si>
  <si>
    <t>MTM_DIFF</t>
  </si>
  <si>
    <t>FREE_TEXT_1</t>
  </si>
  <si>
    <t>Sensibilité(DV01)</t>
  </si>
  <si>
    <t>Bloomberg Done</t>
  </si>
  <si>
    <t>Credit Agricole</t>
  </si>
  <si>
    <t>Somme de MTM_VALUE</t>
  </si>
  <si>
    <t>Somme de MTMCTP</t>
  </si>
  <si>
    <t>Somme de MTM_DIFF</t>
  </si>
  <si>
    <t>date maturité
convertie en format européen</t>
  </si>
  <si>
    <t>maturité en année</t>
  </si>
  <si>
    <t>seuil correspondant</t>
  </si>
  <si>
    <t>fonction complémentaire</t>
  </si>
  <si>
    <t>trimestre precedent SD</t>
  </si>
  <si>
    <t>SD</t>
  </si>
  <si>
    <t>SD -3M</t>
  </si>
  <si>
    <t>diff</t>
  </si>
  <si>
    <t>diff %</t>
  </si>
  <si>
    <t>cms10Y</t>
  </si>
  <si>
    <t>taux cms10Y</t>
  </si>
  <si>
    <t>nominal</t>
  </si>
  <si>
    <t>PnL</t>
  </si>
  <si>
    <t>diff totale</t>
  </si>
  <si>
    <t>duration moyenne</t>
  </si>
  <si>
    <t>contrôle leg</t>
  </si>
  <si>
    <t>%</t>
  </si>
  <si>
    <t>CP</t>
  </si>
  <si>
    <t>PRODUCT_CLASS</t>
  </si>
  <si>
    <t>NOTIONAL EUR</t>
  </si>
  <si>
    <t>CURR2</t>
  </si>
  <si>
    <t>TRADE_DATE</t>
  </si>
  <si>
    <t>START_DATE</t>
  </si>
  <si>
    <t>END_DATE</t>
  </si>
  <si>
    <t>MTM_GAM</t>
  </si>
  <si>
    <t>GROUPAMA-AM-000601</t>
  </si>
  <si>
    <t>FX - Swap</t>
  </si>
  <si>
    <t>HUF</t>
  </si>
  <si>
    <t>FX spot WMR</t>
  </si>
  <si>
    <t>MATCH_ID</t>
  </si>
  <si>
    <t>PRODUCT_CLASS_ORIG</t>
  </si>
  <si>
    <t>NOTIONAL2</t>
  </si>
  <si>
    <t>REFERENCE_ORIG</t>
  </si>
  <si>
    <t>MTM_DATE</t>
  </si>
  <si>
    <t>FX swap</t>
  </si>
  <si>
    <t>CP_NAME</t>
  </si>
  <si>
    <t>MARGIN_TYPE</t>
  </si>
  <si>
    <t>input</t>
  </si>
  <si>
    <t>swaps redemption</t>
  </si>
  <si>
    <t>swaps T</t>
  </si>
  <si>
    <t>echeance de produits</t>
  </si>
  <si>
    <t>facteurs explicatifs:</t>
  </si>
  <si>
    <t>diff swaps totale</t>
  </si>
  <si>
    <t>swaps T-3M</t>
  </si>
  <si>
    <t>SD T-3M</t>
  </si>
  <si>
    <t>tombée de coupons</t>
  </si>
  <si>
    <t>Swaps</t>
  </si>
  <si>
    <t>effet taux</t>
  </si>
  <si>
    <t>T-3M</t>
  </si>
  <si>
    <t>T</t>
  </si>
  <si>
    <t>nominal total CMS10Y</t>
  </si>
  <si>
    <t>effet fx</t>
  </si>
  <si>
    <t>XCCY swaps</t>
  </si>
  <si>
    <t>nominal GBP</t>
  </si>
  <si>
    <t>taux gbp</t>
  </si>
  <si>
    <t>Modified Duration
moyenne</t>
  </si>
  <si>
    <t>Modified Duration
moyenne pondérée</t>
  </si>
  <si>
    <t>duration moyenne pond</t>
  </si>
  <si>
    <t>notionnal</t>
  </si>
  <si>
    <t>Exchange</t>
  </si>
  <si>
    <t>Data source</t>
  </si>
  <si>
    <t>Price date</t>
  </si>
  <si>
    <t>Price type</t>
  </si>
  <si>
    <t>FX rate, db format</t>
  </si>
  <si>
    <t>Currency cross</t>
  </si>
  <si>
    <t>EUR/HUF</t>
  </si>
  <si>
    <t>WMR</t>
  </si>
  <si>
    <t>Data SCD</t>
  </si>
  <si>
    <t>nominal USD</t>
  </si>
  <si>
    <t>taux usd</t>
  </si>
  <si>
    <t>taux HUF</t>
  </si>
  <si>
    <t>variation pnl eur</t>
  </si>
  <si>
    <t>nominal EUR (fx HUF)</t>
  </si>
  <si>
    <t>variation pnl usd</t>
  </si>
  <si>
    <t>variation pnl gbp</t>
  </si>
  <si>
    <t>data scd wmr</t>
  </si>
  <si>
    <t>duration</t>
  </si>
  <si>
    <t>stop</t>
  </si>
  <si>
    <t>dont redemption / maturé…</t>
  </si>
  <si>
    <t>+effet taux si divergence gbp eur</t>
  </si>
  <si>
    <t>variation taux gbp</t>
  </si>
  <si>
    <t>variation xccy</t>
  </si>
  <si>
    <t>Société Générale SA</t>
  </si>
  <si>
    <t>BNP Paribas</t>
  </si>
  <si>
    <t>.</t>
  </si>
  <si>
    <t>=+RECHERCHEV(A7;Triopti!A:E;4;0)</t>
  </si>
  <si>
    <t>=+AW7/M7</t>
  </si>
  <si>
    <t>StdIRMTMReport1:</t>
  </si>
  <si>
    <t>AW7</t>
  </si>
  <si>
    <t>06/24/2021</t>
  </si>
  <si>
    <t>`</t>
  </si>
  <si>
    <t>04/19/2022</t>
  </si>
  <si>
    <t>10Y SwapAnnual</t>
  </si>
  <si>
    <t>OIS</t>
  </si>
  <si>
    <t>echeance</t>
  </si>
  <si>
    <t>diff a expliquer</t>
  </si>
  <si>
    <t>Total général</t>
  </si>
  <si>
    <t>Étiquettes de lignes</t>
  </si>
  <si>
    <t>Dirty Value CTP</t>
  </si>
  <si>
    <t>Dirty Value GAM</t>
  </si>
  <si>
    <t>Somme de Dirty Value GAM</t>
  </si>
  <si>
    <t>Somme de Dirty Value CTP</t>
  </si>
  <si>
    <t>ESTR</t>
  </si>
  <si>
    <t>02/27/2024</t>
  </si>
  <si>
    <t>05/16/2022</t>
  </si>
  <si>
    <t>AN</t>
  </si>
  <si>
    <t>A</t>
  </si>
  <si>
    <t>B</t>
  </si>
  <si>
    <t>E</t>
  </si>
  <si>
    <t>06/01/2022</t>
  </si>
  <si>
    <t>05/06/2022</t>
  </si>
  <si>
    <t>05/05/2022</t>
  </si>
  <si>
    <t>03/25/2024</t>
  </si>
  <si>
    <t>06/24/2031</t>
  </si>
  <si>
    <t>USCPI</t>
  </si>
  <si>
    <t>IRSB100002012</t>
  </si>
  <si>
    <t>04/29/2024</t>
  </si>
  <si>
    <t>infla</t>
  </si>
  <si>
    <t>None</t>
  </si>
  <si>
    <t>Market Data</t>
  </si>
  <si>
    <t>Results</t>
  </si>
  <si>
    <t>Sensitivity Measures</t>
  </si>
  <si>
    <t>#Ticket</t>
  </si>
  <si>
    <t>Trade ID</t>
  </si>
  <si>
    <t>Expiry</t>
  </si>
  <si>
    <t>Tenor</t>
  </si>
  <si>
    <t>Strike</t>
  </si>
  <si>
    <t>Buy/Sell</t>
  </si>
  <si>
    <t>Putable/Callable</t>
  </si>
  <si>
    <t>Callable Style</t>
  </si>
  <si>
    <t>First Call Date</t>
  </si>
  <si>
    <t>Call/Exercise Frequency</t>
  </si>
  <si>
    <t>First Notice Date</t>
  </si>
  <si>
    <t>Trigger1</t>
  </si>
  <si>
    <t>Trigger2</t>
  </si>
  <si>
    <t>Min Coupon</t>
  </si>
  <si>
    <t>Max Coupon</t>
  </si>
  <si>
    <t>Starting Notional</t>
  </si>
  <si>
    <t>Ending Notional</t>
  </si>
  <si>
    <t>Delivery Date</t>
  </si>
  <si>
    <t>Lockout End Date</t>
  </si>
  <si>
    <t>Cap(%)</t>
  </si>
  <si>
    <t>Observation Index</t>
  </si>
  <si>
    <t>Observation Frequency</t>
  </si>
  <si>
    <t>Observation Index1</t>
  </si>
  <si>
    <t>Observation Index2</t>
  </si>
  <si>
    <t>Observation Frequency1</t>
  </si>
  <si>
    <t>Observation Frequency2</t>
  </si>
  <si>
    <t>Observation Basis1</t>
  </si>
  <si>
    <t>Observation Basis2</t>
  </si>
  <si>
    <t>Gearing1</t>
  </si>
  <si>
    <t>Gearing2</t>
  </si>
  <si>
    <t>Settlement Type</t>
  </si>
  <si>
    <t>Settlement Currency</t>
  </si>
  <si>
    <t>Book</t>
  </si>
  <si>
    <t>Trade Date</t>
  </si>
  <si>
    <t>Premium/Fees Amt</t>
  </si>
  <si>
    <t>Premium Currency</t>
  </si>
  <si>
    <t>Premium Percent</t>
  </si>
  <si>
    <t>Premium Date</t>
  </si>
  <si>
    <t>Approval Status</t>
  </si>
  <si>
    <t>Fixing Type</t>
  </si>
  <si>
    <t>Fixing Frequency</t>
  </si>
  <si>
    <t>Payment Frequency</t>
  </si>
  <si>
    <t>Day count Basis</t>
  </si>
  <si>
    <t>Is Compounded</t>
  </si>
  <si>
    <t>Amortization Method</t>
  </si>
  <si>
    <t>Amortization Type</t>
  </si>
  <si>
    <t>Amortization Value</t>
  </si>
  <si>
    <t>Roll Convention</t>
  </si>
  <si>
    <t>Day Roll</t>
  </si>
  <si>
    <t>ATMF Vol</t>
  </si>
  <si>
    <t>Normal ATMF Vol</t>
  </si>
  <si>
    <t>Market Vol</t>
  </si>
  <si>
    <t>Market Vol Bid</t>
  </si>
  <si>
    <t>Market Vol Ask</t>
  </si>
  <si>
    <t>Market Normal Vol</t>
  </si>
  <si>
    <t>Market Normal Vol Bid</t>
  </si>
  <si>
    <t>Market Normal Vol Ask</t>
  </si>
  <si>
    <t>Forward Rate</t>
  </si>
  <si>
    <t>Market fixed Rate</t>
  </si>
  <si>
    <t>Market Fixed Rate Bid</t>
  </si>
  <si>
    <t>Market Fixed Rate Ask</t>
  </si>
  <si>
    <t>Market Floating Spread (bp)</t>
  </si>
  <si>
    <t>Market Floating Spread Bid (bp)</t>
  </si>
  <si>
    <t>Market Floating Spread Ask (bp)</t>
  </si>
  <si>
    <t>CMS Spread</t>
  </si>
  <si>
    <t>Spot</t>
  </si>
  <si>
    <t>Market Value Bid</t>
  </si>
  <si>
    <t>Market Value Ask</t>
  </si>
  <si>
    <t>Market Value (%)</t>
  </si>
  <si>
    <t>Market Value Bid (%)</t>
  </si>
  <si>
    <t>Market Value Ask (%)</t>
  </si>
  <si>
    <t>Theoretical Value (%)</t>
  </si>
  <si>
    <t>Underlying Vanilla Swap NPV</t>
  </si>
  <si>
    <t>Swap NPV</t>
  </si>
  <si>
    <t>Vega</t>
  </si>
  <si>
    <t>Carry (O/N)</t>
  </si>
  <si>
    <t>DV01 (Basis)</t>
  </si>
  <si>
    <t>Pure DV01</t>
  </si>
  <si>
    <t>FWD Annuity</t>
  </si>
  <si>
    <t>Spot Annuity</t>
  </si>
  <si>
    <t>Present Value</t>
  </si>
  <si>
    <t>Current Coupon Rate</t>
  </si>
  <si>
    <t>Current Payment Date</t>
  </si>
  <si>
    <t>Next Payment Date</t>
  </si>
  <si>
    <t>Next Fixing Date</t>
  </si>
  <si>
    <t>Market Value -5% Rate</t>
  </si>
  <si>
    <t>Market Value +5% Rate</t>
  </si>
  <si>
    <t>Market Value -5% Vol</t>
  </si>
  <si>
    <t>Market Value +5% Vol</t>
  </si>
  <si>
    <t>Custom Attribute1 Name</t>
  </si>
  <si>
    <t>Custom Attribute1 Value</t>
  </si>
  <si>
    <t>Cash Settlement</t>
  </si>
  <si>
    <t>Asset Swap Inflation</t>
  </si>
  <si>
    <t>01/20/2015</t>
  </si>
  <si>
    <t>Actual/Actual (ISMA)</t>
  </si>
  <si>
    <t>Unchanged</t>
  </si>
  <si>
    <t>Following</t>
  </si>
  <si>
    <t>30/360</t>
  </si>
  <si>
    <t>ModifiedFollowing</t>
  </si>
  <si>
    <t>01/21/2015</t>
  </si>
  <si>
    <t>Actual/Actual (ISDA)</t>
  </si>
  <si>
    <t>Inflation Swap</t>
  </si>
  <si>
    <t>01/22/2015</t>
  </si>
  <si>
    <t>Cross Currency Asset Swap</t>
  </si>
  <si>
    <t>30E/360</t>
  </si>
  <si>
    <t>12/31/2014</t>
  </si>
  <si>
    <t>Actual/365</t>
  </si>
  <si>
    <t>02/08/2022</t>
  </si>
  <si>
    <t>03/29/2022</t>
  </si>
  <si>
    <t>Swaps CMS</t>
  </si>
  <si>
    <t>In Advance</t>
  </si>
  <si>
    <t>12/31/2015</t>
  </si>
  <si>
    <t>05/26/2016</t>
  </si>
  <si>
    <t>05/12/2016</t>
  </si>
  <si>
    <t>Actual/360</t>
  </si>
  <si>
    <t>Swaps FIX FLOAT</t>
  </si>
  <si>
    <t>06/13/2017</t>
  </si>
  <si>
    <t>01/12/2017</t>
  </si>
  <si>
    <t>02/24/2017</t>
  </si>
  <si>
    <t>01/04/2017</t>
  </si>
  <si>
    <t>03/16/2022</t>
  </si>
  <si>
    <t>Swaps Inflation</t>
  </si>
  <si>
    <t>11/03/2016</t>
  </si>
  <si>
    <t>Overnight Index Swap</t>
  </si>
  <si>
    <t>Swaps OIS</t>
  </si>
  <si>
    <t>05/31/2022</t>
  </si>
  <si>
    <t>02/09/2022</t>
  </si>
  <si>
    <t>03/10/2022</t>
  </si>
  <si>
    <t>Swaps taux</t>
  </si>
  <si>
    <t>Buy</t>
  </si>
  <si>
    <t>04/06/2022</t>
  </si>
  <si>
    <t>10/18/2024</t>
  </si>
  <si>
    <t>somme MTM</t>
  </si>
  <si>
    <t>vrai MTM T-3M</t>
  </si>
  <si>
    <t>Swap ALM TF</t>
  </si>
  <si>
    <t>06/07/2024</t>
  </si>
  <si>
    <t>05/12/2022</t>
  </si>
  <si>
    <t>03/03/2023</t>
  </si>
  <si>
    <t>03/12/2025</t>
  </si>
  <si>
    <t>05/12/2026</t>
  </si>
  <si>
    <t>11/14/2022</t>
  </si>
  <si>
    <t>IRSB100002396</t>
  </si>
  <si>
    <t>Bond Forward</t>
  </si>
  <si>
    <t>04/27/2026</t>
  </si>
  <si>
    <t>05/25/2052</t>
  </si>
  <si>
    <t>BDFWD100000018</t>
  </si>
  <si>
    <t>05/25/2053</t>
  </si>
  <si>
    <t>BANK OF AMERICA</t>
  </si>
  <si>
    <t>10/27/2025</t>
  </si>
  <si>
    <t>BDFWD100000005</t>
  </si>
  <si>
    <t>BDFWD100000015</t>
  </si>
  <si>
    <t>MV</t>
  </si>
  <si>
    <t>MV (%)</t>
  </si>
  <si>
    <t>Portfolio Name</t>
  </si>
  <si>
    <t>Asset Class</t>
  </si>
  <si>
    <t>Product Code</t>
  </si>
  <si>
    <t>Product Name</t>
  </si>
  <si>
    <t>Volume</t>
  </si>
  <si>
    <t>Calc. Status</t>
  </si>
  <si>
    <t>IR Duration</t>
  </si>
  <si>
    <t>IR Leg 1 Duration</t>
  </si>
  <si>
    <t>IR Leg 1 DV01</t>
  </si>
  <si>
    <t>IR Leg 1 PV</t>
  </si>
  <si>
    <t>IR Leg 2 Duration</t>
  </si>
  <si>
    <t>IR Leg 2 DV01</t>
  </si>
  <si>
    <t>IR Leg 2 PV</t>
  </si>
  <si>
    <t>Forward</t>
  </si>
  <si>
    <t>Type</t>
  </si>
  <si>
    <t/>
  </si>
  <si>
    <t>RATES</t>
  </si>
  <si>
    <t>Success</t>
  </si>
  <si>
    <t>Somme de IR Duration</t>
  </si>
  <si>
    <t>Somme de IR Leg 1 Duration</t>
  </si>
  <si>
    <t>Somme de IR Leg 2 Duration</t>
  </si>
  <si>
    <t>Somme de DV01</t>
  </si>
  <si>
    <t>Somme de IR Leg 1 DV01</t>
  </si>
  <si>
    <t>Somme de IR Leg 2 DV01</t>
  </si>
  <si>
    <t>JPMSE</t>
  </si>
  <si>
    <t>JPMorgan SE</t>
  </si>
  <si>
    <t>FX forward</t>
  </si>
  <si>
    <t>SGCIB</t>
  </si>
  <si>
    <t>(vide)</t>
  </si>
  <si>
    <t>BAMLSE</t>
  </si>
  <si>
    <t>BofA Securities Europe SA</t>
  </si>
  <si>
    <t>BDF 20251027 FRTR 0 3/4 05/25/53 MERRILL_LYNCH_FR</t>
  </si>
  <si>
    <t>BDF 20251027 FRTR 0 3/4 05/25/52 BNP_PARIBAS_FR</t>
  </si>
  <si>
    <t>GIPB</t>
  </si>
  <si>
    <t>BDF 20260427 FRTR 0 3/4 05/25/52 GOLDMAN_SACHS_FR</t>
  </si>
  <si>
    <t>Goldman Sachs International - Paris Branch</t>
  </si>
  <si>
    <t>Code SCD</t>
  </si>
  <si>
    <t>Prix CTP</t>
  </si>
  <si>
    <t>Prix GAM %</t>
  </si>
  <si>
    <t>Prix CTP %</t>
  </si>
  <si>
    <t>Prix GAM</t>
  </si>
  <si>
    <t>Code DOFI</t>
  </si>
  <si>
    <t>Citigroup</t>
  </si>
  <si>
    <t>05/25/2050</t>
  </si>
  <si>
    <t>BDFWD100000020</t>
  </si>
  <si>
    <t>Somme de MTM_GAM</t>
  </si>
  <si>
    <t>Somme de Prix GAM</t>
  </si>
  <si>
    <t>Somme de Prix CTP</t>
  </si>
  <si>
    <t>BF</t>
  </si>
  <si>
    <t>FX FWD</t>
  </si>
  <si>
    <t>04/25/2024</t>
  </si>
  <si>
    <t>05/17/2032</t>
  </si>
  <si>
    <t>05/15/2024</t>
  </si>
  <si>
    <t>IRSB100002822</t>
  </si>
  <si>
    <t>06/14/2024</t>
  </si>
  <si>
    <t>05/06/2025</t>
  </si>
  <si>
    <t>05/07/2024</t>
  </si>
  <si>
    <t>IRSB100002754</t>
  </si>
  <si>
    <t>06/18/2024</t>
  </si>
  <si>
    <t>03/19/2025</t>
  </si>
  <si>
    <t>01/16/2025</t>
  </si>
  <si>
    <t>05/25/2048</t>
  </si>
  <si>
    <t>BDFWD100000032</t>
  </si>
  <si>
    <t>BDFWD100000030</t>
  </si>
  <si>
    <t>BDFWD100000028</t>
  </si>
  <si>
    <t>BDFWD100000022</t>
  </si>
  <si>
    <t>BDFWD100000024</t>
  </si>
  <si>
    <t>Unspecified - Forward</t>
  </si>
  <si>
    <t>BDF 20260427 FRTR 1 1/2 05/25/50 GOLDMAN_SACHS_FR</t>
  </si>
  <si>
    <t>BDF 20260427 FRTR 1 1/2 05/25/50 BNP_PARIBAS_FR</t>
  </si>
  <si>
    <t>CEP</t>
  </si>
  <si>
    <t>BDF 20251027 FRTR 1 1/2 05/25/50 CITIBANK_IE</t>
  </si>
  <si>
    <t>Citibank Europe Public Limited Company</t>
  </si>
  <si>
    <t>BDF 20251027 FRTR 0 3/4 05/25/52 CITIBANK_IE</t>
  </si>
  <si>
    <t>BDF 20251027 FRTR 2 05/25/48 SOGE_FR</t>
  </si>
  <si>
    <t>Trioptima</t>
  </si>
  <si>
    <t>Seuil</t>
  </si>
  <si>
    <t>Diff</t>
  </si>
  <si>
    <t>Commentaires</t>
  </si>
  <si>
    <t>06/24/2024</t>
  </si>
  <si>
    <t>05/17/2024</t>
  </si>
  <si>
    <t>Delta Cash</t>
  </si>
  <si>
    <t>07/25/2024</t>
  </si>
  <si>
    <t>02/16/2023</t>
  </si>
  <si>
    <t>09/11/2023</t>
  </si>
  <si>
    <t>10/25/2024</t>
  </si>
  <si>
    <t>10/24/2024</t>
  </si>
  <si>
    <t>10/21/2024</t>
  </si>
  <si>
    <t>06/30/2026</t>
  </si>
  <si>
    <t>07/03/2023</t>
  </si>
  <si>
    <t>IRSB100004021</t>
  </si>
  <si>
    <t>06/30/2027</t>
  </si>
  <si>
    <t>IRSB100004022</t>
  </si>
  <si>
    <t>06/30/2028</t>
  </si>
  <si>
    <t>IRSB100004023</t>
  </si>
  <si>
    <t>12/09/2024</t>
  </si>
  <si>
    <t>BARCLAYS CAPITAL SECURITIES LTD</t>
  </si>
  <si>
    <t>BNP PARIBAS France</t>
  </si>
  <si>
    <t>BOA Securities Europe SA</t>
  </si>
  <si>
    <t>CITIBANK EUROPE PLC</t>
  </si>
  <si>
    <t>COMMERZBANK AG</t>
  </si>
  <si>
    <t>CREDIT AGRICOLE CIB</t>
  </si>
  <si>
    <t>CREDIT SUISSE INTERNATIONAL</t>
  </si>
  <si>
    <t>GOLDMAN SACHS INTERNATIONAL - PARIS BRANCH</t>
  </si>
  <si>
    <t>HSBC FRANCE (FORMERLY HSBC CCF)</t>
  </si>
  <si>
    <t>JP MORGAN AG - FRANKFURT</t>
  </si>
  <si>
    <t>MORGAN STANLEY AND CO. INTERNATIONAL PLC</t>
  </si>
  <si>
    <t>NATIXIS CAPITAL MARKET</t>
  </si>
  <si>
    <t>NOMURA INTERNATIONAL PLC</t>
  </si>
  <si>
    <t>ROYAL BANK OF SCOTLAND PLC</t>
  </si>
  <si>
    <t>SOCIETE GENERALE PARIS</t>
  </si>
  <si>
    <t>12/24/2024</t>
  </si>
  <si>
    <t>01/02/2025</t>
  </si>
  <si>
    <r>
      <t xml:space="preserve">
</t>
    </r>
    <r>
      <rPr>
        <b/>
        <sz val="8"/>
        <color theme="0"/>
        <rFont val="Arial"/>
        <family val="2"/>
      </rPr>
      <t xml:space="preserve">Copier les résultats du précédent IFT dans leur Onglet via la macro
Coller les fichiers SD (IR et XCY) dans l'onglet IRS - INF – XCCY
Faire un backup via la macro si on souhaite relancer les étapes suivantes
Indiquer la date de prod (D3), fast ou close et Cliquer sur le bouton IFT
Renommer le fichier "Sensis IFT Tool - " en date de production(Date Prod) avec le format ddmmaaaa.xlsx. Bien penser à deposer le fichier dans le répertoire ci dessus.
</t>
    </r>
    <r>
      <rPr>
        <sz val="8"/>
        <color theme="0"/>
        <rFont val="Arial"/>
        <family val="2"/>
      </rPr>
      <t xml:space="preserve">
</t>
    </r>
  </si>
  <si>
    <t>03/15/2024</t>
  </si>
  <si>
    <t>01/31/2025</t>
  </si>
  <si>
    <t>09/14/2023</t>
  </si>
  <si>
    <t>03/12/2024</t>
  </si>
  <si>
    <t>05/05/2023</t>
  </si>
  <si>
    <t>IRSB100004956</t>
  </si>
  <si>
    <t>03/13/2024</t>
  </si>
  <si>
    <t>03/14/2024</t>
  </si>
  <si>
    <t>IRSB100004863</t>
  </si>
  <si>
    <t>IRSB100004865</t>
  </si>
  <si>
    <t>03/18/2025</t>
  </si>
  <si>
    <t>03/28/2025</t>
  </si>
  <si>
    <t>04/25/2025</t>
  </si>
  <si>
    <t>06/16/2025</t>
  </si>
  <si>
    <t>05/13/2024</t>
  </si>
  <si>
    <t>11/09/2023</t>
  </si>
  <si>
    <t>05/07/2025</t>
  </si>
  <si>
    <t>05/02/2024</t>
  </si>
  <si>
    <t>05/15/2025</t>
  </si>
  <si>
    <t>11/15/2023</t>
  </si>
  <si>
    <t>06/30/2023</t>
  </si>
  <si>
    <t>01/29/2024</t>
  </si>
  <si>
    <t>01/04/2024</t>
  </si>
  <si>
    <t>05/03/2022</t>
  </si>
  <si>
    <t>IRSB100005612</t>
  </si>
  <si>
    <t>11/24/2023</t>
  </si>
  <si>
    <t>05/22/2024</t>
  </si>
  <si>
    <t>05/23/2024</t>
  </si>
  <si>
    <t>05/24/2024</t>
  </si>
  <si>
    <t>05/27/2024</t>
  </si>
  <si>
    <t>11/28/2023</t>
  </si>
  <si>
    <t>05/29/2024</t>
  </si>
  <si>
    <t>05/29/2025</t>
  </si>
  <si>
    <t>05/30/2024</t>
  </si>
  <si>
    <t>05/31/2024</t>
  </si>
  <si>
    <t>06/06/2024</t>
  </si>
  <si>
    <t>01/15/2024</t>
  </si>
  <si>
    <t>06/19/2024</t>
  </si>
  <si>
    <t>06/20/2024</t>
  </si>
  <si>
    <t>IR swap, fixed/float</t>
  </si>
  <si>
    <t>IR swap, basis</t>
  </si>
  <si>
    <t>Cross currency, fixed/fixed</t>
  </si>
  <si>
    <t>Mon, 03 Jul 2023 07:00:19</t>
  </si>
  <si>
    <t>07/01/2025</t>
  </si>
  <si>
    <t>01/17/2025</t>
  </si>
  <si>
    <t>01/20/2025</t>
  </si>
  <si>
    <t>U</t>
  </si>
  <si>
    <t>leg 1</t>
  </si>
  <si>
    <t>=RECHERCHEV($A68;'TCD Sensi SD IPA'!$B$5:$H$36;3;FAUX)</t>
  </si>
  <si>
    <t>=RECHERCHEV($A68;'TCD Sensi SD IPA'!$B$5:$H$36;6;FAUX)</t>
  </si>
  <si>
    <t>leg 2</t>
  </si>
  <si>
    <t>=RECHERCHEV($A68;'TCD Sensi SD IPA'!$B$5:$H$36;4;FAUX)</t>
  </si>
  <si>
    <t>AK</t>
  </si>
  <si>
    <t>AL</t>
  </si>
  <si>
    <t>=RECHERCHEV($A68;'TCD Sensi SD IPA'!$B$5:$H$36;7;FAUX)</t>
  </si>
  <si>
    <t>=RECHERCHEV($A68;'TCD Sensi SD IPA'!$B$5:$H$36;2;FAUX)</t>
  </si>
  <si>
    <t>leg 1+2</t>
  </si>
  <si>
    <t>=RECHERCHEV($A69;'TCD Sensi SD IPA'!$B$5:$H$36;5;FAUX)</t>
  </si>
  <si>
    <t>AT</t>
  </si>
  <si>
    <t>AU</t>
  </si>
  <si>
    <t>09/16/2024</t>
  </si>
  <si>
    <t>07/25/2025</t>
  </si>
  <si>
    <t>01/25/2024</t>
  </si>
  <si>
    <t>08/27/2024</t>
  </si>
  <si>
    <t>07/15/2024</t>
  </si>
  <si>
    <t>03/08/2024</t>
  </si>
  <si>
    <t>09/19/2024</t>
  </si>
  <si>
    <t>07/05/2024</t>
  </si>
  <si>
    <t>07/07/2025</t>
  </si>
  <si>
    <t>01/22/2024</t>
  </si>
  <si>
    <t>01/24/2024</t>
  </si>
  <si>
    <t>07/31/2024</t>
  </si>
  <si>
    <t>08/01/2024</t>
  </si>
  <si>
    <t>08/12/2024</t>
  </si>
  <si>
    <t>08/16/2024</t>
  </si>
  <si>
    <t>08/08/2024</t>
  </si>
  <si>
    <t>08/20/2024</t>
  </si>
  <si>
    <t>08/21/2024</t>
  </si>
  <si>
    <t>08/22/2024</t>
  </si>
  <si>
    <t>08/23/2024</t>
  </si>
  <si>
    <t>08/26/2024</t>
  </si>
  <si>
    <t>11/30/2023</t>
  </si>
  <si>
    <t>08/28/2024</t>
  </si>
  <si>
    <t>08/29/2024</t>
  </si>
  <si>
    <t>09/02/2024</t>
  </si>
  <si>
    <t>09/03/2024</t>
  </si>
  <si>
    <t>TRS Bond</t>
  </si>
  <si>
    <t>Bond</t>
  </si>
  <si>
    <t>12/02/2024</t>
  </si>
  <si>
    <t>12/03/2024</t>
  </si>
  <si>
    <t>09/10/2024</t>
  </si>
  <si>
    <t>09/11/2024</t>
  </si>
  <si>
    <t>09/15/2028</t>
  </si>
  <si>
    <t>INFS10000230</t>
  </si>
  <si>
    <t>09/13/2024</t>
  </si>
  <si>
    <t>INFS10000232</t>
  </si>
  <si>
    <t>INFS10000234</t>
  </si>
  <si>
    <t>CITI</t>
  </si>
  <si>
    <t>INFS10000246</t>
  </si>
  <si>
    <t>INFS10000248</t>
  </si>
  <si>
    <t>09/20/2024</t>
  </si>
  <si>
    <t>09/23/2024</t>
  </si>
  <si>
    <t>09/17/2024</t>
  </si>
  <si>
    <t>09/18/2024</t>
  </si>
  <si>
    <r>
      <t>CONTREPARTIE</t>
    </r>
    <r>
      <rPr>
        <b/>
        <sz val="10"/>
        <color theme="1"/>
        <rFont val="Calibri"/>
        <family val="2"/>
        <scheme val="minor"/>
      </rPr>
      <t xml:space="preserve"> </t>
    </r>
  </si>
  <si>
    <r>
      <t>TYPOLOGIE</t>
    </r>
    <r>
      <rPr>
        <b/>
        <sz val="10"/>
        <color theme="1"/>
        <rFont val="Calibri"/>
        <family val="2"/>
        <scheme val="minor"/>
      </rPr>
      <t xml:space="preserve"> </t>
    </r>
  </si>
  <si>
    <r>
      <t>Somme de NOMINAL</t>
    </r>
    <r>
      <rPr>
        <b/>
        <sz val="10"/>
        <color theme="1"/>
        <rFont val="Calibri"/>
        <family val="2"/>
        <scheme val="minor"/>
      </rPr>
      <t xml:space="preserve"> </t>
    </r>
  </si>
  <si>
    <r>
      <t>MTM Gam</t>
    </r>
    <r>
      <rPr>
        <b/>
        <sz val="10"/>
        <color theme="1"/>
        <rFont val="Calibri"/>
        <family val="2"/>
        <scheme val="minor"/>
      </rPr>
      <t xml:space="preserve"> </t>
    </r>
  </si>
  <si>
    <r>
      <t>MTM Contrepartie</t>
    </r>
    <r>
      <rPr>
        <b/>
        <sz val="10"/>
        <color theme="1"/>
        <rFont val="Calibri"/>
        <family val="2"/>
        <scheme val="minor"/>
      </rPr>
      <t xml:space="preserve"> </t>
    </r>
  </si>
  <si>
    <t>09/24/2024</t>
  </si>
  <si>
    <t>09/25/2024</t>
  </si>
  <si>
    <t>04/30/2024</t>
  </si>
  <si>
    <t>05/28/2024</t>
  </si>
  <si>
    <t>04/16/2024</t>
  </si>
  <si>
    <t>10/20/2025</t>
  </si>
  <si>
    <t>06/12/2024</t>
  </si>
  <si>
    <t>10/01/2024</t>
  </si>
  <si>
    <t>10/17/2024</t>
  </si>
  <si>
    <t>02/29/2024</t>
  </si>
  <si>
    <t>10/11/2024</t>
  </si>
  <si>
    <t>10/14/2024</t>
  </si>
  <si>
    <t>08/30/2024</t>
  </si>
  <si>
    <t>07/29/2024</t>
  </si>
  <si>
    <t>07/30/2024</t>
  </si>
  <si>
    <t>06/28/2024</t>
  </si>
  <si>
    <t>03/11/2024</t>
  </si>
  <si>
    <t>11/07/2024</t>
  </si>
  <si>
    <t>11/08/2024</t>
  </si>
  <si>
    <t>01/23/2025</t>
  </si>
  <si>
    <t>01/24/2025</t>
  </si>
  <si>
    <t>11/17/2025</t>
  </si>
  <si>
    <t>INFS10000254</t>
  </si>
  <si>
    <t>11/13/2025</t>
  </si>
  <si>
    <t>11/14/2024</t>
  </si>
  <si>
    <t>INFS10000252</t>
  </si>
  <si>
    <t>INFS10000253</t>
  </si>
  <si>
    <t>02/14/2024</t>
  </si>
  <si>
    <t>11/15/2024</t>
  </si>
  <si>
    <t>05/21/2024</t>
  </si>
  <si>
    <t>02/28/2024</t>
  </si>
  <si>
    <t>07/03/2024</t>
  </si>
  <si>
    <t>07/04/2024</t>
  </si>
  <si>
    <t>11/15/2028</t>
  </si>
  <si>
    <t>INFS10000272</t>
  </si>
  <si>
    <t>INFS10000273</t>
  </si>
  <si>
    <t>11/26/2024</t>
  </si>
  <si>
    <t>INFS10000262</t>
  </si>
  <si>
    <t>03/06/2024</t>
  </si>
  <si>
    <t>04/12/2024</t>
  </si>
  <si>
    <t>09/18/2025</t>
  </si>
  <si>
    <t>09/19/2025</t>
  </si>
  <si>
    <t>IRSB100007429</t>
  </si>
  <si>
    <t>12/08/2025</t>
  </si>
  <si>
    <t>taux cms3y</t>
  </si>
  <si>
    <t>effet discount</t>
  </si>
  <si>
    <t>perte</t>
  </si>
  <si>
    <t>3Y</t>
  </si>
  <si>
    <t>FXW1020430 JP_MORGAN_DE EUR/HUF 20250217</t>
  </si>
  <si>
    <t>FXW1020430</t>
  </si>
  <si>
    <t>Fichier collat MO</t>
  </si>
  <si>
    <t>IRS - INF – XCCY</t>
  </si>
  <si>
    <t>BND FWD</t>
  </si>
  <si>
    <t>Total</t>
  </si>
  <si>
    <t>Intitulés existants</t>
  </si>
  <si>
    <t>GAM</t>
  </si>
  <si>
    <t>Ecarts Gam</t>
  </si>
  <si>
    <t>Ecarts Ctp</t>
  </si>
  <si>
    <t>Total à vérifier</t>
  </si>
  <si>
    <t>Diff à corriger</t>
  </si>
  <si>
    <t>Dérivés listés</t>
  </si>
  <si>
    <t>FX forward &amp; FX swap</t>
  </si>
  <si>
    <t>ASSET TYPE</t>
  </si>
  <si>
    <t>Coller tableau du MO Collat ci-dessous ==&gt;</t>
  </si>
  <si>
    <t>Comparatif entre données MO et données Risk</t>
  </si>
  <si>
    <t>=SOMME.SI('IRS - INF – XCCY'!$E:$E;$S1;'IRS - INF – XCCY'!$AN:$AN)</t>
  </si>
  <si>
    <t>=SOMME.SI('check report collat'!$C:$C;Check2!$S1;'check report collat'!$E:$E)</t>
  </si>
  <si>
    <t>=SOMME.SI('BND FWD'!$C:$C;Check2!$S1;'BND FWD'!E:E)</t>
  </si>
  <si>
    <t>=SOMME.SI('BND FWD'!$C:$C;Check2!$S1;'BND FWD'!F:F)</t>
  </si>
  <si>
    <t>=SOMME.SI('FX FWD'!$C$1:$C$17;Check2!$S1;'FX FWD'!M$1:M$17)</t>
  </si>
  <si>
    <t>=SOMME.SI('FX FWD'!$C$1:$C$17;Check2!$S1;'FX FWD'!N$1:N$17)</t>
  </si>
  <si>
    <t>=SOMME.SI('IRS - INF – XCCY'!$B:$B;$AD1;'IRS - INF – XCCY'!$AN:$AN)</t>
  </si>
  <si>
    <t>=SOMME.SI('check report collat'!$B:$B;Check2!$AD1;'check report collat'!$E:$E)</t>
  </si>
  <si>
    <t>=SOMME('BND FWD'!E$1:E$17)</t>
  </si>
  <si>
    <t>=SOMME('BND FWD'!F$1:F$17)</t>
  </si>
  <si>
    <t>=SOMME.SI('FX FWD'!$D$1:$D$17;Check2!$AD1;'FX FWD'!M$1:M$17)</t>
  </si>
  <si>
    <t>=SOMME.SI('FX FWD'!$D$1:$D$17;Check2!$AD1;'FX FWD'!N$1:N$17)</t>
  </si>
  <si>
    <t>03/26/2024</t>
  </si>
  <si>
    <t>03/21/2024</t>
  </si>
  <si>
    <t>06/21/2024</t>
  </si>
  <si>
    <t>INPUT</t>
  </si>
  <si>
    <t>03/20/2024</t>
  </si>
  <si>
    <t>03/17/2025</t>
  </si>
  <si>
    <t>04/26/2024</t>
  </si>
  <si>
    <t>01/30/2026</t>
  </si>
  <si>
    <t>02/26/2025</t>
  </si>
  <si>
    <t>01/06/2025</t>
  </si>
  <si>
    <t>01/13/2025</t>
  </si>
  <si>
    <t>06/10/2024</t>
  </si>
  <si>
    <t>07/12/2024</t>
  </si>
  <si>
    <t>01/07/2025</t>
  </si>
  <si>
    <t>01/03/2025</t>
  </si>
  <si>
    <t>01/15/2026</t>
  </si>
  <si>
    <t>07/02/2024</t>
  </si>
  <si>
    <t>04/09/2024</t>
  </si>
  <si>
    <t>INFS10000290</t>
  </si>
  <si>
    <t>INFS10000293</t>
  </si>
  <si>
    <t>01/08/2025</t>
  </si>
  <si>
    <t>01/14/2025</t>
  </si>
  <si>
    <t>10/15/2024</t>
  </si>
  <si>
    <t>10/16/2024</t>
  </si>
  <si>
    <t>03/20/2025</t>
  </si>
  <si>
    <t>05/28/2025</t>
  </si>
  <si>
    <t>IRSB100007660</t>
  </si>
  <si>
    <t>01/27/2025</t>
  </si>
  <si>
    <t>07/22/2024</t>
  </si>
  <si>
    <t>03/07/2073</t>
  </si>
  <si>
    <t>03/07/2025</t>
  </si>
  <si>
    <t>03/09/2026</t>
  </si>
  <si>
    <t>09/09/2024</t>
  </si>
  <si>
    <t>09/05/2024</t>
  </si>
  <si>
    <t>IRSB100007718</t>
  </si>
  <si>
    <t>05/03/2024</t>
  </si>
  <si>
    <t>07/17/2024</t>
  </si>
  <si>
    <t>02/05/2025</t>
  </si>
  <si>
    <t>01/29/2027</t>
  </si>
  <si>
    <t>01/30/2025</t>
  </si>
  <si>
    <t>IRSB100007802</t>
  </si>
  <si>
    <t>03/22/2024</t>
  </si>
  <si>
    <t>10/22/2024</t>
  </si>
  <si>
    <t>10/21/2025</t>
  </si>
  <si>
    <t>IRSB100007859</t>
  </si>
  <si>
    <t>02/28/2025</t>
  </si>
  <si>
    <t>03/04/2024</t>
  </si>
  <si>
    <t>01/05/2026</t>
  </si>
  <si>
    <t>01/06/2026</t>
  </si>
  <si>
    <t>IRSB100007876</t>
  </si>
  <si>
    <t>08/11/2025</t>
  </si>
  <si>
    <t>08/12/2025</t>
  </si>
  <si>
    <t>IRSB100007880</t>
  </si>
  <si>
    <t>06/11/2024</t>
  </si>
  <si>
    <t>12/01/2025</t>
  </si>
  <si>
    <t>12/02/2025</t>
  </si>
  <si>
    <t>11/28/2024</t>
  </si>
  <si>
    <t>IRSB100007887</t>
  </si>
  <si>
    <t>03/16/2054</t>
  </si>
  <si>
    <t>INFS10000304</t>
  </si>
  <si>
    <t>03/11/2025</t>
  </si>
  <si>
    <t>03/15/2034</t>
  </si>
  <si>
    <t>INFS10000305</t>
  </si>
  <si>
    <t>03/15/2044</t>
  </si>
  <si>
    <t>INFS10000306</t>
  </si>
  <si>
    <t>INFS10000307</t>
  </si>
  <si>
    <t>09/10/2025</t>
  </si>
  <si>
    <t>09/11/2025</t>
  </si>
  <si>
    <t>09/06/2024</t>
  </si>
  <si>
    <t>11/19/2024</t>
  </si>
  <si>
    <t>11/18/2025</t>
  </si>
  <si>
    <t>IRSB100007926</t>
  </si>
  <si>
    <t>03/15/2029</t>
  </si>
  <si>
    <t>INFS10000308</t>
  </si>
  <si>
    <t>IRSB100007916</t>
  </si>
  <si>
    <t>07/11/2024</t>
  </si>
  <si>
    <t>03/13/2025</t>
  </si>
  <si>
    <t>INFS10000295</t>
  </si>
  <si>
    <t>INFS10000296</t>
  </si>
  <si>
    <t>INFS10000297</t>
  </si>
  <si>
    <t>INFS10000298</t>
  </si>
  <si>
    <t>INFS10000299</t>
  </si>
  <si>
    <t>INFS10000294</t>
  </si>
  <si>
    <t>INFS10000301</t>
  </si>
  <si>
    <t>INFS10000302</t>
  </si>
  <si>
    <t>03/18/2026</t>
  </si>
  <si>
    <t>NatWest Markets N.V</t>
  </si>
  <si>
    <t>09/30/2024</t>
  </si>
  <si>
    <t>03/30/2026</t>
  </si>
  <si>
    <t>INFS10000325</t>
  </si>
  <si>
    <t>INFS10000327</t>
  </si>
  <si>
    <t>INFS10000328</t>
  </si>
  <si>
    <t>09/08/2025</t>
  </si>
  <si>
    <t>09/09/2025</t>
  </si>
  <si>
    <t>IRSB100007935</t>
  </si>
  <si>
    <t>IRSB100007937</t>
  </si>
  <si>
    <t>03/25/2025</t>
  </si>
  <si>
    <t>05/05/2025</t>
  </si>
  <si>
    <t>IRSB100007948</t>
  </si>
  <si>
    <t>OLD</t>
  </si>
  <si>
    <t>04/24/2025</t>
  </si>
  <si>
    <t>10/23/2024</t>
  </si>
  <si>
    <t>10/07/2024</t>
  </si>
  <si>
    <t>04/22/2025</t>
  </si>
  <si>
    <t>12/12/2024</t>
  </si>
  <si>
    <t>06/15/2026</t>
  </si>
  <si>
    <t>05/12/2025</t>
  </si>
  <si>
    <t>05/15/2026</t>
  </si>
  <si>
    <t>06/04/2024</t>
  </si>
  <si>
    <t>05/14/2025</t>
  </si>
  <si>
    <t>At Maturity</t>
  </si>
  <si>
    <t>01/21/2025</t>
  </si>
  <si>
    <t>01/15/2025</t>
  </si>
  <si>
    <t>01/28/2025</t>
  </si>
  <si>
    <t>02/06/2025</t>
  </si>
  <si>
    <t>02/19/2025</t>
  </si>
  <si>
    <t>03/03/2025</t>
  </si>
  <si>
    <t>03/14/2025</t>
  </si>
  <si>
    <t>03/26/2025</t>
  </si>
  <si>
    <t>07/19/2024</t>
  </si>
  <si>
    <t>Bank A</t>
  </si>
  <si>
    <t>Cross Currency Real Rate Swap</t>
  </si>
  <si>
    <t>02/17/2015</t>
  </si>
  <si>
    <t>02/15/2045</t>
  </si>
  <si>
    <t>04/15/2025</t>
  </si>
  <si>
    <t>04/16/2025</t>
  </si>
  <si>
    <t>IRSB100008004</t>
  </si>
  <si>
    <t>07/18/2024</t>
  </si>
  <si>
    <t>03/04/2025</t>
  </si>
  <si>
    <t>04/01/2025</t>
  </si>
  <si>
    <t>04/02/2025</t>
  </si>
  <si>
    <t>IRSB100008097</t>
  </si>
  <si>
    <t>03/24/2025</t>
  </si>
  <si>
    <t>04/29/2025</t>
  </si>
  <si>
    <t>04/30/2025</t>
  </si>
  <si>
    <t>IRSB100008106</t>
  </si>
  <si>
    <t>03/16/2026</t>
  </si>
  <si>
    <t>03/17/2026</t>
  </si>
  <si>
    <t>IRSB100008107</t>
  </si>
  <si>
    <t>IRSB100008121</t>
  </si>
  <si>
    <t>05/02/2025</t>
  </si>
  <si>
    <t>IRSB100008126</t>
  </si>
  <si>
    <t>04/09/2025</t>
  </si>
  <si>
    <t>04/10/2025</t>
  </si>
  <si>
    <t>IRSB100008130</t>
  </si>
  <si>
    <t>IRSB100008153</t>
  </si>
  <si>
    <t>02/07/2025</t>
  </si>
  <si>
    <t>02/10/2025</t>
  </si>
  <si>
    <t>08/14/2024</t>
  </si>
  <si>
    <t>05/16/2044</t>
  </si>
  <si>
    <t>INFS10000345</t>
  </si>
  <si>
    <t>INFS10000347</t>
  </si>
  <si>
    <t>IRSB100008195</t>
  </si>
  <si>
    <t>INFS10000348</t>
  </si>
  <si>
    <t>05/27/2025</t>
  </si>
  <si>
    <t>IRSB100008289</t>
  </si>
  <si>
    <t>05/16/2025</t>
  </si>
  <si>
    <t>05/19/2025</t>
  </si>
  <si>
    <t>IRSB100008210</t>
  </si>
  <si>
    <t>INFS10000349</t>
  </si>
  <si>
    <t>INFS10000350</t>
  </si>
  <si>
    <t>11/20/2024</t>
  </si>
  <si>
    <t>INFS10000351</t>
  </si>
  <si>
    <t>INFS10000352</t>
  </si>
  <si>
    <t>01/16/2026</t>
  </si>
  <si>
    <t>IRSB100008297</t>
  </si>
  <si>
    <t>05/22/2025</t>
  </si>
  <si>
    <t>05/23/2025</t>
  </si>
  <si>
    <t>IRSB100008252</t>
  </si>
  <si>
    <t>IRSB100008256</t>
  </si>
  <si>
    <t>IRSB100008309</t>
  </si>
  <si>
    <t>05/30/2025</t>
  </si>
  <si>
    <t>IRSB100008313</t>
  </si>
  <si>
    <t>INFS10000342</t>
  </si>
  <si>
    <t>09/04/2024</t>
  </si>
  <si>
    <t>INFS10000344</t>
  </si>
  <si>
    <t>INFS10000353</t>
  </si>
  <si>
    <t>INFS10000354</t>
  </si>
  <si>
    <t>INFS10000356</t>
  </si>
  <si>
    <t>11/11/2025</t>
  </si>
  <si>
    <t>11/12/2025</t>
  </si>
  <si>
    <t>IRSB100008348</t>
  </si>
  <si>
    <t>06/05/2025</t>
  </si>
  <si>
    <t>06/06/2025</t>
  </si>
  <si>
    <t>IRSB100008376</t>
  </si>
  <si>
    <t>02/13/2026</t>
  </si>
  <si>
    <t>02/14/2025</t>
  </si>
  <si>
    <t>02/16/2026</t>
  </si>
  <si>
    <t>02/11/2025</t>
  </si>
  <si>
    <t>IRSB100008380</t>
  </si>
  <si>
    <t>04/23/2025</t>
  </si>
  <si>
    <t>IRSB100008392</t>
  </si>
  <si>
    <t>IRSB100008394</t>
  </si>
  <si>
    <t>05/25/2055</t>
  </si>
  <si>
    <t>BDFWD100000067</t>
  </si>
  <si>
    <t>BDFWD100000068</t>
  </si>
  <si>
    <t>BDFWD100000069</t>
  </si>
  <si>
    <t>06/13/2025</t>
  </si>
  <si>
    <t>IRSB100008398</t>
  </si>
  <si>
    <t>IRSB100008403</t>
  </si>
  <si>
    <t>06/24/2025</t>
  </si>
  <si>
    <t>06/25/2025</t>
  </si>
  <si>
    <t>IRSB100008421</t>
  </si>
  <si>
    <t>11/04/2024</t>
  </si>
  <si>
    <t>02/03/2025</t>
  </si>
  <si>
    <t>IRSB100008417</t>
  </si>
  <si>
    <t>04/17/2025</t>
  </si>
  <si>
    <t>IRSB100008419</t>
  </si>
  <si>
    <t>C:\Users\cbonal\Cooperactions\GAM-E-Risques Financiers et Performances - Risk Management et Performance\1.PRODUCTION\4.REPORTINGS SPEC CLIENTS\MO0004 - Groupe - IFT (CB-JB)\2021\12-2021\prod\close</t>
  </si>
  <si>
    <t>PFE (Max)</t>
  </si>
  <si>
    <t>PFL (Max)</t>
  </si>
  <si>
    <t>BDF 20280328 FRTR 3 1/4 05/25/55 JP_MORGAN_DE</t>
  </si>
  <si>
    <t>BDF 20270726 FRTR 3 1/4 05/25/55 JP_MORGAN_DE</t>
  </si>
  <si>
    <t>BDF 20260427 FRTR 3 1/4 05/25/55 JP_MORGAN_DE</t>
  </si>
  <si>
    <t>BOFA SECURITIES EUROPE SA</t>
  </si>
  <si>
    <t>CITIBANK EUROPE PUBLIC LIMITED COMPANY</t>
  </si>
  <si>
    <t>HSBC CONTINENTAL EUROPE</t>
  </si>
  <si>
    <t>JP MORGAN SE</t>
  </si>
  <si>
    <t>12/30/2024</t>
  </si>
  <si>
    <t>09/26/2024</t>
  </si>
  <si>
    <t>07/01/2026</t>
  </si>
  <si>
    <t>06/26/2025</t>
  </si>
  <si>
    <t>BDFWD100000073</t>
  </si>
  <si>
    <t>BDF 20251027 FRTR 3 1/4 05/25/55 CITIBANK_IE</t>
  </si>
  <si>
    <t>09/15/2025</t>
  </si>
  <si>
    <t>07/27/2026</t>
  </si>
  <si>
    <t>10/03/2024</t>
  </si>
  <si>
    <t>11/22/2024</t>
  </si>
  <si>
    <t>08/26/2025</t>
  </si>
  <si>
    <t>07/14/2025</t>
  </si>
  <si>
    <t>02/12/2025</t>
  </si>
  <si>
    <t>12/10/2024</t>
  </si>
  <si>
    <t>03/05/2025</t>
  </si>
  <si>
    <t>08/15/2025</t>
  </si>
  <si>
    <t>BDFWD100000077</t>
  </si>
  <si>
    <t>06/02/2025</t>
  </si>
  <si>
    <t>06/03/2025</t>
  </si>
  <si>
    <t>IRSB100008433</t>
  </si>
  <si>
    <t>IRSB100008428</t>
  </si>
  <si>
    <t>07/04/2025</t>
  </si>
  <si>
    <t>IRSB100008438</t>
  </si>
  <si>
    <t>IRSB100008429</t>
  </si>
  <si>
    <t>01/09/2025</t>
  </si>
  <si>
    <t>01/10/2025</t>
  </si>
  <si>
    <t>07/10/2024</t>
  </si>
  <si>
    <t>07/11/2025</t>
  </si>
  <si>
    <t>IRSB100008446</t>
  </si>
  <si>
    <t>07/15/2025</t>
  </si>
  <si>
    <t>07/16/2025</t>
  </si>
  <si>
    <t>IRSB100008450</t>
  </si>
  <si>
    <t>07/21/2025</t>
  </si>
  <si>
    <t>07/22/2025</t>
  </si>
  <si>
    <t>IRSB100008456</t>
  </si>
  <si>
    <t>IRSB100008462</t>
  </si>
  <si>
    <t>IRSB100008464</t>
  </si>
  <si>
    <t>10/10/2024</t>
  </si>
  <si>
    <t>IRSB100008477</t>
  </si>
  <si>
    <t>10/07/2025</t>
  </si>
  <si>
    <t>10/08/2024</t>
  </si>
  <si>
    <t>10/08/2025</t>
  </si>
  <si>
    <t>IRSB100008478</t>
  </si>
  <si>
    <t>02/04/2025</t>
  </si>
  <si>
    <t>01/29/2025</t>
  </si>
  <si>
    <t>10/04/2024</t>
  </si>
  <si>
    <t>07/29/2025</t>
  </si>
  <si>
    <t>07/30/2025</t>
  </si>
  <si>
    <t>IRSB100008512</t>
  </si>
  <si>
    <t>07/02/2025</t>
  </si>
  <si>
    <t>IRSB100008533</t>
  </si>
  <si>
    <t>IRSB100008539</t>
  </si>
  <si>
    <t>TRS100000132</t>
  </si>
  <si>
    <t>08/13/2025</t>
  </si>
  <si>
    <t>08/14/2025</t>
  </si>
  <si>
    <t>IRSB100008584</t>
  </si>
  <si>
    <t>03/27/2025</t>
  </si>
  <si>
    <t>IRSB100008578</t>
  </si>
  <si>
    <t>08/18/2025</t>
  </si>
  <si>
    <t>IRSB100008589</t>
  </si>
  <si>
    <t>08/09/2027</t>
  </si>
  <si>
    <t>08/11/2026</t>
  </si>
  <si>
    <t>08/07/2025</t>
  </si>
  <si>
    <t>IRSB100008596</t>
  </si>
  <si>
    <t>08/21/2025</t>
  </si>
  <si>
    <t>08/22/2025</t>
  </si>
  <si>
    <t>IRSB100008598</t>
  </si>
  <si>
    <t>05/09/2025</t>
  </si>
  <si>
    <t>IRSB100008609</t>
  </si>
  <si>
    <t>02/21/2025</t>
  </si>
  <si>
    <t>02/24/2025</t>
  </si>
  <si>
    <t>IRSB100008618</t>
  </si>
  <si>
    <t>08/27/2025</t>
  </si>
  <si>
    <t>08/28/2025</t>
  </si>
  <si>
    <t>IRSB100008630</t>
  </si>
  <si>
    <t>IRSB100008635</t>
  </si>
  <si>
    <t>IRSB100008636</t>
  </si>
  <si>
    <t>01/19/2026</t>
  </si>
  <si>
    <t>IRSB100008638</t>
  </si>
  <si>
    <t>08/29/2025</t>
  </si>
  <si>
    <t>IRSB100008658</t>
  </si>
  <si>
    <t>IRSB100008679</t>
  </si>
  <si>
    <t>IRSB100008659</t>
  </si>
  <si>
    <t>IRSB100008683</t>
  </si>
  <si>
    <t>IRSB100008685</t>
  </si>
  <si>
    <t>IRSB100008694</t>
  </si>
  <si>
    <t>IRSB100008689</t>
  </si>
  <si>
    <t>IRSB100008695</t>
  </si>
  <si>
    <t>08/04/2025</t>
  </si>
  <si>
    <t>08/05/2025</t>
  </si>
  <si>
    <t>IRSB100008693</t>
  </si>
  <si>
    <t>12/05/2025</t>
  </si>
  <si>
    <t>IRSB100008698</t>
  </si>
  <si>
    <t>IRSB100008699</t>
  </si>
  <si>
    <t>03/31/2025</t>
  </si>
  <si>
    <t>IRSB100008705</t>
  </si>
  <si>
    <t>06/04/2025</t>
  </si>
  <si>
    <t>IRSB100008709</t>
  </si>
  <si>
    <t>IRSB100008714</t>
  </si>
  <si>
    <t>IRSB100008721</t>
  </si>
  <si>
    <t>05/19/2026</t>
  </si>
  <si>
    <t>05/20/2025</t>
  </si>
  <si>
    <t>05/20/2026</t>
  </si>
  <si>
    <t>IRSB100008722</t>
  </si>
  <si>
    <t>09/03/2025</t>
  </si>
  <si>
    <t>09/04/2025</t>
  </si>
  <si>
    <t>IRSB100008726</t>
  </si>
  <si>
    <t>IRSB100008727</t>
  </si>
  <si>
    <t>IRSB100008729</t>
  </si>
  <si>
    <t>IRSB100008733</t>
  </si>
  <si>
    <t>09/05/2025</t>
  </si>
  <si>
    <t>IRSB100008738</t>
  </si>
  <si>
    <t>09/12/2025</t>
  </si>
  <si>
    <t>IRSB100008744</t>
  </si>
  <si>
    <t>01/22/2025</t>
  </si>
  <si>
    <t>IRSB100008751</t>
  </si>
  <si>
    <t>IRSB100008756</t>
  </si>
  <si>
    <t>IRSB100008757</t>
  </si>
  <si>
    <t>IRSB100008762</t>
  </si>
  <si>
    <t>IRSB100008770</t>
  </si>
  <si>
    <t>12/13/2024</t>
  </si>
  <si>
    <t>09/17/2025</t>
  </si>
  <si>
    <t>IRSB100008780</t>
  </si>
  <si>
    <t>TRS</t>
  </si>
  <si>
    <t>SOFR</t>
  </si>
  <si>
    <t>IRSB100008782</t>
  </si>
  <si>
    <t>IRSB100008786</t>
  </si>
  <si>
    <t>69245196</t>
  </si>
  <si>
    <t>69227200</t>
  </si>
  <si>
    <t>69211698</t>
  </si>
  <si>
    <t>69189004</t>
  </si>
  <si>
    <t>69174181</t>
  </si>
  <si>
    <t>69163276</t>
  </si>
  <si>
    <t>69146070</t>
  </si>
  <si>
    <t>69063721</t>
  </si>
  <si>
    <t>69015063</t>
  </si>
  <si>
    <t>Natixis SA</t>
  </si>
  <si>
    <t>BDF 20251027 FRTR 3 1/4 05/25/55 BNP_PARIBAS_FR</t>
  </si>
  <si>
    <t>Total return swap</t>
  </si>
  <si>
    <t>Equity - Total Return</t>
  </si>
  <si>
    <t>TRS CDS_BASKET 24/09/2030 BNP_PARIBAS_FR</t>
  </si>
  <si>
    <t>12/20/2024</t>
  </si>
  <si>
    <t>09/22/2025</t>
  </si>
  <si>
    <t>IRSB100008791</t>
  </si>
  <si>
    <t>08/27/2026</t>
  </si>
  <si>
    <t>08/28/2026</t>
  </si>
  <si>
    <t>08/25/2025</t>
  </si>
  <si>
    <t>IRSB100008793</t>
  </si>
  <si>
    <t>XS2592659671</t>
  </si>
  <si>
    <t>IRSB100008795</t>
  </si>
  <si>
    <t>09/23/2025</t>
  </si>
  <si>
    <t>09/24/2025</t>
  </si>
  <si>
    <t>IRSB100008799</t>
  </si>
  <si>
    <t>09/25/2025</t>
  </si>
  <si>
    <t>09/26/2025</t>
  </si>
  <si>
    <t>IRSB100008807</t>
  </si>
  <si>
    <t>IRSB100008821</t>
  </si>
  <si>
    <t>FX - Forward</t>
  </si>
  <si>
    <t>variation fx</t>
  </si>
  <si>
    <t>impact pnl</t>
  </si>
  <si>
    <t>NOMURA FINANCIAL PRODUCTS EUROPE GMBH</t>
  </si>
  <si>
    <t>04/07/2025</t>
  </si>
  <si>
    <t>04/14/2025</t>
  </si>
  <si>
    <t>12/15/2025</t>
  </si>
  <si>
    <t>06/12/2025</t>
  </si>
  <si>
    <t>05/08/2025</t>
  </si>
  <si>
    <t>02/13/2025</t>
  </si>
  <si>
    <t>BDFWD100000080</t>
  </si>
  <si>
    <t>01/20/2026</t>
  </si>
  <si>
    <t>IRSB100008846</t>
  </si>
  <si>
    <t>09/28/2026</t>
  </si>
  <si>
    <t>INFS10000370</t>
  </si>
  <si>
    <t>IRSB100008823</t>
  </si>
  <si>
    <t>09/30/2025</t>
  </si>
  <si>
    <t>09/29/2026</t>
  </si>
  <si>
    <t>IRSB100008840</t>
  </si>
  <si>
    <t>01/21/2026</t>
  </si>
  <si>
    <t>IRSB100008836</t>
  </si>
  <si>
    <t>BDFWD100000081</t>
  </si>
  <si>
    <t>10/09/2024</t>
  </si>
  <si>
    <t>10/09/2025</t>
  </si>
  <si>
    <t>10/10/2025</t>
  </si>
  <si>
    <t>IRSB100008849</t>
  </si>
  <si>
    <t>10/13/2025</t>
  </si>
  <si>
    <t>IRSB100008858</t>
  </si>
  <si>
    <t>10/02/2026</t>
  </si>
  <si>
    <t>10/03/2025</t>
  </si>
  <si>
    <t>10/05/2026</t>
  </si>
  <si>
    <t>IRSB100008860</t>
  </si>
  <si>
    <t>IRSB100008864</t>
  </si>
  <si>
    <t>BDFWD100000083</t>
  </si>
  <si>
    <t>BDFWD100000086</t>
  </si>
  <si>
    <t>BDFWD100000087</t>
  </si>
  <si>
    <t>IRSB100008885</t>
  </si>
  <si>
    <t>IRSB100008873</t>
  </si>
  <si>
    <t>BDFWD100000092</t>
  </si>
  <si>
    <t>BDFWD100000094</t>
  </si>
  <si>
    <t>07/13/2026</t>
  </si>
  <si>
    <t>07/14/2026</t>
  </si>
  <si>
    <t>07/10/2025</t>
  </si>
  <si>
    <t>IRSB100008877</t>
  </si>
  <si>
    <t>04/15/2026</t>
  </si>
  <si>
    <t>04/16/2026</t>
  </si>
  <si>
    <t>04/11/2025</t>
  </si>
  <si>
    <t>IRSB100008899</t>
  </si>
  <si>
    <t>10/17/2025</t>
  </si>
  <si>
    <t>IRSB100008881</t>
  </si>
  <si>
    <t>IRSB100008902</t>
  </si>
  <si>
    <t>IRSB100008904</t>
  </si>
  <si>
    <t>11/02/2027</t>
  </si>
  <si>
    <t>BDFWD100000090</t>
  </si>
  <si>
    <t>04/10/2026</t>
  </si>
  <si>
    <t>04/13/2026</t>
  </si>
  <si>
    <t>04/08/2025</t>
  </si>
  <si>
    <t>IRSB100008906</t>
  </si>
  <si>
    <t>11/09/2026</t>
  </si>
  <si>
    <t>11/10/2026</t>
  </si>
  <si>
    <t>11/06/2025</t>
  </si>
  <si>
    <t>IRSB100008933</t>
  </si>
  <si>
    <t>03/06/2025</t>
  </si>
  <si>
    <t>BDFWD100000099</t>
  </si>
  <si>
    <t>BDFWD100000100</t>
  </si>
  <si>
    <t>BDFWD100000101</t>
  </si>
  <si>
    <t>BDFWD100000103</t>
  </si>
  <si>
    <t>IRSB100008964</t>
  </si>
  <si>
    <t>IRSB100008971</t>
  </si>
  <si>
    <t>10/14/2025</t>
  </si>
  <si>
    <t>IRSB100008976</t>
  </si>
  <si>
    <t>IRSB100008988</t>
  </si>
  <si>
    <t>11/25/2025</t>
  </si>
  <si>
    <t>11/26/2025</t>
  </si>
  <si>
    <t>IRSB100008990</t>
  </si>
  <si>
    <t>12/11/2024</t>
  </si>
  <si>
    <t>IRSB100009008</t>
  </si>
  <si>
    <t>IRSB100009012</t>
  </si>
  <si>
    <t>03/31/2026</t>
  </si>
  <si>
    <t>04/01/2026</t>
  </si>
  <si>
    <t>IRSB100009041</t>
  </si>
  <si>
    <t>02/25/2025</t>
  </si>
  <si>
    <t>12/07/2026</t>
  </si>
  <si>
    <t>FXW1022786 JP_MORGAN_DE EUR/HUF 20250317</t>
  </si>
  <si>
    <t>FXW1022786</t>
  </si>
  <si>
    <t>FXW1022787 BNP_PARIBAS_FR EUR/HUF 20250115</t>
  </si>
  <si>
    <t>FXW1022787</t>
  </si>
  <si>
    <t>SOGE_FR EUR/HUF 20250217</t>
  </si>
  <si>
    <t>FXF11387</t>
  </si>
  <si>
    <t>FXF11388</t>
  </si>
  <si>
    <t>NATIXIS_FR EUR/HUF 20250217</t>
  </si>
  <si>
    <t>FXF11384</t>
  </si>
  <si>
    <t>BNP_PARIBAS_FR EUR/HUF 20250217</t>
  </si>
  <si>
    <t>FXF11394</t>
  </si>
  <si>
    <t>SOGE_FR EUR/HUF 20250415</t>
  </si>
  <si>
    <t>FXF11395</t>
  </si>
  <si>
    <t>FXF11397</t>
  </si>
  <si>
    <t>FXF11396</t>
  </si>
  <si>
    <t>JP_MORGAN_DE EUR/HUF 20250317</t>
  </si>
  <si>
    <t>FXF11405</t>
  </si>
  <si>
    <t>CREDIT_AGRI_FR EUR/HUF 20250415</t>
  </si>
  <si>
    <t>FXF11412</t>
  </si>
  <si>
    <t>Credit Agricole Corporate and Investment Bank</t>
  </si>
  <si>
    <t>FXW1022785 CREDIT_AGRI_FR EUR/HUF 20250415</t>
  </si>
  <si>
    <t>FXW1022785</t>
  </si>
  <si>
    <t>NATIXIS_FR EUR/HUF 20250115</t>
  </si>
  <si>
    <t>FXF11383</t>
  </si>
  <si>
    <t>BDF 20290425 FRTR 3 1/4 05/25/55 NATIXIS_FR</t>
  </si>
  <si>
    <t>BDF 20280328 FRTR 3 1/4 05/25/55 CITIBANK_IE</t>
  </si>
  <si>
    <t>BDF 20270726 FRTR 3 1/4 05/25/55 CITIBANK_IE</t>
  </si>
  <si>
    <t>BDF 20271102 FRTR 3 1/4 05/25/55 SOGE_FR</t>
  </si>
  <si>
    <t>BDF 20260427 FRTR 3 1/4 05/25/55 NATIXIS_FR</t>
  </si>
  <si>
    <t>BDF 20251027 FRTR 3 1/4 05/25/55 SOGE_FR</t>
  </si>
  <si>
    <t>BDF 20280328 FRTR 3 1/4 05/25/55 NATIXIS_FR</t>
  </si>
  <si>
    <t>BDF 20260427 FRTR 3 1/4 05/25/55 CITIBANK_IE</t>
  </si>
  <si>
    <t>forward huf supprimés&gt; pas envoyé ds ift ni rport collat a la demande de gestion/DOFI&gt; OK</t>
  </si>
  <si>
    <t>06/30/2025</t>
  </si>
  <si>
    <t>12/24/2025</t>
  </si>
  <si>
    <t>12/31/2025</t>
  </si>
  <si>
    <t>12/31/2026</t>
  </si>
  <si>
    <t>01/02/2026</t>
  </si>
  <si>
    <t>01/04/2027</t>
  </si>
  <si>
    <t>12/29/2025</t>
  </si>
  <si>
    <t>IRSB100009049</t>
  </si>
  <si>
    <t>TRS hébergé temporairement dans le mandat avant d'aller dans le fonds maturité 2030</t>
  </si>
  <si>
    <t>Thu, 20 Mar 2025 07:00:38</t>
  </si>
  <si>
    <t>07/31/2025</t>
  </si>
  <si>
    <t>04/28/2025</t>
  </si>
  <si>
    <t>04/03/2025</t>
  </si>
  <si>
    <t>02/26/2026</t>
  </si>
  <si>
    <t>01/13/2026</t>
  </si>
  <si>
    <t>05/13/2025</t>
  </si>
  <si>
    <t>03/08/2027</t>
  </si>
  <si>
    <t>02/01/2027</t>
  </si>
  <si>
    <t>01/27/2026</t>
  </si>
  <si>
    <t>02/17/2026</t>
  </si>
  <si>
    <t>IRSB100009066</t>
  </si>
  <si>
    <t>IRSB100009067</t>
  </si>
  <si>
    <t>07/08/2025</t>
  </si>
  <si>
    <t>IRSB100009055</t>
  </si>
  <si>
    <t>07/09/2025</t>
  </si>
  <si>
    <t>IRSB100009071</t>
  </si>
  <si>
    <t>IRSB100009061</t>
  </si>
  <si>
    <t>IRSB100009075</t>
  </si>
  <si>
    <t>IRSB100009080</t>
  </si>
  <si>
    <t>IRSB100009088</t>
  </si>
  <si>
    <t>BDFWD100000109</t>
  </si>
  <si>
    <t>BDFWD100000107</t>
  </si>
  <si>
    <t>BDFWD100000108</t>
  </si>
  <si>
    <t>IRSB100009094</t>
  </si>
  <si>
    <t>IRSB100009103</t>
  </si>
  <si>
    <t>IRSB100009104</t>
  </si>
  <si>
    <t>IRSB100009109</t>
  </si>
  <si>
    <t>01/12/2026</t>
  </si>
  <si>
    <t>IRSB100009114</t>
  </si>
  <si>
    <t>IRSB100009116</t>
  </si>
  <si>
    <t>BDFWD100000113</t>
  </si>
  <si>
    <t>BDFWD100000114</t>
  </si>
  <si>
    <t>BDFWD100000115</t>
  </si>
  <si>
    <t>IRSB100009120</t>
  </si>
  <si>
    <t>IRSB100009130</t>
  </si>
  <si>
    <t>06/17/2025</t>
  </si>
  <si>
    <t>IRSB100009122</t>
  </si>
  <si>
    <t>IT0005561888</t>
  </si>
  <si>
    <t>11/15/2030</t>
  </si>
  <si>
    <t>BDFWD100000122</t>
  </si>
  <si>
    <t>JPM</t>
  </si>
  <si>
    <t>BDFWD100000120</t>
  </si>
  <si>
    <t>IRSB100009126</t>
  </si>
  <si>
    <t>IRSB100009124</t>
  </si>
  <si>
    <t>10/15/2025</t>
  </si>
  <si>
    <t>10/16/2025</t>
  </si>
  <si>
    <t>IRSB100009134</t>
  </si>
  <si>
    <t>IRSB100009128</t>
  </si>
  <si>
    <t>IRSB100009138</t>
  </si>
  <si>
    <t>IRSB100009139</t>
  </si>
  <si>
    <t>IRSB100009143</t>
  </si>
  <si>
    <t>IRSB100009144</t>
  </si>
  <si>
    <t>01/23/2026</t>
  </si>
  <si>
    <t>01/26/2026</t>
  </si>
  <si>
    <t>IRSB100009153</t>
  </si>
  <si>
    <t>05/26/2025</t>
  </si>
  <si>
    <t>IRSB100009162</t>
  </si>
  <si>
    <t>12/23/2025</t>
  </si>
  <si>
    <t>IRSB100009163</t>
  </si>
  <si>
    <t>01/28/2026</t>
  </si>
  <si>
    <t>IRSB100009168</t>
  </si>
  <si>
    <t>IRSB100009177</t>
  </si>
  <si>
    <t>10/26/2026</t>
  </si>
  <si>
    <t>10/28/2025</t>
  </si>
  <si>
    <t>10/27/2026</t>
  </si>
  <si>
    <t>IRSB100009181</t>
  </si>
  <si>
    <t>05/18/2026</t>
  </si>
  <si>
    <t>IRSB100009183</t>
  </si>
  <si>
    <t>06/27/2025</t>
  </si>
  <si>
    <t>IRSB100009320</t>
  </si>
  <si>
    <t>IRSB100009187</t>
  </si>
  <si>
    <t>11/14/2025</t>
  </si>
  <si>
    <t>IRSB100009319</t>
  </si>
  <si>
    <t>IRSB100009191</t>
  </si>
  <si>
    <t>IRSB100009324</t>
  </si>
  <si>
    <t>IRSB100009195</t>
  </si>
  <si>
    <t>IRSB100009332</t>
  </si>
  <si>
    <t>11/28/2025</t>
  </si>
  <si>
    <t>IRSB100009204</t>
  </si>
  <si>
    <t>02/12/2027</t>
  </si>
  <si>
    <t>SONIA</t>
  </si>
  <si>
    <t>02/12/2026</t>
  </si>
  <si>
    <t>IRSB100009322</t>
  </si>
  <si>
    <t>08/01/2025</t>
  </si>
  <si>
    <t>IRSB100009211</t>
  </si>
  <si>
    <t>05/28/2026</t>
  </si>
  <si>
    <t>05/29/2026</t>
  </si>
  <si>
    <t>IRSB100009337</t>
  </si>
  <si>
    <t>02/12/2035</t>
  </si>
  <si>
    <t>IRSB100009321</t>
  </si>
  <si>
    <t>IRSB100009213</t>
  </si>
  <si>
    <t>02/20/2026</t>
  </si>
  <si>
    <t>02/23/2026</t>
  </si>
  <si>
    <t>IRSB100009346</t>
  </si>
  <si>
    <t>02/14/2035</t>
  </si>
  <si>
    <t>02/19/2026</t>
  </si>
  <si>
    <t>02/18/2027</t>
  </si>
  <si>
    <t>IRSB100009325</t>
  </si>
  <si>
    <t>IRSB100009351</t>
  </si>
  <si>
    <t>IRSB100009217</t>
  </si>
  <si>
    <t>02/16/2027</t>
  </si>
  <si>
    <t>IRSB100009333</t>
  </si>
  <si>
    <t>07/17/2025</t>
  </si>
  <si>
    <t>07/18/2025</t>
  </si>
  <si>
    <t>IRSB100009353</t>
  </si>
  <si>
    <t>IRSB100009221</t>
  </si>
  <si>
    <t>IRSB100009226</t>
  </si>
  <si>
    <t>06/23/2025</t>
  </si>
  <si>
    <t>IRSB100009357</t>
  </si>
  <si>
    <t>12/30/2025</t>
  </si>
  <si>
    <t>IRSB100009231</t>
  </si>
  <si>
    <t>02/20/2025</t>
  </si>
  <si>
    <t>IRSB100009363</t>
  </si>
  <si>
    <t>02/04/2026</t>
  </si>
  <si>
    <t>02/05/2026</t>
  </si>
  <si>
    <t>IRSB100009232</t>
  </si>
  <si>
    <t>IRSB100009369</t>
  </si>
  <si>
    <t>IRSB100009239</t>
  </si>
  <si>
    <t>IRSB100009375</t>
  </si>
  <si>
    <t>11/07/2025</t>
  </si>
  <si>
    <t>IRSB100009245</t>
  </si>
  <si>
    <t>12/10/2025</t>
  </si>
  <si>
    <t>12/11/2025</t>
  </si>
  <si>
    <t>IRSB100009252</t>
  </si>
  <si>
    <t>IRSB100009384</t>
  </si>
  <si>
    <t>02/10/2026</t>
  </si>
  <si>
    <t>02/11/2026</t>
  </si>
  <si>
    <t>IRSB100009258</t>
  </si>
  <si>
    <t>02/27/2025</t>
  </si>
  <si>
    <t>11/27/2025</t>
  </si>
  <si>
    <t>IRSB100009392</t>
  </si>
  <si>
    <t>IRSB100009262</t>
  </si>
  <si>
    <t>IRSB100009394</t>
  </si>
  <si>
    <t>IRSB100009266</t>
  </si>
  <si>
    <t>IRSB100009399</t>
  </si>
  <si>
    <t>IRSB100009272</t>
  </si>
  <si>
    <t>IRSB100009403</t>
  </si>
  <si>
    <t>IRSB100009274</t>
  </si>
  <si>
    <t>03/03/2026</t>
  </si>
  <si>
    <t>03/04/2026</t>
  </si>
  <si>
    <t>IRSB100009407</t>
  </si>
  <si>
    <t>04/20/2025</t>
  </si>
  <si>
    <t>TRS100000144</t>
  </si>
  <si>
    <t>03/10/2026</t>
  </si>
  <si>
    <t>IRSB100009278</t>
  </si>
  <si>
    <t>09/04/2026</t>
  </si>
  <si>
    <t>09/07/2026</t>
  </si>
  <si>
    <t>09/02/2025</t>
  </si>
  <si>
    <t>IRSB100009282</t>
  </si>
  <si>
    <t>IRSB100009288</t>
  </si>
  <si>
    <t>IRSB100009297</t>
  </si>
  <si>
    <t>02/06/2026</t>
  </si>
  <si>
    <t>IRSB100009409</t>
  </si>
  <si>
    <t>03/05/2030</t>
  </si>
  <si>
    <t>INFS10000393</t>
  </si>
  <si>
    <t>INFS10000394</t>
  </si>
  <si>
    <t>INFS10000395</t>
  </si>
  <si>
    <t>INFS10000396</t>
  </si>
  <si>
    <t>03/05/2035</t>
  </si>
  <si>
    <t>INFS10000384</t>
  </si>
  <si>
    <t>INFS10000397</t>
  </si>
  <si>
    <t>INFS10000387</t>
  </si>
  <si>
    <t>INFS10000380</t>
  </si>
  <si>
    <t>INFS10000389</t>
  </si>
  <si>
    <t>INFS10000382</t>
  </si>
  <si>
    <t>IRSB100009413</t>
  </si>
  <si>
    <t>10/29/2025</t>
  </si>
  <si>
    <t>10/30/2025</t>
  </si>
  <si>
    <t>IRSB100009418</t>
  </si>
  <si>
    <t>08/06/2025</t>
  </si>
  <si>
    <t>IRSB100009420</t>
  </si>
  <si>
    <t>IRSB100009422</t>
  </si>
  <si>
    <t>10/06/2025</t>
  </si>
  <si>
    <t>IRSB100009427</t>
  </si>
  <si>
    <t>03/15/2035</t>
  </si>
  <si>
    <t>INFS10000403</t>
  </si>
  <si>
    <t>INFS10000404</t>
  </si>
  <si>
    <t>INFS10000405</t>
  </si>
  <si>
    <t>INFS10000406</t>
  </si>
  <si>
    <t>INFS10000407</t>
  </si>
  <si>
    <t>03/15/2030</t>
  </si>
  <si>
    <t>INFS10000398</t>
  </si>
  <si>
    <t>INFS10000399</t>
  </si>
  <si>
    <t>INFS10000400</t>
  </si>
  <si>
    <t>INFS10000401</t>
  </si>
  <si>
    <t>01/14/2026</t>
  </si>
  <si>
    <t>IRSB100009444</t>
  </si>
  <si>
    <t>INFS10000402</t>
  </si>
  <si>
    <t>TRS100000147</t>
  </si>
  <si>
    <t>IRSB100009450</t>
  </si>
  <si>
    <t>12/09/2025</t>
  </si>
  <si>
    <t>IRSB100009432</t>
  </si>
  <si>
    <t>FR001400XJJ3</t>
  </si>
  <si>
    <t>05/25/2056</t>
  </si>
  <si>
    <t>BDFWD100000139</t>
  </si>
  <si>
    <t>BDFWD100000126</t>
  </si>
  <si>
    <t>BDFWD100000140</t>
  </si>
  <si>
    <t>BDFWD100000128</t>
  </si>
  <si>
    <t>06/20/2025</t>
  </si>
  <si>
    <t>TRS100000148</t>
  </si>
  <si>
    <t>BDFWD100000127</t>
  </si>
  <si>
    <t>BDFWD100000132</t>
  </si>
  <si>
    <t>BDFWD100000133</t>
  </si>
  <si>
    <t>03/11/2026</t>
  </si>
  <si>
    <t>IRSB100009437</t>
  </si>
  <si>
    <t>07/23/2025</t>
  </si>
  <si>
    <t>IRSB100009439</t>
  </si>
  <si>
    <t>BDFWD100000135</t>
  </si>
  <si>
    <t>BDF 20271102 FRTR 3 1/4 05/25/55 BNP_PARIBAS_FR</t>
  </si>
  <si>
    <t>HSBCFR</t>
  </si>
  <si>
    <t>BDF 20290425 FRTR 3 1/4 05/25/55 HSBC_FR</t>
  </si>
  <si>
    <t>BDF 20280328 FRTR 3 1/4 05/25/55 HSBC_FR</t>
  </si>
  <si>
    <t>BDF 20290425 FRTR 3 1/4 05/25/55 CITIBANK_IE</t>
  </si>
  <si>
    <t>BDF 20290425 FRTR 3 1/4 05/25/55 JP_MORGAN_DE</t>
  </si>
  <si>
    <t>BDF 20271102 FRTR 3 3/4 05/25/56 MERRILL_LYNCH_FR</t>
  </si>
  <si>
    <t>BDF 20271102 FRTR 3 3/4 05/25/56 CREDIT_AGRI_FR</t>
  </si>
  <si>
    <t>BDF 20280328 FRTR 3 3/4 05/25/56 CITIBANK_IE</t>
  </si>
  <si>
    <t>BDF 20260427 FRTR 3 3/4 05/25/56 CITIBANK_IE</t>
  </si>
  <si>
    <t>BDF 20290425 FRTR 3 3/4 05/25/56 CITIBANK_IE</t>
  </si>
  <si>
    <t>léger dépassement peu significatif</t>
  </si>
  <si>
    <t>léger dépassement sur un xccy swap, non significatif</t>
  </si>
  <si>
    <t xml:space="preserve">CONTREPARTIE </t>
  </si>
  <si>
    <t xml:space="preserve">TYPOLOGIE </t>
  </si>
  <si>
    <t xml:space="preserve">Somme de NOMINAL </t>
  </si>
  <si>
    <t xml:space="preserve">MTM Gam </t>
  </si>
  <si>
    <t xml:space="preserve">MTM Contrepartie </t>
  </si>
  <si>
    <t>CREDIT AGRICOLE CORPORATE AND INVESTMENT BANK</t>
  </si>
  <si>
    <t>report au 19 ok pr mtm ctp</t>
  </si>
  <si>
    <t>mtm gam ko au 19 sur tout sauf forward</t>
  </si>
  <si>
    <t>mtm gam ok au 20 sur tout sauf forward</t>
  </si>
  <si>
    <t>reportig avec valeur au 19 pour ctp</t>
  </si>
  <si>
    <t>20 pour GAM pour tout sauf forwar</t>
  </si>
  <si>
    <t>et 19 pour GAM pour les forward seulement</t>
  </si>
  <si>
    <t>BDF 20290425 FRTR 3 3/4 05/25/56 JP_MORGAN_DE</t>
  </si>
  <si>
    <t>soucis coté JP (MTM nul) en cours d'echange avec leur middle office</t>
  </si>
  <si>
    <t>Tue, 01 Apr 2025 07:00:32</t>
  </si>
  <si>
    <t>09/29/2025</t>
  </si>
  <si>
    <t>03/30/2027</t>
  </si>
  <si>
    <t>03/23/2026</t>
  </si>
  <si>
    <t>03/24/2026</t>
  </si>
  <si>
    <t>IRSB100009452</t>
  </si>
  <si>
    <t>07/28/2025</t>
  </si>
  <si>
    <t>IRSB100009458</t>
  </si>
  <si>
    <t>11/25/2031</t>
  </si>
  <si>
    <t>05/25/2040</t>
  </si>
  <si>
    <t>BDFWD100000143</t>
  </si>
  <si>
    <t>10/31/2025</t>
  </si>
  <si>
    <t>11/03/2025</t>
  </si>
  <si>
    <t>IRSB100009460</t>
  </si>
  <si>
    <t>10/01/2025</t>
  </si>
  <si>
    <t>IRSB100009466</t>
  </si>
  <si>
    <t>INFS10000408</t>
  </si>
  <si>
    <t>INFS10000412</t>
  </si>
  <si>
    <t>IRSB100009470</t>
  </si>
  <si>
    <t>INFS10000413</t>
  </si>
  <si>
    <t>10/02/2025</t>
  </si>
  <si>
    <t>IRSB100009472</t>
  </si>
  <si>
    <t>IRSB100009474</t>
  </si>
  <si>
    <t>INFS10000409</t>
  </si>
  <si>
    <t>INFS10000410</t>
  </si>
  <si>
    <t>INFS10000411</t>
  </si>
  <si>
    <t>close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</si>
</sst>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quot;-&quot;??_);_(@_)"/>
    <numFmt numFmtId="165" formatCode="_-* #,##0.00\ _€_-;\-* #,##0.00\ _€_-;_-* &quot;-&quot;??\ _€_-;_-@_-"/>
    <numFmt numFmtId="166" formatCode="0.0000"/>
    <numFmt numFmtId="167" formatCode="_(&quot;€&quot;* #,##0.00_);_(&quot;€&quot;* \(#,##0.00\);_(&quot;€&quot;* &quot;-&quot;??_);_(@_)"/>
    <numFmt numFmtId="168" formatCode="_-* #,##0.00\ [$€-1]_-;\-* #,##0.00\ [$€-1]_-;_-* &quot;-&quot;??\ [$€-1]_-"/>
    <numFmt numFmtId="169" formatCode="_-* #,##0.00\ _F_t_-;\-* #,##0.00\ _F_t_-;_-* &quot;-&quot;??\ _F_t_-;_-@_-"/>
    <numFmt numFmtId="170" formatCode="0.0%"/>
    <numFmt numFmtId="171" formatCode="#,##0.0"/>
    <numFmt numFmtId="172" formatCode="0.000000000%"/>
    <numFmt numFmtId="173" formatCode="###0;\-###0;0;"/>
    <numFmt numFmtId="174" formatCode="ddd\,\ dd\ mmm\ yyyy;;;"/>
    <numFmt numFmtId="175" formatCode="_-* #,##0_-;\-* #,##0_-;_-* &quot;-&quot;??_-;_-@_-"/>
  </numFmts>
  <fonts count="9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9"/>
      <name val="Arial"/>
      <family val="2"/>
    </font>
    <font>
      <b/>
      <sz val="9"/>
      <name val="Arial"/>
      <family val="2"/>
    </font>
    <font>
      <sz val="10"/>
      <color theme="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sz val="11"/>
      <color indexed="8"/>
      <name val="Calibri"/>
      <family val="2"/>
    </font>
    <font>
      <sz val="8"/>
      <name val="Arial"/>
      <family val="2"/>
    </font>
    <font>
      <sz val="10"/>
      <color indexed="64"/>
      <name val="Arial"/>
      <family val="2"/>
    </font>
    <font>
      <sz val="11"/>
      <name val="Calibri"/>
      <family val="2"/>
    </font>
    <font>
      <b/>
      <i/>
      <sz val="10"/>
      <name val="Arial"/>
      <family val="2"/>
    </font>
    <font>
      <sz val="8"/>
      <color theme="0"/>
      <name val="Arial"/>
      <family val="2"/>
    </font>
    <font>
      <b/>
      <sz val="8"/>
      <color theme="0"/>
      <name val="Arial"/>
      <family val="2"/>
    </font>
    <font>
      <sz val="11"/>
      <color indexed="8"/>
      <name val="Calibri"/>
      <family val="2"/>
      <charset val="238"/>
    </font>
    <font>
      <sz val="11"/>
      <color indexed="9"/>
      <name val="Calibri"/>
      <family val="2"/>
      <charset val="238"/>
    </font>
    <font>
      <sz val="11"/>
      <color indexed="62"/>
      <name val="Calibri"/>
      <family val="2"/>
      <charset val="238"/>
    </font>
    <font>
      <b/>
      <sz val="18"/>
      <color indexed="56"/>
      <name val="Cambria"/>
      <family val="2"/>
      <charset val="238"/>
    </font>
    <font>
      <b/>
      <sz val="15"/>
      <color indexed="56"/>
      <name val="Calibri"/>
      <family val="2"/>
      <charset val="238"/>
    </font>
    <font>
      <b/>
      <sz val="13"/>
      <color indexed="56"/>
      <name val="Calibri"/>
      <family val="2"/>
      <charset val="238"/>
    </font>
    <font>
      <b/>
      <sz val="11"/>
      <color indexed="56"/>
      <name val="Calibri"/>
      <family val="2"/>
      <charset val="238"/>
    </font>
    <font>
      <sz val="10"/>
      <name val="MS Sans Serif"/>
      <family val="2"/>
    </font>
    <font>
      <b/>
      <sz val="11"/>
      <color indexed="9"/>
      <name val="Calibri"/>
      <family val="2"/>
      <charset val="238"/>
    </font>
    <font>
      <sz val="11"/>
      <color indexed="10"/>
      <name val="Calibri"/>
      <family val="2"/>
      <charset val="238"/>
    </font>
    <font>
      <b/>
      <sz val="10"/>
      <name val="MS Sans Serif"/>
      <family val="2"/>
    </font>
    <font>
      <sz val="11"/>
      <color indexed="52"/>
      <name val="Calibri"/>
      <family val="2"/>
      <charset val="238"/>
    </font>
    <font>
      <sz val="11"/>
      <color indexed="17"/>
      <name val="Calibri"/>
      <family val="2"/>
      <charset val="238"/>
    </font>
    <font>
      <b/>
      <sz val="11"/>
      <color indexed="63"/>
      <name val="Calibri"/>
      <family val="2"/>
      <charset val="238"/>
    </font>
    <font>
      <i/>
      <sz val="11"/>
      <color indexed="23"/>
      <name val="Calibri"/>
      <family val="2"/>
      <charset val="238"/>
    </font>
    <font>
      <sz val="10"/>
      <name val="Arial CE"/>
      <charset val="238"/>
    </font>
    <font>
      <b/>
      <sz val="11"/>
      <color indexed="8"/>
      <name val="Calibri"/>
      <family val="2"/>
      <charset val="238"/>
    </font>
    <font>
      <sz val="11"/>
      <color indexed="8"/>
      <name val="Times New Roman"/>
      <family val="1"/>
      <charset val="238"/>
    </font>
    <font>
      <b/>
      <sz val="11"/>
      <color indexed="16"/>
      <name val="Times New Roman"/>
      <family val="1"/>
      <charset val="238"/>
    </font>
    <font>
      <sz val="11"/>
      <color indexed="20"/>
      <name val="Calibri"/>
      <family val="2"/>
      <charset val="238"/>
    </font>
    <font>
      <sz val="11"/>
      <color indexed="60"/>
      <name val="Calibri"/>
      <family val="2"/>
      <charset val="238"/>
    </font>
    <font>
      <b/>
      <sz val="11"/>
      <color indexed="52"/>
      <name val="Calibri"/>
      <family val="2"/>
      <charset val="238"/>
    </font>
    <font>
      <b/>
      <sz val="8"/>
      <name val="Arial"/>
      <family val="2"/>
    </font>
    <font>
      <b/>
      <sz val="9"/>
      <color theme="0"/>
      <name val="Arial"/>
      <family val="2"/>
    </font>
    <font>
      <sz val="10"/>
      <name val="Segoe UI"/>
      <family val="2"/>
    </font>
    <font>
      <sz val="10"/>
      <name val="Arial"/>
      <family val="2"/>
    </font>
    <font>
      <b/>
      <sz val="15"/>
      <color indexed="54"/>
      <name val="Calibri"/>
      <family val="2"/>
    </font>
    <font>
      <b/>
      <sz val="13"/>
      <color indexed="54"/>
      <name val="Calibri"/>
      <family val="2"/>
    </font>
    <font>
      <b/>
      <sz val="11"/>
      <color indexed="54"/>
      <name val="Calibri"/>
      <family val="2"/>
    </font>
    <font>
      <sz val="18"/>
      <color indexed="54"/>
      <name val="Calibri Light"/>
      <family val="2"/>
    </font>
    <font>
      <sz val="10"/>
      <name val="Arial"/>
      <family val="2"/>
    </font>
    <font>
      <sz val="10"/>
      <color rgb="FF000000"/>
      <name val="Arial"/>
      <family val="2"/>
    </font>
    <font>
      <sz val="14"/>
      <color theme="1"/>
      <name val="Calibri"/>
      <family val="2"/>
      <scheme val="minor"/>
    </font>
    <font>
      <b/>
      <sz val="10"/>
      <color rgb="FF363636"/>
      <name val="Calibri"/>
      <family val="2"/>
      <scheme val="minor"/>
    </font>
    <font>
      <b/>
      <sz val="10"/>
      <color theme="1"/>
      <name val="Calibri"/>
      <family val="2"/>
      <scheme val="minor"/>
    </font>
    <font>
      <sz val="9"/>
      <color theme="1"/>
      <name val="Calibri"/>
      <family val="2"/>
      <scheme val="minor"/>
    </font>
    <font>
      <b/>
      <sz val="9"/>
      <color theme="1"/>
      <name val="Calibri"/>
      <family val="2"/>
      <scheme val="minor"/>
    </font>
    <font>
      <sz val="9"/>
      <color rgb="FF363636"/>
      <name val="Calibri"/>
      <family val="2"/>
      <scheme val="minor"/>
    </font>
    <font>
      <b/>
      <sz val="10"/>
      <name val="Arial"/>
      <family val="2"/>
    </font>
  </fonts>
  <fills count="79">
    <fill>
      <patternFill patternType="none"/>
    </fill>
    <fill>
      <patternFill patternType="gray125"/>
    </fill>
    <fill>
      <patternFill patternType="solid">
        <fgColor indexed="22"/>
        <bgColor indexed="64"/>
      </patternFill>
    </fill>
    <fill>
      <patternFill patternType="solid">
        <fgColor indexed="44"/>
        <bgColor indexed="64"/>
      </patternFill>
    </fill>
    <fill>
      <patternFill patternType="solid">
        <fgColor indexed="13"/>
        <bgColor indexed="64"/>
      </patternFill>
    </fill>
    <fill>
      <patternFill patternType="solid">
        <fgColor rgb="FFFFC000"/>
        <bgColor indexed="64"/>
      </patternFill>
    </fill>
    <fill>
      <patternFill patternType="solid">
        <fgColor theme="4"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rgb="FFFFFF00"/>
        <bgColor indexed="64"/>
      </patternFill>
    </fill>
    <fill>
      <patternFill patternType="solid">
        <fgColor indexed="9"/>
        <bgColor indexed="9"/>
      </patternFill>
    </fill>
    <fill>
      <patternFill patternType="mediumGray">
        <fgColor indexed="9"/>
        <bgColor indexed="22"/>
      </patternFill>
    </fill>
    <fill>
      <patternFill patternType="solid">
        <fgColor indexed="9"/>
        <bgColor indexed="64"/>
      </patternFill>
    </fill>
    <fill>
      <patternFill patternType="solid">
        <fgColor rgb="FFFF0000"/>
        <bgColor indexed="64"/>
      </patternFill>
    </fill>
    <fill>
      <patternFill patternType="solid">
        <fgColor theme="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indexed="9"/>
      </patternFill>
    </fill>
    <fill>
      <patternFill patternType="solid">
        <fgColor rgb="FF4F81BD"/>
        <bgColor indexed="64"/>
      </patternFill>
    </fill>
    <fill>
      <patternFill patternType="solid">
        <fgColor theme="0" tint="-0.14999847407452621"/>
        <bgColor indexed="64"/>
      </patternFill>
    </fill>
    <fill>
      <patternFill patternType="solid">
        <fgColor rgb="FFF5F5F5"/>
        <bgColor indexed="64"/>
      </patternFill>
    </fill>
    <fill>
      <patternFill patternType="solid">
        <fgColor rgb="FFFFFFFF"/>
        <bgColor indexed="64"/>
      </patternFill>
    </fill>
    <fill>
      <patternFill patternType="solid">
        <fgColor rgb="FF00B050"/>
        <bgColor indexed="64"/>
      </patternFill>
    </fill>
    <fill>
      <patternFill patternType="solid">
        <fgColor rgb="FFFF9B9B"/>
        <bgColor indexed="64"/>
      </patternFill>
    </fill>
    <fill>
      <patternFill patternType="solid">
        <fgColor theme="6" tint="-0.249977111117893"/>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2"/>
        <bgColor indexed="64"/>
      </patternFill>
    </fill>
  </fills>
  <borders count="63">
    <border>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64"/>
      </left>
      <right/>
      <top style="thin">
        <color indexed="64"/>
      </top>
      <bottom style="thin">
        <color indexed="64"/>
      </bottom>
      <diagonal/>
    </border>
    <border>
      <left/>
      <right/>
      <top/>
      <bottom style="thin">
        <color theme="4" tint="0.39997558519241921"/>
      </bottom>
      <diagonal/>
    </border>
    <border>
      <left/>
      <right/>
      <top/>
      <bottom style="thick">
        <color indexed="49"/>
      </bottom>
      <diagonal/>
    </border>
    <border>
      <left/>
      <right/>
      <top/>
      <bottom style="thick">
        <color indexed="44"/>
      </bottom>
      <diagonal/>
    </border>
    <border>
      <left/>
      <right/>
      <top/>
      <bottom style="medium">
        <color indexed="44"/>
      </bottom>
      <diagonal/>
    </border>
    <border>
      <left/>
      <right/>
      <top style="thin">
        <color indexed="49"/>
      </top>
      <bottom style="double">
        <color indexed="49"/>
      </bottom>
      <diagonal/>
    </border>
    <border>
      <left style="medium">
        <color indexed="64"/>
      </left>
      <right style="medium">
        <color indexed="64"/>
      </right>
      <top style="medium">
        <color indexed="64"/>
      </top>
      <bottom style="medium">
        <color indexed="64"/>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C0C0C0"/>
      </left>
      <right style="thin">
        <color rgb="FFC0C0C0"/>
      </right>
      <top style="thin">
        <color rgb="FFC0C0C0"/>
      </top>
      <bottom style="thin">
        <color rgb="FFC0C0C0"/>
      </bottom>
      <diagonal/>
    </border>
  </borders>
  <cellStyleXfs count="454">
    <xf numFmtId="0" fontId="0" fillId="0" borderId="0"/>
    <xf numFmtId="0" fontId="9" fillId="0" borderId="0">
      <alignment horizontal="left" wrapText="1"/>
    </xf>
    <xf numFmtId="9" fontId="10" fillId="0" borderId="0" applyFont="0" applyFill="0" applyBorder="0" applyAlignment="0" applyProtection="0"/>
    <xf numFmtId="0" fontId="14" fillId="0" borderId="0" applyNumberFormat="0" applyFill="0" applyBorder="0" applyAlignment="0" applyProtection="0"/>
    <xf numFmtId="0" fontId="15" fillId="0" borderId="29" applyNumberFormat="0" applyFill="0" applyAlignment="0" applyProtection="0"/>
    <xf numFmtId="0" fontId="16" fillId="0" borderId="30" applyNumberFormat="0" applyFill="0" applyAlignment="0" applyProtection="0"/>
    <xf numFmtId="0" fontId="17" fillId="0" borderId="31"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32" applyNumberFormat="0" applyAlignment="0" applyProtection="0"/>
    <xf numFmtId="0" fontId="22" fillId="11" borderId="33" applyNumberFormat="0" applyAlignment="0" applyProtection="0"/>
    <xf numFmtId="0" fontId="23" fillId="11" borderId="32" applyNumberFormat="0" applyAlignment="0" applyProtection="0"/>
    <xf numFmtId="0" fontId="24" fillId="0" borderId="34" applyNumberFormat="0" applyFill="0" applyAlignment="0" applyProtection="0"/>
    <xf numFmtId="0" fontId="25" fillId="12" borderId="35" applyNumberFormat="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7" applyNumberFormat="0" applyFill="0" applyAlignment="0" applyProtection="0"/>
    <xf numFmtId="0" fontId="29"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29" fillId="17" borderId="0" applyNumberFormat="0" applyBorder="0" applyAlignment="0" applyProtection="0"/>
    <xf numFmtId="0" fontId="29"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29" fillId="21" borderId="0" applyNumberFormat="0" applyBorder="0" applyAlignment="0" applyProtection="0"/>
    <xf numFmtId="0" fontId="29"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29" fillId="25" borderId="0" applyNumberFormat="0" applyBorder="0" applyAlignment="0" applyProtection="0"/>
    <xf numFmtId="0" fontId="29" fillId="26"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29" fillId="29" borderId="0" applyNumberFormat="0" applyBorder="0" applyAlignment="0" applyProtection="0"/>
    <xf numFmtId="0" fontId="29" fillId="30" borderId="0" applyNumberFormat="0" applyBorder="0" applyAlignment="0" applyProtection="0"/>
    <xf numFmtId="0" fontId="8" fillId="31" borderId="0" applyNumberFormat="0" applyBorder="0" applyAlignment="0" applyProtection="0"/>
    <xf numFmtId="0" fontId="8" fillId="32" borderId="0" applyNumberFormat="0" applyBorder="0" applyAlignment="0" applyProtection="0"/>
    <xf numFmtId="0" fontId="29" fillId="33" borderId="0" applyNumberFormat="0" applyBorder="0" applyAlignment="0" applyProtection="0"/>
    <xf numFmtId="0" fontId="29" fillId="34"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29" fillId="37" borderId="0" applyNumberFormat="0" applyBorder="0" applyAlignment="0" applyProtection="0"/>
    <xf numFmtId="0" fontId="9" fillId="0" borderId="0"/>
    <xf numFmtId="9"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8" fillId="0" borderId="0">
      <alignment vertical="center"/>
    </xf>
    <xf numFmtId="0" fontId="8" fillId="0" borderId="0">
      <alignment vertical="center"/>
    </xf>
    <xf numFmtId="9" fontId="8" fillId="0" borderId="0" applyFont="0" applyFill="0" applyBorder="0" applyAlignment="0" applyProtection="0"/>
    <xf numFmtId="9" fontId="9" fillId="0" borderId="0" applyFont="0" applyFill="0" applyBorder="0" applyAlignment="0" applyProtection="0"/>
    <xf numFmtId="0" fontId="48" fillId="0" borderId="0"/>
    <xf numFmtId="0" fontId="8" fillId="0" borderId="0">
      <alignment vertical="center"/>
    </xf>
    <xf numFmtId="0" fontId="49" fillId="0" borderId="0"/>
    <xf numFmtId="0" fontId="8" fillId="0" borderId="0"/>
    <xf numFmtId="0" fontId="4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0" fontId="46" fillId="40" borderId="0" applyNumberFormat="0" applyBorder="0" applyAlignment="0" applyProtection="0"/>
    <xf numFmtId="0" fontId="46" fillId="44" borderId="0" applyNumberFormat="0" applyBorder="0" applyAlignment="0" applyProtection="0"/>
    <xf numFmtId="0" fontId="46" fillId="41" borderId="0" applyNumberFormat="0" applyBorder="0" applyAlignment="0" applyProtection="0"/>
    <xf numFmtId="0" fontId="46" fillId="39" borderId="0" applyNumberFormat="0" applyBorder="0" applyAlignment="0" applyProtection="0"/>
    <xf numFmtId="0" fontId="45" fillId="45" borderId="0" applyNumberFormat="0" applyBorder="0" applyAlignment="0" applyProtection="0"/>
    <xf numFmtId="0" fontId="46" fillId="42" borderId="0" applyNumberFormat="0" applyBorder="0" applyAlignment="0" applyProtection="0"/>
    <xf numFmtId="0" fontId="46" fillId="41" borderId="0" applyNumberFormat="0" applyBorder="0" applyAlignment="0" applyProtection="0"/>
    <xf numFmtId="0" fontId="46" fillId="44" borderId="0" applyNumberFormat="0" applyBorder="0" applyAlignment="0" applyProtection="0"/>
    <xf numFmtId="0" fontId="45" fillId="49" borderId="0" applyNumberFormat="0" applyBorder="0" applyAlignment="0" applyProtection="0"/>
    <xf numFmtId="0" fontId="8" fillId="13" borderId="36" applyNumberFormat="0" applyFont="0" applyAlignment="0" applyProtection="0"/>
    <xf numFmtId="0" fontId="45" fillId="48" borderId="0" applyNumberFormat="0" applyBorder="0" applyAlignment="0" applyProtection="0"/>
    <xf numFmtId="0" fontId="45" fillId="46" borderId="0" applyNumberFormat="0" applyBorder="0" applyAlignment="0" applyProtection="0"/>
    <xf numFmtId="0" fontId="45" fillId="55" borderId="0" applyNumberFormat="0" applyBorder="0" applyAlignment="0" applyProtection="0"/>
    <xf numFmtId="0" fontId="45" fillId="54" borderId="0" applyNumberFormat="0" applyBorder="0" applyAlignment="0" applyProtection="0"/>
    <xf numFmtId="0" fontId="45" fillId="49" borderId="0" applyNumberFormat="0" applyBorder="0" applyAlignment="0" applyProtection="0"/>
    <xf numFmtId="0" fontId="46" fillId="38" borderId="0" applyNumberFormat="0" applyBorder="0" applyAlignment="0" applyProtection="0"/>
    <xf numFmtId="0" fontId="34" fillId="40" borderId="0" applyNumberFormat="0" applyBorder="0" applyAlignment="0" applyProtection="0"/>
    <xf numFmtId="0" fontId="32" fillId="0" borderId="43" applyNumberFormat="0" applyFill="0" applyAlignment="0" applyProtection="0"/>
    <xf numFmtId="0" fontId="38" fillId="56" borderId="41" applyNumberFormat="0" applyAlignment="0" applyProtection="0"/>
    <xf numFmtId="0" fontId="46" fillId="43" borderId="0" applyNumberFormat="0" applyBorder="0" applyAlignment="0" applyProtection="0"/>
    <xf numFmtId="0" fontId="33" fillId="0" borderId="44" applyNumberFormat="0" applyFill="0" applyAlignment="0" applyProtection="0"/>
    <xf numFmtId="0" fontId="41" fillId="59" borderId="46" applyNumberFormat="0" applyAlignment="0" applyProtection="0"/>
    <xf numFmtId="0" fontId="35" fillId="39" borderId="0" applyNumberFormat="0" applyBorder="0" applyAlignment="0" applyProtection="0"/>
    <xf numFmtId="0" fontId="46" fillId="45" borderId="0" applyNumberFormat="0" applyBorder="0" applyAlignment="0" applyProtection="0"/>
    <xf numFmtId="0" fontId="45" fillId="50" borderId="0" applyNumberFormat="0" applyBorder="0" applyAlignment="0" applyProtection="0"/>
    <xf numFmtId="0" fontId="39" fillId="56" borderId="38" applyNumberFormat="0" applyAlignment="0" applyProtection="0"/>
    <xf numFmtId="0" fontId="37" fillId="43" borderId="38" applyNumberFormat="0" applyAlignment="0" applyProtection="0"/>
    <xf numFmtId="0" fontId="45" fillId="50" borderId="0" applyNumberFormat="0" applyBorder="0" applyAlignment="0" applyProtection="0"/>
    <xf numFmtId="0" fontId="9" fillId="0" borderId="0"/>
    <xf numFmtId="0" fontId="44" fillId="0" borderId="45" applyNumberFormat="0" applyFill="0" applyAlignment="0" applyProtection="0"/>
    <xf numFmtId="0" fontId="31" fillId="0" borderId="42" applyNumberFormat="0" applyFill="0" applyAlignment="0" applyProtection="0"/>
    <xf numFmtId="0" fontId="46" fillId="47" borderId="0" applyNumberFormat="0" applyBorder="0" applyAlignment="0" applyProtection="0"/>
    <xf numFmtId="0" fontId="36" fillId="58" borderId="0" applyNumberFormat="0" applyBorder="0" applyAlignment="0" applyProtection="0"/>
    <xf numFmtId="0" fontId="45" fillId="53" borderId="0" applyNumberFormat="0" applyBorder="0" applyAlignment="0" applyProtection="0"/>
    <xf numFmtId="0" fontId="46" fillId="46" borderId="0" applyNumberFormat="0" applyBorder="0" applyAlignment="0" applyProtection="0"/>
    <xf numFmtId="0" fontId="43" fillId="0" borderId="0" applyNumberFormat="0" applyFill="0" applyBorder="0" applyAlignment="0" applyProtection="0"/>
    <xf numFmtId="0" fontId="45" fillId="51" borderId="0" applyNumberFormat="0" applyBorder="0" applyAlignment="0" applyProtection="0"/>
    <xf numFmtId="0" fontId="33" fillId="0" borderId="0" applyNumberFormat="0" applyFill="0" applyBorder="0" applyAlignment="0" applyProtection="0"/>
    <xf numFmtId="0" fontId="30" fillId="0" borderId="0" applyNumberFormat="0" applyFill="0" applyBorder="0" applyAlignment="0" applyProtection="0"/>
    <xf numFmtId="0" fontId="9" fillId="57" borderId="40" applyNumberFormat="0" applyFont="0" applyAlignment="0" applyProtection="0"/>
    <xf numFmtId="0" fontId="40" fillId="0" borderId="39" applyNumberFormat="0" applyFill="0" applyAlignment="0" applyProtection="0"/>
    <xf numFmtId="0" fontId="45" fillId="52" borderId="0" applyNumberFormat="0" applyBorder="0" applyAlignment="0" applyProtection="0"/>
    <xf numFmtId="0" fontId="42" fillId="0" borderId="0" applyNumberFormat="0" applyFill="0" applyBorder="0" applyAlignment="0" applyProtection="0"/>
    <xf numFmtId="9" fontId="50" fillId="0" borderId="0" applyFont="0" applyFill="0" applyBorder="0" applyAlignment="0" applyProtection="0"/>
    <xf numFmtId="0" fontId="48" fillId="0" borderId="0"/>
    <xf numFmtId="0" fontId="9" fillId="0" borderId="0"/>
    <xf numFmtId="9" fontId="9" fillId="0" borderId="0" applyFont="0" applyFill="0" applyBorder="0" applyAlignment="0" applyProtection="0"/>
    <xf numFmtId="0" fontId="8" fillId="36" borderId="0" applyNumberFormat="0" applyBorder="0" applyAlignment="0" applyProtection="0"/>
    <xf numFmtId="0" fontId="8" fillId="32" borderId="0" applyNumberFormat="0" applyBorder="0" applyAlignment="0" applyProtection="0"/>
    <xf numFmtId="0" fontId="8" fillId="28" borderId="0" applyNumberFormat="0" applyBorder="0" applyAlignment="0" applyProtection="0"/>
    <xf numFmtId="0" fontId="8" fillId="24" borderId="0" applyNumberFormat="0" applyBorder="0" applyAlignment="0" applyProtection="0"/>
    <xf numFmtId="0" fontId="8" fillId="20" borderId="0" applyNumberFormat="0" applyBorder="0" applyAlignment="0" applyProtection="0"/>
    <xf numFmtId="0" fontId="8" fillId="27" borderId="0" applyNumberFormat="0" applyBorder="0" applyAlignment="0" applyProtection="0"/>
    <xf numFmtId="0" fontId="8" fillId="23" borderId="0" applyNumberFormat="0" applyBorder="0" applyAlignment="0" applyProtection="0"/>
    <xf numFmtId="0" fontId="9" fillId="57" borderId="40" applyNumberFormat="0" applyFont="0" applyAlignment="0" applyProtection="0"/>
    <xf numFmtId="0" fontId="8" fillId="19" borderId="0" applyNumberFormat="0" applyBorder="0" applyAlignment="0" applyProtection="0"/>
    <xf numFmtId="0" fontId="8" fillId="15" borderId="0" applyNumberFormat="0" applyBorder="0" applyAlignment="0" applyProtection="0"/>
    <xf numFmtId="0" fontId="9" fillId="0" borderId="0"/>
    <xf numFmtId="0" fontId="9" fillId="0" borderId="0"/>
    <xf numFmtId="0" fontId="8" fillId="31" borderId="0" applyNumberFormat="0" applyBorder="0" applyAlignment="0" applyProtection="0"/>
    <xf numFmtId="0" fontId="8" fillId="16" borderId="0" applyNumberFormat="0" applyBorder="0" applyAlignment="0" applyProtection="0"/>
    <xf numFmtId="0" fontId="8" fillId="35" borderId="0" applyNumberFormat="0" applyBorder="0" applyAlignment="0" applyProtection="0"/>
    <xf numFmtId="0" fontId="9" fillId="0" borderId="0"/>
    <xf numFmtId="0" fontId="9" fillId="0" borderId="0"/>
    <xf numFmtId="0" fontId="9" fillId="0" borderId="0"/>
    <xf numFmtId="0" fontId="9" fillId="0" borderId="0"/>
    <xf numFmtId="0" fontId="9" fillId="0" borderId="0"/>
    <xf numFmtId="9"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8" fillId="0" borderId="0">
      <alignment vertical="center"/>
    </xf>
    <xf numFmtId="0" fontId="8" fillId="0" borderId="0">
      <alignment vertical="center"/>
    </xf>
    <xf numFmtId="9" fontId="8" fillId="0" borderId="0" applyFont="0" applyFill="0" applyBorder="0" applyAlignment="0" applyProtection="0"/>
    <xf numFmtId="9" fontId="9" fillId="0" borderId="0" applyFont="0" applyFill="0" applyBorder="0" applyAlignment="0" applyProtection="0"/>
    <xf numFmtId="0" fontId="8" fillId="0" borderId="0">
      <alignment vertical="center"/>
    </xf>
    <xf numFmtId="0" fontId="8" fillId="0" borderId="0"/>
    <xf numFmtId="165" fontId="8" fillId="0" borderId="0" applyFont="0" applyFill="0" applyBorder="0" applyAlignment="0" applyProtection="0"/>
    <xf numFmtId="0" fontId="8" fillId="0" borderId="0"/>
    <xf numFmtId="165" fontId="8" fillId="0" borderId="0" applyFont="0" applyFill="0" applyBorder="0" applyAlignment="0" applyProtection="0"/>
    <xf numFmtId="0" fontId="8" fillId="13" borderId="36" applyNumberFormat="0" applyFont="0" applyAlignment="0" applyProtection="0"/>
    <xf numFmtId="0" fontId="9" fillId="0" borderId="0"/>
    <xf numFmtId="167" fontId="8" fillId="0" borderId="0" applyFont="0" applyFill="0" applyBorder="0" applyAlignment="0" applyProtection="0"/>
    <xf numFmtId="164" fontId="8" fillId="0" borderId="0" applyFont="0" applyFill="0" applyBorder="0" applyAlignment="0" applyProtection="0"/>
    <xf numFmtId="0" fontId="7" fillId="0" borderId="0"/>
    <xf numFmtId="0" fontId="7" fillId="0" borderId="0"/>
    <xf numFmtId="9" fontId="7" fillId="0" borderId="0" applyFont="0" applyFill="0" applyBorder="0" applyAlignment="0" applyProtection="0"/>
    <xf numFmtId="0" fontId="7" fillId="15" borderId="0" applyNumberFormat="0" applyBorder="0" applyAlignment="0" applyProtection="0"/>
    <xf numFmtId="0" fontId="7" fillId="19" borderId="0" applyNumberFormat="0" applyBorder="0" applyAlignment="0" applyProtection="0"/>
    <xf numFmtId="0" fontId="7" fillId="23" borderId="0" applyNumberFormat="0" applyBorder="0" applyAlignment="0" applyProtection="0"/>
    <xf numFmtId="0" fontId="7" fillId="27" borderId="0" applyNumberFormat="0" applyBorder="0" applyAlignment="0" applyProtection="0"/>
    <xf numFmtId="0" fontId="7" fillId="31" borderId="0" applyNumberFormat="0" applyBorder="0" applyAlignment="0" applyProtection="0"/>
    <xf numFmtId="0" fontId="7" fillId="35" borderId="0" applyNumberFormat="0" applyBorder="0" applyAlignment="0" applyProtection="0"/>
    <xf numFmtId="0" fontId="7" fillId="16" borderId="0" applyNumberFormat="0" applyBorder="0" applyAlignment="0" applyProtection="0"/>
    <xf numFmtId="0" fontId="7" fillId="20" borderId="0" applyNumberFormat="0" applyBorder="0" applyAlignment="0" applyProtection="0"/>
    <xf numFmtId="0" fontId="7" fillId="24" borderId="0" applyNumberFormat="0" applyBorder="0" applyAlignment="0" applyProtection="0"/>
    <xf numFmtId="0" fontId="7" fillId="28" borderId="0" applyNumberFormat="0" applyBorder="0" applyAlignment="0" applyProtection="0"/>
    <xf numFmtId="0" fontId="7" fillId="32" borderId="0" applyNumberFormat="0" applyBorder="0" applyAlignment="0" applyProtection="0"/>
    <xf numFmtId="0" fontId="7" fillId="36" borderId="0" applyNumberFormat="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7" fillId="13" borderId="36" applyNumberFormat="0" applyFont="0" applyAlignment="0" applyProtection="0"/>
    <xf numFmtId="0" fontId="7" fillId="13" borderId="36" applyNumberFormat="0" applyFont="0" applyAlignment="0" applyProtection="0"/>
    <xf numFmtId="165"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167" fontId="7" fillId="0" borderId="0" applyFont="0" applyFill="0" applyBorder="0" applyAlignment="0" applyProtection="0"/>
    <xf numFmtId="0" fontId="7" fillId="0" borderId="0"/>
    <xf numFmtId="0" fontId="7" fillId="0" borderId="0"/>
    <xf numFmtId="0" fontId="7" fillId="0" borderId="0"/>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9" fontId="7" fillId="0" borderId="0" applyFont="0" applyFill="0" applyBorder="0" applyAlignment="0" applyProtection="0"/>
    <xf numFmtId="0" fontId="6" fillId="36" borderId="0" applyNumberFormat="0" applyBorder="0" applyAlignment="0" applyProtection="0"/>
    <xf numFmtId="0" fontId="6" fillId="35" borderId="0" applyNumberFormat="0" applyBorder="0" applyAlignment="0" applyProtection="0"/>
    <xf numFmtId="0" fontId="6" fillId="32" borderId="0" applyNumberFormat="0" applyBorder="0" applyAlignment="0" applyProtection="0"/>
    <xf numFmtId="0" fontId="6" fillId="31" borderId="0" applyNumberFormat="0" applyBorder="0" applyAlignment="0" applyProtection="0"/>
    <xf numFmtId="0" fontId="6" fillId="28" borderId="0" applyNumberFormat="0" applyBorder="0" applyAlignment="0" applyProtection="0"/>
    <xf numFmtId="0" fontId="6" fillId="27" borderId="0" applyNumberFormat="0" applyBorder="0" applyAlignment="0" applyProtection="0"/>
    <xf numFmtId="0" fontId="6" fillId="24" borderId="0" applyNumberFormat="0" applyBorder="0" applyAlignment="0" applyProtection="0"/>
    <xf numFmtId="0" fontId="6" fillId="23" borderId="0" applyNumberFormat="0" applyBorder="0" applyAlignment="0" applyProtection="0"/>
    <xf numFmtId="0" fontId="6" fillId="20" borderId="0" applyNumberFormat="0" applyBorder="0" applyAlignment="0" applyProtection="0"/>
    <xf numFmtId="0" fontId="6" fillId="19" borderId="0" applyNumberFormat="0" applyBorder="0" applyAlignment="0" applyProtection="0"/>
    <xf numFmtId="0" fontId="6" fillId="16" borderId="0" applyNumberFormat="0" applyBorder="0" applyAlignment="0" applyProtection="0"/>
    <xf numFmtId="0" fontId="6" fillId="15" borderId="0" applyNumberFormat="0" applyBorder="0" applyAlignment="0" applyProtection="0"/>
    <xf numFmtId="0" fontId="6" fillId="13" borderId="36" applyNumberFormat="0" applyFont="0" applyAlignment="0" applyProtection="0"/>
    <xf numFmtId="0" fontId="6" fillId="0" borderId="0"/>
    <xf numFmtId="0" fontId="5" fillId="0" borderId="0"/>
    <xf numFmtId="0" fontId="53" fillId="39" borderId="0" applyNumberFormat="0" applyBorder="0" applyAlignment="0" applyProtection="0"/>
    <xf numFmtId="0" fontId="53" fillId="45"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15" borderId="0" applyNumberFormat="0" applyBorder="0" applyAlignment="0" applyProtection="0"/>
    <xf numFmtId="0" fontId="5" fillId="15" borderId="0" applyNumberFormat="0" applyBorder="0" applyAlignment="0" applyProtection="0"/>
    <xf numFmtId="0" fontId="5" fillId="15"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19"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3"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27"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1"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35"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16"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0"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4"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28"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2"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0" fontId="5" fillId="36" borderId="0" applyNumberFormat="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5" fillId="13" borderId="36" applyNumberFormat="0" applyFont="0" applyAlignment="0" applyProtection="0"/>
    <xf numFmtId="0" fontId="5" fillId="13" borderId="36" applyNumberFormat="0" applyFont="0" applyAlignment="0" applyProtection="0"/>
    <xf numFmtId="0" fontId="5" fillId="13" borderId="36" applyNumberFormat="0" applyFont="0" applyAlignment="0" applyProtection="0"/>
    <xf numFmtId="0" fontId="5" fillId="13" borderId="36" applyNumberFormat="0" applyFont="0" applyAlignment="0" applyProtection="0"/>
    <xf numFmtId="0" fontId="5" fillId="13" borderId="36" applyNumberFormat="0" applyFont="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0" fontId="5" fillId="0" borderId="0"/>
    <xf numFmtId="0" fontId="5" fillId="0" borderId="0"/>
    <xf numFmtId="0" fontId="5" fillId="0" borderId="0"/>
    <xf numFmtId="0" fontId="53" fillId="46" borderId="0" applyNumberFormat="0" applyBorder="0" applyAlignment="0" applyProtection="0"/>
    <xf numFmtId="0" fontId="66" fillId="56" borderId="41" applyNumberFormat="0" applyAlignment="0" applyProtection="0"/>
    <xf numFmtId="0" fontId="5" fillId="0" borderId="0"/>
    <xf numFmtId="0" fontId="5" fillId="0" borderId="0"/>
    <xf numFmtId="0" fontId="5" fillId="0" borderId="0"/>
    <xf numFmtId="0" fontId="5"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9" fontId="46" fillId="0" borderId="0" applyFont="0" applyFill="0" applyBorder="0" applyAlignment="0" applyProtection="0"/>
    <xf numFmtId="0" fontId="46" fillId="0" borderId="0">
      <alignment vertical="center"/>
    </xf>
    <xf numFmtId="9" fontId="46" fillId="0" borderId="0" applyFont="0" applyFill="0" applyBorder="0" applyAlignment="0" applyProtection="0"/>
    <xf numFmtId="0" fontId="5" fillId="0" borderId="0"/>
    <xf numFmtId="0" fontId="46" fillId="0" borderId="0">
      <alignment vertical="center"/>
    </xf>
    <xf numFmtId="0" fontId="9" fillId="0" borderId="0">
      <alignment vertical="center"/>
    </xf>
    <xf numFmtId="0" fontId="53" fillId="38" borderId="0" applyNumberFormat="0" applyBorder="0" applyAlignment="0" applyProtection="0"/>
    <xf numFmtId="0" fontId="53" fillId="41" borderId="0" applyNumberFormat="0" applyBorder="0" applyAlignment="0" applyProtection="0"/>
    <xf numFmtId="0" fontId="53" fillId="43" borderId="0" applyNumberFormat="0" applyBorder="0" applyAlignment="0" applyProtection="0"/>
    <xf numFmtId="0" fontId="53" fillId="44" borderId="0" applyNumberFormat="0" applyBorder="0" applyAlignment="0" applyProtection="0"/>
    <xf numFmtId="0" fontId="53" fillId="41" borderId="0" applyNumberFormat="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53" fillId="44" borderId="0" applyNumberFormat="0" applyBorder="0" applyAlignment="0" applyProtection="0"/>
    <xf numFmtId="0" fontId="53" fillId="47" borderId="0" applyNumberFormat="0" applyBorder="0" applyAlignment="0" applyProtection="0"/>
    <xf numFmtId="0" fontId="54" fillId="45" borderId="0" applyNumberFormat="0" applyBorder="0" applyAlignment="0" applyProtection="0"/>
    <xf numFmtId="0" fontId="54" fillId="46" borderId="0" applyNumberFormat="0" applyBorder="0" applyAlignment="0" applyProtection="0"/>
    <xf numFmtId="0" fontId="54" fillId="49" borderId="0" applyNumberFormat="0" applyBorder="0" applyAlignment="0" applyProtection="0"/>
    <xf numFmtId="0" fontId="54" fillId="50" borderId="0" applyNumberFormat="0" applyBorder="0" applyAlignment="0" applyProtection="0"/>
    <xf numFmtId="0" fontId="54" fillId="51" borderId="0" applyNumberFormat="0" applyBorder="0" applyAlignment="0" applyProtection="0"/>
    <xf numFmtId="0" fontId="55" fillId="43" borderId="38" applyNumberFormat="0" applyAlignment="0" applyProtection="0"/>
    <xf numFmtId="0" fontId="56" fillId="0" borderId="0" applyNumberFormat="0" applyFill="0" applyBorder="0" applyAlignment="0" applyProtection="0"/>
    <xf numFmtId="0" fontId="58" fillId="0" borderId="43" applyNumberFormat="0" applyFill="0" applyAlignment="0" applyProtection="0"/>
    <xf numFmtId="0" fontId="59" fillId="0" borderId="44" applyNumberFormat="0" applyFill="0" applyAlignment="0" applyProtection="0"/>
    <xf numFmtId="0" fontId="59" fillId="0" borderId="0" applyNumberFormat="0" applyFill="0" applyBorder="0" applyAlignment="0" applyProtection="0"/>
    <xf numFmtId="0" fontId="60" fillId="61" borderId="4" applyNumberFormat="0" applyFont="0" applyBorder="0" applyAlignment="0" applyProtection="0">
      <alignment horizontal="centerContinuous"/>
    </xf>
    <xf numFmtId="0" fontId="61" fillId="59" borderId="46" applyNumberFormat="0" applyAlignment="0" applyProtection="0"/>
    <xf numFmtId="168" fontId="9" fillId="0" borderId="0" applyFont="0" applyFill="0" applyBorder="0" applyAlignment="0" applyProtection="0"/>
    <xf numFmtId="168" fontId="9" fillId="0" borderId="0" applyFont="0" applyFill="0" applyBorder="0" applyAlignment="0" applyProtection="0"/>
    <xf numFmtId="169" fontId="9" fillId="0" borderId="0" applyFont="0" applyFill="0" applyBorder="0" applyAlignment="0" applyProtection="0"/>
    <xf numFmtId="0" fontId="62" fillId="0" borderId="0" applyNumberFormat="0" applyFill="0" applyBorder="0" applyAlignment="0" applyProtection="0"/>
    <xf numFmtId="0" fontId="63" fillId="62" borderId="47" applyNumberFormat="0" applyFont="0" applyBorder="0" applyAlignment="0">
      <alignment horizontal="centerContinuous"/>
    </xf>
    <xf numFmtId="0" fontId="53" fillId="57" borderId="40" applyNumberFormat="0" applyFont="0" applyAlignment="0" applyProtection="0"/>
    <xf numFmtId="0" fontId="54" fillId="52" borderId="0" applyNumberFormat="0" applyBorder="0" applyAlignment="0" applyProtection="0"/>
    <xf numFmtId="0" fontId="54" fillId="53" borderId="0" applyNumberFormat="0" applyBorder="0" applyAlignment="0" applyProtection="0"/>
    <xf numFmtId="0" fontId="54" fillId="54" borderId="0" applyNumberFormat="0" applyBorder="0" applyAlignment="0" applyProtection="0"/>
    <xf numFmtId="0" fontId="54" fillId="49" borderId="0" applyNumberFormat="0" applyBorder="0" applyAlignment="0" applyProtection="0"/>
    <xf numFmtId="0" fontId="54" fillId="50" borderId="0" applyNumberFormat="0" applyBorder="0" applyAlignment="0" applyProtection="0"/>
    <xf numFmtId="0" fontId="54" fillId="55" borderId="0" applyNumberFormat="0" applyBorder="0" applyAlignment="0" applyProtection="0"/>
    <xf numFmtId="0" fontId="65" fillId="40" borderId="0" applyNumberFormat="0" applyBorder="0" applyAlignment="0" applyProtection="0"/>
    <xf numFmtId="0" fontId="67" fillId="0" borderId="0" applyNumberFormat="0" applyFill="0" applyBorder="0" applyAlignment="0" applyProtection="0"/>
    <xf numFmtId="0" fontId="68" fillId="0" borderId="0"/>
    <xf numFmtId="40" fontId="70" fillId="63" borderId="0">
      <alignment horizontal="right"/>
    </xf>
    <xf numFmtId="0" fontId="71" fillId="63" borderId="9"/>
    <xf numFmtId="9" fontId="5" fillId="0" borderId="0" applyFont="0" applyFill="0" applyBorder="0" applyAlignment="0" applyProtection="0"/>
    <xf numFmtId="0" fontId="73" fillId="58" borderId="0" applyNumberFormat="0" applyBorder="0" applyAlignment="0" applyProtection="0"/>
    <xf numFmtId="0" fontId="53" fillId="40" borderId="0" applyNumberFormat="0" applyBorder="0" applyAlignment="0" applyProtection="0"/>
    <xf numFmtId="0" fontId="64" fillId="0" borderId="39" applyNumberFormat="0" applyFill="0" applyAlignment="0" applyProtection="0"/>
    <xf numFmtId="0" fontId="53" fillId="42" borderId="0" applyNumberFormat="0" applyBorder="0" applyAlignment="0" applyProtection="0"/>
    <xf numFmtId="0" fontId="74" fillId="56" borderId="38" applyNumberFormat="0" applyAlignment="0" applyProtection="0"/>
    <xf numFmtId="0" fontId="72" fillId="39" borderId="0" applyNumberFormat="0" applyBorder="0" applyAlignment="0" applyProtection="0"/>
    <xf numFmtId="0" fontId="54" fillId="48" borderId="0" applyNumberFormat="0" applyBorder="0" applyAlignment="0" applyProtection="0"/>
    <xf numFmtId="0" fontId="57" fillId="0" borderId="42" applyNumberFormat="0" applyFill="0" applyAlignment="0" applyProtection="0"/>
    <xf numFmtId="0" fontId="69" fillId="0" borderId="45" applyNumberFormat="0" applyFill="0" applyAlignment="0" applyProtection="0"/>
    <xf numFmtId="0" fontId="5" fillId="0" borderId="0">
      <alignment vertical="center"/>
    </xf>
    <xf numFmtId="9" fontId="47" fillId="0" borderId="0" applyFont="0" applyFill="0" applyBorder="0" applyAlignment="0" applyProtection="0"/>
    <xf numFmtId="165" fontId="46" fillId="0" borderId="0" applyFont="0" applyFill="0" applyBorder="0" applyAlignment="0" applyProtection="0"/>
    <xf numFmtId="0" fontId="4" fillId="0" borderId="0"/>
    <xf numFmtId="0" fontId="4" fillId="13" borderId="36" applyNumberFormat="0" applyFont="0" applyAlignment="0" applyProtection="0"/>
    <xf numFmtId="0" fontId="4" fillId="15" borderId="0" applyNumberFormat="0" applyBorder="0" applyAlignment="0" applyProtection="0"/>
    <xf numFmtId="0" fontId="4" fillId="16"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3" fillId="0" borderId="0"/>
    <xf numFmtId="0" fontId="3" fillId="0" borderId="0">
      <alignment vertical="center"/>
    </xf>
    <xf numFmtId="0" fontId="3" fillId="0" borderId="0"/>
    <xf numFmtId="0" fontId="3" fillId="0" borderId="0">
      <alignment vertical="center"/>
    </xf>
    <xf numFmtId="0" fontId="46" fillId="42" borderId="0" applyNumberFormat="0" applyBorder="0" applyAlignment="0" applyProtection="0"/>
    <xf numFmtId="0" fontId="46" fillId="43" borderId="0" applyNumberFormat="0" applyBorder="0" applyAlignment="0" applyProtection="0"/>
    <xf numFmtId="0" fontId="46" fillId="68" borderId="0" applyNumberFormat="0" applyBorder="0" applyAlignment="0" applyProtection="0"/>
    <xf numFmtId="0" fontId="46" fillId="57" borderId="0" applyNumberFormat="0" applyBorder="0" applyAlignment="0" applyProtection="0"/>
    <xf numFmtId="0" fontId="46" fillId="38" borderId="0" applyNumberFormat="0" applyBorder="0" applyAlignment="0" applyProtection="0"/>
    <xf numFmtId="0" fontId="46" fillId="40" borderId="0" applyNumberFormat="0" applyBorder="0" applyAlignment="0" applyProtection="0"/>
    <xf numFmtId="0" fontId="46" fillId="43" borderId="0" applyNumberFormat="0" applyBorder="0" applyAlignment="0" applyProtection="0"/>
    <xf numFmtId="0" fontId="46" fillId="56" borderId="0" applyNumberFormat="0" applyBorder="0" applyAlignment="0" applyProtection="0"/>
    <xf numFmtId="0" fontId="46" fillId="58" borderId="0" applyNumberFormat="0" applyBorder="0" applyAlignment="0" applyProtection="0"/>
    <xf numFmtId="0" fontId="46" fillId="58" borderId="0" applyNumberFormat="0" applyBorder="0" applyAlignment="0" applyProtection="0"/>
    <xf numFmtId="0" fontId="45" fillId="44" borderId="0" applyNumberFormat="0" applyBorder="0" applyAlignment="0" applyProtection="0"/>
    <xf numFmtId="0" fontId="45" fillId="43" borderId="0" applyNumberFormat="0" applyBorder="0" applyAlignment="0" applyProtection="0"/>
    <xf numFmtId="0" fontId="45" fillId="56" borderId="0" applyNumberFormat="0" applyBorder="0" applyAlignment="0" applyProtection="0"/>
    <xf numFmtId="0" fontId="45" fillId="58" borderId="0" applyNumberFormat="0" applyBorder="0" applyAlignment="0" applyProtection="0"/>
    <xf numFmtId="0" fontId="45" fillId="54" borderId="0" applyNumberFormat="0" applyBorder="0" applyAlignment="0" applyProtection="0"/>
    <xf numFmtId="0" fontId="45" fillId="50" borderId="0" applyNumberFormat="0" applyBorder="0" applyAlignment="0" applyProtection="0"/>
    <xf numFmtId="0" fontId="45" fillId="55" borderId="0" applyNumberFormat="0" applyBorder="0" applyAlignment="0" applyProtection="0"/>
    <xf numFmtId="0" fontId="45" fillId="59" borderId="0" applyNumberFormat="0" applyBorder="0" applyAlignment="0" applyProtection="0"/>
    <xf numFmtId="0" fontId="45" fillId="47" borderId="0" applyNumberFormat="0" applyBorder="0" applyAlignment="0" applyProtection="0"/>
    <xf numFmtId="0" fontId="45" fillId="52" borderId="0" applyNumberFormat="0" applyBorder="0" applyAlignment="0" applyProtection="0"/>
    <xf numFmtId="0" fontId="45" fillId="54" borderId="0" applyNumberFormat="0" applyBorder="0" applyAlignment="0" applyProtection="0"/>
    <xf numFmtId="0" fontId="79" fillId="0" borderId="49" applyNumberFormat="0" applyFill="0" applyAlignment="0" applyProtection="0"/>
    <xf numFmtId="0" fontId="80" fillId="0" borderId="50" applyNumberFormat="0" applyFill="0" applyAlignment="0" applyProtection="0"/>
    <xf numFmtId="0" fontId="81" fillId="0" borderId="51" applyNumberFormat="0" applyFill="0" applyAlignment="0" applyProtection="0"/>
    <xf numFmtId="0" fontId="81" fillId="0" borderId="0" applyNumberFormat="0" applyFill="0" applyBorder="0" applyAlignment="0" applyProtection="0"/>
    <xf numFmtId="0" fontId="82" fillId="0" borderId="0" applyNumberFormat="0" applyFill="0" applyBorder="0" applyAlignment="0" applyProtection="0"/>
    <xf numFmtId="0" fontId="44" fillId="0" borderId="52" applyNumberFormat="0" applyFill="0" applyAlignment="0" applyProtection="0"/>
    <xf numFmtId="0" fontId="78" fillId="57" borderId="40" applyNumberFormat="0" applyFont="0" applyAlignment="0" applyProtection="0"/>
    <xf numFmtId="0" fontId="46" fillId="42" borderId="0" applyNumberFormat="0" applyBorder="0" applyAlignment="0" applyProtection="0"/>
    <xf numFmtId="0" fontId="46" fillId="43" borderId="0" applyNumberFormat="0" applyBorder="0" applyAlignment="0" applyProtection="0"/>
    <xf numFmtId="0" fontId="46" fillId="68" borderId="0" applyNumberFormat="0" applyBorder="0" applyAlignment="0" applyProtection="0"/>
    <xf numFmtId="0" fontId="46" fillId="57" borderId="0" applyNumberFormat="0" applyBorder="0" applyAlignment="0" applyProtection="0"/>
    <xf numFmtId="0" fontId="46" fillId="38" borderId="0" applyNumberFormat="0" applyBorder="0" applyAlignment="0" applyProtection="0"/>
    <xf numFmtId="0" fontId="83" fillId="0" borderId="0" applyNumberFormat="0" applyBorder="0" applyAlignment="0" applyProtection="0"/>
    <xf numFmtId="0" fontId="83" fillId="0" borderId="0" applyNumberFormat="0" applyBorder="0" applyAlignment="0" applyProtection="0"/>
    <xf numFmtId="0" fontId="83" fillId="0" borderId="0" applyNumberFormat="0" applyBorder="0" applyAlignment="0" applyProtection="0"/>
    <xf numFmtId="0" fontId="83" fillId="0" borderId="0" applyNumberFormat="0" applyBorder="0" applyAlignment="0" applyProtection="0"/>
    <xf numFmtId="0" fontId="83" fillId="0" borderId="0" applyNumberFormat="0" applyBorder="0" applyAlignment="0" applyProtection="0"/>
    <xf numFmtId="0" fontId="83" fillId="0" borderId="0" applyNumberFormat="0" applyBorder="0" applyAlignment="0" applyProtection="0"/>
    <xf numFmtId="0" fontId="83" fillId="0" borderId="0" applyNumberFormat="0" applyBorder="0" applyAlignment="0" applyProtection="0"/>
    <xf numFmtId="0" fontId="83" fillId="0" borderId="0" applyNumberFormat="0" applyBorder="0" applyAlignment="0" applyProtection="0"/>
    <xf numFmtId="0" fontId="83" fillId="0" borderId="0" applyNumberFormat="0" applyBorder="0" applyAlignment="0" applyProtection="0"/>
    <xf numFmtId="0" fontId="83" fillId="0" borderId="0" applyNumberFormat="0" applyBorder="0" applyAlignment="0" applyProtection="0"/>
    <xf numFmtId="0" fontId="83" fillId="0" borderId="0" applyNumberFormat="0" applyFill="0" applyAlignment="0" applyProtection="0"/>
    <xf numFmtId="0" fontId="83" fillId="0" borderId="0" applyNumberFormat="0" applyFill="0" applyAlignment="0" applyProtection="0"/>
    <xf numFmtId="0" fontId="83" fillId="0" borderId="0" applyNumberFormat="0" applyFill="0" applyAlignment="0" applyProtection="0"/>
    <xf numFmtId="0" fontId="83" fillId="0" borderId="0" applyNumberFormat="0" applyFill="0" applyBorder="0" applyAlignment="0" applyProtection="0"/>
    <xf numFmtId="0" fontId="9" fillId="0" borderId="0" applyNumberFormat="0" applyFont="0" applyAlignment="0" applyProtection="0"/>
    <xf numFmtId="0" fontId="83" fillId="0" borderId="0" applyNumberFormat="0" applyAlignment="0" applyProtection="0"/>
    <xf numFmtId="0" fontId="83" fillId="0" borderId="0" applyNumberFormat="0" applyFill="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Border="0" applyAlignment="0" applyProtection="0"/>
    <xf numFmtId="0" fontId="9" fillId="0" borderId="0" applyNumberFormat="0" applyAlignment="0" applyProtection="0"/>
    <xf numFmtId="0" fontId="9" fillId="0" borderId="0" applyNumberFormat="0" applyAlignment="0" applyProtection="0"/>
    <xf numFmtId="0" fontId="9" fillId="0" borderId="0" applyNumberFormat="0" applyFill="0" applyBorder="0" applyAlignment="0" applyProtection="0"/>
    <xf numFmtId="0" fontId="9" fillId="0" borderId="0" applyNumberFormat="0" applyBorder="0" applyAlignment="0" applyProtection="0"/>
    <xf numFmtId="0" fontId="9" fillId="0" borderId="0" applyNumberFormat="0" applyFill="0" applyAlignment="0" applyProtection="0"/>
    <xf numFmtId="0" fontId="9" fillId="0" borderId="0" applyNumberFormat="0" applyFill="0" applyAlignment="0" applyProtection="0"/>
    <xf numFmtId="0" fontId="9" fillId="0" borderId="0" applyNumberFormat="0" applyFill="0" applyAlignment="0" applyProtection="0"/>
    <xf numFmtId="0" fontId="9" fillId="0" borderId="0" applyNumberFormat="0" applyFill="0" applyBorder="0" applyAlignment="0" applyProtection="0"/>
    <xf numFmtId="0" fontId="9" fillId="0" borderId="0" applyNumberFormat="0" applyAlignment="0" applyProtection="0"/>
    <xf numFmtId="0" fontId="9" fillId="0" borderId="0" applyNumberFormat="0" applyFill="0" applyAlignment="0" applyProtection="0"/>
    <xf numFmtId="0" fontId="9" fillId="0" borderId="0" applyNumberFormat="0" applyBorder="0" applyAlignment="0" applyProtection="0"/>
    <xf numFmtId="0" fontId="9" fillId="0" borderId="0"/>
    <xf numFmtId="0" fontId="9" fillId="0" borderId="0" applyNumberFormat="0" applyFont="0" applyAlignment="0" applyProtection="0"/>
    <xf numFmtId="0" fontId="9" fillId="0" borderId="0" applyNumberFormat="0" applyAlignment="0" applyProtection="0"/>
    <xf numFmtId="0" fontId="9" fillId="0" borderId="0" applyNumberFormat="0" applyFill="0" applyBorder="0" applyAlignment="0" applyProtection="0"/>
    <xf numFmtId="0" fontId="9" fillId="0" borderId="0" applyNumberFormat="0" applyFill="0" applyAlignment="0" applyProtection="0"/>
    <xf numFmtId="0" fontId="9" fillId="0" borderId="0" applyNumberFormat="0" applyFill="0" applyBorder="0" applyAlignment="0" applyProtection="0"/>
    <xf numFmtId="0" fontId="1" fillId="0" borderId="0"/>
    <xf numFmtId="0" fontId="41" fillId="69" borderId="0"/>
    <xf numFmtId="0" fontId="85" fillId="0" borderId="0"/>
    <xf numFmtId="164" fontId="9" fillId="0" borderId="0" applyFont="0" applyFill="0" applyBorder="0" applyAlignment="0" applyProtection="0"/>
  </cellStyleXfs>
  <cellXfs count="229">
    <xf numFmtId="0" fontId="0" fillId="0" borderId="0" xfId="0"/>
    <xf numFmtId="0" fontId="11" fillId="0" borderId="0" xfId="0" applyFont="1" applyAlignment="1">
      <alignment horizontal="left"/>
    </xf>
    <xf numFmtId="166" fontId="11" fillId="0" borderId="0" xfId="0" applyNumberFormat="1" applyFont="1" applyAlignment="1">
      <alignment horizontal="left"/>
    </xf>
    <xf numFmtId="0" fontId="12" fillId="0" borderId="0" xfId="0" applyFont="1" applyAlignment="1">
      <alignment horizontal="left"/>
    </xf>
    <xf numFmtId="0" fontId="11" fillId="0" borderId="0" xfId="0" applyFont="1"/>
    <xf numFmtId="0" fontId="0" fillId="6" borderId="0" xfId="0" applyFill="1"/>
    <xf numFmtId="0" fontId="13" fillId="6" borderId="0" xfId="0" applyFont="1" applyFill="1"/>
    <xf numFmtId="14" fontId="13" fillId="6" borderId="0" xfId="0" applyNumberFormat="1" applyFont="1" applyFill="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6" borderId="17" xfId="0" applyFill="1" applyBorder="1"/>
    <xf numFmtId="0" fontId="0" fillId="6" borderId="18" xfId="0" applyFill="1" applyBorder="1"/>
    <xf numFmtId="0" fontId="0" fillId="6" borderId="19" xfId="0" applyFill="1" applyBorder="1"/>
    <xf numFmtId="0" fontId="0" fillId="6" borderId="20" xfId="0" applyFill="1" applyBorder="1"/>
    <xf numFmtId="0" fontId="9" fillId="6" borderId="0" xfId="0" applyFont="1" applyFill="1"/>
    <xf numFmtId="3" fontId="11" fillId="0" borderId="0" xfId="0" applyNumberFormat="1" applyFont="1" applyAlignment="1">
      <alignment horizontal="left"/>
    </xf>
    <xf numFmtId="0" fontId="47" fillId="0" borderId="0" xfId="0" applyFont="1" applyAlignment="1">
      <alignment horizontal="center"/>
    </xf>
    <xf numFmtId="0" fontId="47" fillId="0" borderId="0" xfId="0" applyFont="1"/>
    <xf numFmtId="0" fontId="11" fillId="4" borderId="12" xfId="1" applyFont="1" applyFill="1" applyBorder="1" applyAlignment="1"/>
    <xf numFmtId="0" fontId="11" fillId="4" borderId="11" xfId="1" applyFont="1" applyFill="1" applyBorder="1" applyAlignment="1"/>
    <xf numFmtId="0" fontId="9" fillId="0" borderId="0" xfId="0" applyFont="1"/>
    <xf numFmtId="9" fontId="11" fillId="0" borderId="0" xfId="2" applyFont="1" applyAlignment="1">
      <alignment horizontal="left"/>
    </xf>
    <xf numFmtId="0" fontId="12" fillId="3" borderId="1" xfId="0" applyFont="1" applyFill="1" applyBorder="1" applyAlignment="1">
      <alignment horizontal="left"/>
    </xf>
    <xf numFmtId="2" fontId="12" fillId="3" borderId="1" xfId="0" applyNumberFormat="1" applyFont="1" applyFill="1" applyBorder="1" applyAlignment="1">
      <alignment horizontal="left"/>
    </xf>
    <xf numFmtId="166" fontId="12" fillId="3" borderId="1" xfId="0" applyNumberFormat="1" applyFont="1" applyFill="1" applyBorder="1" applyAlignment="1">
      <alignment horizontal="left"/>
    </xf>
    <xf numFmtId="1" fontId="12" fillId="3" borderId="1" xfId="0" applyNumberFormat="1" applyFont="1" applyFill="1" applyBorder="1" applyAlignment="1">
      <alignment horizontal="left"/>
    </xf>
    <xf numFmtId="166" fontId="12" fillId="3" borderId="3" xfId="0" applyNumberFormat="1" applyFont="1" applyFill="1" applyBorder="1" applyAlignment="1">
      <alignment horizontal="left"/>
    </xf>
    <xf numFmtId="0" fontId="12" fillId="3" borderId="0" xfId="0" applyFont="1" applyFill="1" applyAlignment="1">
      <alignment horizontal="left"/>
    </xf>
    <xf numFmtId="0" fontId="12" fillId="3" borderId="3" xfId="0" applyFont="1" applyFill="1" applyBorder="1" applyAlignment="1">
      <alignment horizontal="left"/>
    </xf>
    <xf numFmtId="166" fontId="12" fillId="3" borderId="9" xfId="0" applyNumberFormat="1" applyFont="1" applyFill="1" applyBorder="1" applyAlignment="1">
      <alignment horizontal="left"/>
    </xf>
    <xf numFmtId="0" fontId="12" fillId="3" borderId="9" xfId="0" applyFont="1" applyFill="1" applyBorder="1" applyAlignment="1">
      <alignment horizontal="left"/>
    </xf>
    <xf numFmtId="0" fontId="12" fillId="3" borderId="5" xfId="0" applyFont="1" applyFill="1" applyBorder="1" applyAlignment="1">
      <alignment horizontal="left"/>
    </xf>
    <xf numFmtId="166" fontId="12" fillId="3" borderId="6" xfId="0" applyNumberFormat="1" applyFont="1" applyFill="1" applyBorder="1" applyAlignment="1">
      <alignment horizontal="left"/>
    </xf>
    <xf numFmtId="0" fontId="12" fillId="3" borderId="6" xfId="0" applyFont="1" applyFill="1" applyBorder="1" applyAlignment="1">
      <alignment horizontal="left"/>
    </xf>
    <xf numFmtId="0" fontId="12" fillId="4" borderId="8" xfId="0" applyFont="1" applyFill="1" applyBorder="1" applyAlignment="1">
      <alignment horizontal="left" vertical="center" wrapText="1"/>
    </xf>
    <xf numFmtId="0" fontId="12" fillId="4" borderId="7" xfId="0" applyFont="1" applyFill="1" applyBorder="1" applyAlignment="1">
      <alignment horizontal="left" vertical="center" wrapText="1"/>
    </xf>
    <xf numFmtId="0" fontId="76" fillId="65" borderId="8" xfId="0" applyFont="1" applyFill="1" applyBorder="1" applyAlignment="1">
      <alignment horizontal="left" vertical="center" wrapText="1"/>
    </xf>
    <xf numFmtId="0" fontId="12" fillId="2" borderId="12" xfId="0" applyFont="1" applyFill="1" applyBorder="1" applyAlignment="1">
      <alignment horizontal="center" vertical="center"/>
    </xf>
    <xf numFmtId="0" fontId="12" fillId="5" borderId="7" xfId="0" applyFont="1" applyFill="1" applyBorder="1" applyAlignment="1">
      <alignment horizontal="center" vertical="center" wrapText="1"/>
    </xf>
    <xf numFmtId="0" fontId="11" fillId="66" borderId="5" xfId="1" applyFont="1" applyFill="1" applyBorder="1" applyAlignment="1"/>
    <xf numFmtId="170" fontId="11" fillId="0" borderId="0" xfId="0" applyNumberFormat="1" applyFont="1" applyAlignment="1">
      <alignment horizontal="left"/>
    </xf>
    <xf numFmtId="0" fontId="11" fillId="66" borderId="12" xfId="1" applyFont="1" applyFill="1" applyBorder="1" applyAlignment="1">
      <alignment horizontal="center" vertical="center"/>
    </xf>
    <xf numFmtId="0" fontId="11" fillId="66" borderId="5" xfId="1" applyFont="1" applyFill="1" applyBorder="1" applyAlignment="1">
      <alignment horizontal="center" vertical="center"/>
    </xf>
    <xf numFmtId="0" fontId="12" fillId="5" borderId="8" xfId="0" applyFont="1" applyFill="1" applyBorder="1" applyAlignment="1">
      <alignment horizontal="center" vertical="center" wrapText="1"/>
    </xf>
    <xf numFmtId="171" fontId="11" fillId="0" borderId="0" xfId="0" applyNumberFormat="1" applyFont="1" applyAlignment="1">
      <alignment horizontal="left"/>
    </xf>
    <xf numFmtId="0" fontId="28" fillId="67" borderId="48" xfId="0" applyFont="1" applyFill="1" applyBorder="1"/>
    <xf numFmtId="4" fontId="11" fillId="0" borderId="0" xfId="0" applyNumberFormat="1" applyFont="1" applyAlignment="1">
      <alignment horizontal="left"/>
    </xf>
    <xf numFmtId="0" fontId="77" fillId="2" borderId="12" xfId="0" applyFont="1" applyFill="1" applyBorder="1"/>
    <xf numFmtId="0" fontId="77" fillId="2" borderId="11" xfId="0" applyFont="1" applyFill="1" applyBorder="1"/>
    <xf numFmtId="14" fontId="11" fillId="0" borderId="0" xfId="0" applyNumberFormat="1" applyFont="1" applyAlignment="1">
      <alignment horizontal="left"/>
    </xf>
    <xf numFmtId="10" fontId="11" fillId="0" borderId="0" xfId="2" applyNumberFormat="1" applyFont="1" applyAlignment="1">
      <alignment horizontal="left"/>
    </xf>
    <xf numFmtId="0" fontId="12" fillId="0" borderId="0" xfId="0" applyFont="1" applyAlignment="1">
      <alignment horizontal="left" wrapText="1"/>
    </xf>
    <xf numFmtId="0" fontId="12" fillId="0" borderId="0" xfId="43" applyFont="1" applyAlignment="1">
      <alignment horizontal="left"/>
    </xf>
    <xf numFmtId="0" fontId="11" fillId="0" borderId="0" xfId="43" applyFont="1"/>
    <xf numFmtId="0" fontId="11" fillId="0" borderId="0" xfId="43" applyFont="1" applyAlignment="1">
      <alignment horizontal="left"/>
    </xf>
    <xf numFmtId="10" fontId="11" fillId="0" borderId="0" xfId="53" applyNumberFormat="1" applyFont="1" applyAlignment="1">
      <alignment horizontal="left"/>
    </xf>
    <xf numFmtId="172" fontId="11" fillId="0" borderId="0" xfId="2" applyNumberFormat="1" applyFont="1" applyAlignment="1">
      <alignment horizontal="left"/>
    </xf>
    <xf numFmtId="0" fontId="77" fillId="60" borderId="12" xfId="0" applyFont="1" applyFill="1" applyBorder="1"/>
    <xf numFmtId="2" fontId="12" fillId="60" borderId="1" xfId="0" applyNumberFormat="1" applyFont="1" applyFill="1" applyBorder="1" applyAlignment="1">
      <alignment horizontal="left"/>
    </xf>
    <xf numFmtId="0" fontId="12" fillId="60" borderId="0" xfId="0" applyFont="1" applyFill="1" applyAlignment="1">
      <alignment horizontal="left"/>
    </xf>
    <xf numFmtId="0" fontId="12" fillId="60" borderId="5" xfId="0" applyFont="1" applyFill="1" applyBorder="1" applyAlignment="1">
      <alignment horizontal="left"/>
    </xf>
    <xf numFmtId="0" fontId="11" fillId="60" borderId="12" xfId="1" applyFont="1" applyFill="1" applyBorder="1" applyAlignment="1">
      <alignment horizontal="center" vertical="center"/>
    </xf>
    <xf numFmtId="3" fontId="0" fillId="0" borderId="0" xfId="0" applyNumberFormat="1"/>
    <xf numFmtId="4" fontId="11" fillId="0" borderId="0" xfId="2" applyNumberFormat="1" applyFont="1" applyAlignment="1">
      <alignment horizontal="left"/>
    </xf>
    <xf numFmtId="0" fontId="12" fillId="2" borderId="0" xfId="0" applyFont="1" applyFill="1" applyAlignment="1">
      <alignment horizontal="left" vertical="center" wrapText="1"/>
    </xf>
    <xf numFmtId="0" fontId="12" fillId="64" borderId="0" xfId="0" applyFont="1" applyFill="1" applyAlignment="1">
      <alignment horizontal="center" vertical="center" wrapText="1"/>
    </xf>
    <xf numFmtId="0" fontId="12" fillId="4" borderId="0" xfId="0" applyFont="1" applyFill="1" applyAlignment="1">
      <alignment horizontal="left" vertical="center" wrapText="1"/>
    </xf>
    <xf numFmtId="0" fontId="76" fillId="65" borderId="0" xfId="0" applyFont="1" applyFill="1" applyAlignment="1">
      <alignment horizontal="left" vertical="center" wrapText="1"/>
    </xf>
    <xf numFmtId="0" fontId="12" fillId="64" borderId="0" xfId="0" applyFont="1" applyFill="1" applyAlignment="1">
      <alignment horizontal="center" vertical="center"/>
    </xf>
    <xf numFmtId="0" fontId="12" fillId="5" borderId="0" xfId="0" applyFont="1" applyFill="1" applyAlignment="1">
      <alignment horizontal="center" vertical="center" wrapText="1"/>
    </xf>
    <xf numFmtId="0" fontId="52" fillId="65" borderId="0" xfId="0" applyFont="1" applyFill="1" applyAlignment="1">
      <alignment horizontal="center"/>
    </xf>
    <xf numFmtId="0" fontId="52" fillId="65" borderId="0" xfId="0" applyFont="1" applyFill="1" applyAlignment="1">
      <alignment horizontal="center" vertical="center"/>
    </xf>
    <xf numFmtId="0" fontId="75" fillId="0" borderId="0" xfId="0" applyFont="1"/>
    <xf numFmtId="3" fontId="47" fillId="0" borderId="0" xfId="0" applyNumberFormat="1" applyFont="1"/>
    <xf numFmtId="14" fontId="47" fillId="0" borderId="0" xfId="0" applyNumberFormat="1" applyFont="1"/>
    <xf numFmtId="0" fontId="47" fillId="0" borderId="0" xfId="0" applyFont="1" applyAlignment="1">
      <alignment horizontal="center" vertical="center"/>
    </xf>
    <xf numFmtId="10" fontId="47" fillId="0" borderId="0" xfId="53" applyNumberFormat="1" applyFont="1"/>
    <xf numFmtId="14" fontId="0" fillId="0" borderId="0" xfId="0" applyNumberFormat="1"/>
    <xf numFmtId="0" fontId="0" fillId="60" borderId="0" xfId="0" applyFill="1"/>
    <xf numFmtId="2" fontId="0" fillId="0" borderId="0" xfId="0" applyNumberFormat="1"/>
    <xf numFmtId="0" fontId="9" fillId="60" borderId="0" xfId="0" applyFont="1" applyFill="1"/>
    <xf numFmtId="4" fontId="12" fillId="4" borderId="0" xfId="0" applyNumberFormat="1" applyFont="1" applyFill="1" applyAlignment="1">
      <alignment horizontal="left" vertical="center" wrapText="1"/>
    </xf>
    <xf numFmtId="171" fontId="76" fillId="65" borderId="0" xfId="0" applyNumberFormat="1" applyFont="1" applyFill="1" applyAlignment="1">
      <alignment horizontal="left" vertical="center" wrapText="1"/>
    </xf>
    <xf numFmtId="0" fontId="11" fillId="0" borderId="0" xfId="0" quotePrefix="1" applyFont="1" applyAlignment="1">
      <alignment horizontal="left"/>
    </xf>
    <xf numFmtId="0" fontId="47" fillId="0" borderId="0" xfId="0" pivotButton="1" applyFont="1"/>
    <xf numFmtId="0" fontId="2" fillId="0" borderId="48" xfId="0" applyFont="1" applyBorder="1"/>
    <xf numFmtId="4" fontId="11" fillId="60" borderId="0" xfId="0" applyNumberFormat="1" applyFont="1" applyFill="1" applyAlignment="1">
      <alignment horizontal="left"/>
    </xf>
    <xf numFmtId="10" fontId="11" fillId="0" borderId="0" xfId="0" applyNumberFormat="1" applyFont="1" applyAlignment="1">
      <alignment horizontal="left"/>
    </xf>
    <xf numFmtId="0" fontId="47" fillId="0" borderId="0" xfId="0" quotePrefix="1" applyFont="1"/>
    <xf numFmtId="0" fontId="12" fillId="2" borderId="1" xfId="0" applyFont="1" applyFill="1" applyBorder="1" applyAlignment="1">
      <alignment vertical="center"/>
    </xf>
    <xf numFmtId="0" fontId="12" fillId="2" borderId="8" xfId="0" applyFont="1" applyFill="1" applyBorder="1" applyAlignment="1">
      <alignment horizontal="left" vertical="center" wrapText="1"/>
    </xf>
    <xf numFmtId="0" fontId="12" fillId="3" borderId="2" xfId="0" applyFont="1" applyFill="1" applyBorder="1" applyAlignment="1">
      <alignment horizontal="left" vertical="center"/>
    </xf>
    <xf numFmtId="0" fontId="12" fillId="3" borderId="1" xfId="0" applyFont="1" applyFill="1" applyBorder="1" applyAlignment="1">
      <alignment horizontal="left" vertical="center"/>
    </xf>
    <xf numFmtId="0" fontId="12" fillId="3" borderId="10" xfId="0" applyFont="1" applyFill="1" applyBorder="1" applyAlignment="1">
      <alignment horizontal="left"/>
    </xf>
    <xf numFmtId="0" fontId="12" fillId="3" borderId="4" xfId="0" applyFont="1" applyFill="1" applyBorder="1" applyAlignment="1">
      <alignment horizontal="left"/>
    </xf>
    <xf numFmtId="0" fontId="12" fillId="2" borderId="7" xfId="0" applyFont="1" applyFill="1" applyBorder="1" applyAlignment="1">
      <alignment horizontal="left" vertical="center" wrapText="1"/>
    </xf>
    <xf numFmtId="0" fontId="77" fillId="2" borderId="47" xfId="0" applyFont="1" applyFill="1" applyBorder="1"/>
    <xf numFmtId="1" fontId="12" fillId="2" borderId="1" xfId="0" applyNumberFormat="1" applyFont="1" applyFill="1" applyBorder="1" applyAlignment="1">
      <alignment vertical="center"/>
    </xf>
    <xf numFmtId="1" fontId="12" fillId="2" borderId="7" xfId="0" applyNumberFormat="1" applyFont="1" applyFill="1" applyBorder="1" applyAlignment="1">
      <alignment horizontal="left" vertical="center" wrapText="1"/>
    </xf>
    <xf numFmtId="1" fontId="11" fillId="0" borderId="0" xfId="0" applyNumberFormat="1" applyFont="1" applyAlignment="1">
      <alignment horizontal="left"/>
    </xf>
    <xf numFmtId="0" fontId="13" fillId="6" borderId="0" xfId="0" applyFont="1" applyFill="1" applyAlignment="1">
      <alignment horizontal="center"/>
    </xf>
    <xf numFmtId="4" fontId="11" fillId="0" borderId="53" xfId="0" applyNumberFormat="1" applyFont="1" applyBorder="1" applyAlignment="1">
      <alignment horizontal="left"/>
    </xf>
    <xf numFmtId="0" fontId="11" fillId="0" borderId="53" xfId="0" applyFont="1" applyBorder="1" applyAlignment="1">
      <alignment horizontal="left"/>
    </xf>
    <xf numFmtId="3" fontId="2" fillId="0" borderId="48" xfId="0" applyNumberFormat="1" applyFont="1" applyBorder="1"/>
    <xf numFmtId="19" fontId="0" fillId="0" borderId="0" xfId="0" applyNumberFormat="1"/>
    <xf numFmtId="0" fontId="28" fillId="0" borderId="48" xfId="0" applyFont="1" applyBorder="1"/>
    <xf numFmtId="0" fontId="28" fillId="67" borderId="54" xfId="0" applyFont="1" applyFill="1" applyBorder="1"/>
    <xf numFmtId="3" fontId="28" fillId="67" borderId="54" xfId="0" applyNumberFormat="1" applyFont="1" applyFill="1" applyBorder="1"/>
    <xf numFmtId="3" fontId="47" fillId="0" borderId="0" xfId="0" quotePrefix="1"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171" fontId="9" fillId="0" borderId="0" xfId="43" applyNumberFormat="1"/>
    <xf numFmtId="171" fontId="11" fillId="0" borderId="0" xfId="43" applyNumberFormat="1" applyFont="1" applyAlignment="1">
      <alignment horizontal="left"/>
    </xf>
    <xf numFmtId="4" fontId="11" fillId="0" borderId="0" xfId="43" applyNumberFormat="1" applyFont="1" applyAlignment="1">
      <alignment horizontal="left"/>
    </xf>
    <xf numFmtId="170" fontId="11" fillId="0" borderId="0" xfId="43" applyNumberFormat="1" applyFont="1" applyAlignment="1">
      <alignment horizontal="left"/>
    </xf>
    <xf numFmtId="3" fontId="11" fillId="0" borderId="0" xfId="43" applyNumberFormat="1" applyFont="1" applyAlignment="1">
      <alignment horizontal="left"/>
    </xf>
    <xf numFmtId="0" fontId="9" fillId="0" borderId="0" xfId="43"/>
    <xf numFmtId="1" fontId="11" fillId="0" borderId="0" xfId="43" applyNumberFormat="1" applyFont="1" applyAlignment="1">
      <alignment horizontal="left"/>
    </xf>
    <xf numFmtId="1" fontId="77" fillId="2" borderId="47" xfId="0" applyNumberFormat="1" applyFont="1" applyFill="1" applyBorder="1"/>
    <xf numFmtId="1" fontId="77" fillId="2" borderId="12" xfId="0" applyNumberFormat="1" applyFont="1" applyFill="1" applyBorder="1"/>
    <xf numFmtId="1" fontId="12" fillId="3" borderId="2" xfId="0" applyNumberFormat="1" applyFont="1" applyFill="1" applyBorder="1" applyAlignment="1">
      <alignment horizontal="left" vertical="center"/>
    </xf>
    <xf numFmtId="0" fontId="12" fillId="3" borderId="2" xfId="0" applyFont="1" applyFill="1" applyBorder="1" applyAlignment="1">
      <alignment horizontal="left"/>
    </xf>
    <xf numFmtId="1" fontId="12" fillId="3" borderId="10" xfId="0" applyNumberFormat="1" applyFont="1" applyFill="1" applyBorder="1" applyAlignment="1">
      <alignment horizontal="left"/>
    </xf>
    <xf numFmtId="1" fontId="12" fillId="3" borderId="4" xfId="0" applyNumberFormat="1" applyFont="1" applyFill="1" applyBorder="1" applyAlignment="1">
      <alignment horizontal="left"/>
    </xf>
    <xf numFmtId="1" fontId="12" fillId="3" borderId="5" xfId="0" applyNumberFormat="1" applyFont="1" applyFill="1" applyBorder="1" applyAlignment="1">
      <alignment horizontal="left"/>
    </xf>
    <xf numFmtId="0" fontId="12" fillId="2" borderId="12" xfId="0" applyFont="1" applyFill="1" applyBorder="1" applyAlignment="1">
      <alignment vertical="center"/>
    </xf>
    <xf numFmtId="0" fontId="12" fillId="2" borderId="11" xfId="0" applyFont="1" applyFill="1" applyBorder="1" applyAlignment="1">
      <alignment vertical="center"/>
    </xf>
    <xf numFmtId="166" fontId="11" fillId="4" borderId="12" xfId="444" applyNumberFormat="1" applyFont="1" applyFill="1" applyBorder="1"/>
    <xf numFmtId="0" fontId="11" fillId="4" borderId="12" xfId="444" applyFont="1" applyFill="1" applyBorder="1"/>
    <xf numFmtId="0" fontId="11" fillId="4" borderId="11" xfId="444" applyFont="1" applyFill="1" applyBorder="1"/>
    <xf numFmtId="0" fontId="12" fillId="4" borderId="12" xfId="444" applyFont="1" applyFill="1" applyBorder="1"/>
    <xf numFmtId="0" fontId="11" fillId="4" borderId="5" xfId="444" applyFont="1" applyFill="1" applyBorder="1"/>
    <xf numFmtId="0" fontId="12" fillId="4" borderId="6" xfId="0" applyFont="1" applyFill="1" applyBorder="1" applyAlignment="1">
      <alignment horizontal="left" vertical="center" wrapText="1"/>
    </xf>
    <xf numFmtId="0" fontId="11" fillId="66" borderId="5" xfId="444" applyFont="1" applyFill="1" applyBorder="1"/>
    <xf numFmtId="0" fontId="11" fillId="66" borderId="12" xfId="444" applyFont="1" applyFill="1" applyBorder="1" applyAlignment="1">
      <alignment horizontal="center" vertical="center"/>
    </xf>
    <xf numFmtId="0" fontId="11" fillId="66" borderId="5" xfId="444" applyFont="1" applyFill="1" applyBorder="1" applyAlignment="1">
      <alignment horizontal="center" vertical="center"/>
    </xf>
    <xf numFmtId="3" fontId="12" fillId="60" borderId="0" xfId="0" applyNumberFormat="1" applyFont="1" applyFill="1" applyAlignment="1">
      <alignment horizontal="left"/>
    </xf>
    <xf numFmtId="0" fontId="85" fillId="0" borderId="0" xfId="452"/>
    <xf numFmtId="0" fontId="0" fillId="70" borderId="0" xfId="0" applyFill="1"/>
    <xf numFmtId="10" fontId="0" fillId="0" borderId="0" xfId="2" applyNumberFormat="1" applyFont="1"/>
    <xf numFmtId="0" fontId="28" fillId="0" borderId="0" xfId="0" applyFont="1"/>
    <xf numFmtId="10" fontId="0" fillId="0" borderId="0" xfId="0" applyNumberFormat="1"/>
    <xf numFmtId="174" fontId="0" fillId="0" borderId="0" xfId="0" applyNumberFormat="1"/>
    <xf numFmtId="0" fontId="9" fillId="0" borderId="0" xfId="0" quotePrefix="1" applyFont="1"/>
    <xf numFmtId="0" fontId="85" fillId="0" borderId="0" xfId="452" quotePrefix="1"/>
    <xf numFmtId="0" fontId="9" fillId="60" borderId="55" xfId="43" applyFill="1" applyBorder="1"/>
    <xf numFmtId="0" fontId="9" fillId="60" borderId="56" xfId="43" applyFill="1" applyBorder="1"/>
    <xf numFmtId="0" fontId="86" fillId="74" borderId="57" xfId="43" applyFont="1" applyFill="1" applyBorder="1" applyAlignment="1">
      <alignment horizontal="center" vertical="center"/>
    </xf>
    <xf numFmtId="0" fontId="86" fillId="74" borderId="7" xfId="43" applyFont="1" applyFill="1" applyBorder="1" applyAlignment="1">
      <alignment horizontal="center" vertical="center"/>
    </xf>
    <xf numFmtId="0" fontId="86" fillId="74" borderId="58" xfId="43" applyFont="1" applyFill="1" applyBorder="1" applyAlignment="1">
      <alignment horizontal="center" vertical="center"/>
    </xf>
    <xf numFmtId="0" fontId="52" fillId="75" borderId="0" xfId="43" applyFont="1" applyFill="1" applyAlignment="1">
      <alignment horizontal="center" vertical="center"/>
    </xf>
    <xf numFmtId="0" fontId="12" fillId="2" borderId="7" xfId="43" applyFont="1" applyFill="1" applyBorder="1" applyAlignment="1">
      <alignment horizontal="left" vertical="center" wrapText="1"/>
    </xf>
    <xf numFmtId="0" fontId="52" fillId="65" borderId="7" xfId="43" applyFont="1" applyFill="1" applyBorder="1" applyAlignment="1">
      <alignment horizontal="center"/>
    </xf>
    <xf numFmtId="0" fontId="52" fillId="75" borderId="7" xfId="43" applyFont="1" applyFill="1" applyBorder="1" applyAlignment="1">
      <alignment horizontal="center" vertical="center"/>
    </xf>
    <xf numFmtId="0" fontId="9" fillId="0" borderId="7" xfId="43" applyBorder="1"/>
    <xf numFmtId="0" fontId="88" fillId="71" borderId="57" xfId="43" applyFont="1" applyFill="1" applyBorder="1" applyAlignment="1">
      <alignment horizontal="right" vertical="center"/>
    </xf>
    <xf numFmtId="0" fontId="88" fillId="71" borderId="7" xfId="43" applyFont="1" applyFill="1" applyBorder="1" applyAlignment="1">
      <alignment horizontal="right" vertical="center"/>
    </xf>
    <xf numFmtId="0" fontId="89" fillId="71" borderId="7" xfId="43" applyFont="1" applyFill="1" applyBorder="1" applyAlignment="1">
      <alignment horizontal="right" vertical="center"/>
    </xf>
    <xf numFmtId="0" fontId="89" fillId="71" borderId="58" xfId="43" applyFont="1" applyFill="1" applyBorder="1" applyAlignment="1">
      <alignment horizontal="right" vertical="center"/>
    </xf>
    <xf numFmtId="0" fontId="90" fillId="72" borderId="7" xfId="43" applyFont="1" applyFill="1" applyBorder="1" applyAlignment="1">
      <alignment horizontal="left" vertical="center"/>
    </xf>
    <xf numFmtId="175" fontId="90" fillId="72" borderId="7" xfId="453" applyNumberFormat="1" applyFont="1" applyFill="1" applyBorder="1" applyAlignment="1">
      <alignment horizontal="left" vertical="center"/>
    </xf>
    <xf numFmtId="0" fontId="11" fillId="0" borderId="7" xfId="43" applyFont="1" applyBorder="1" applyAlignment="1">
      <alignment horizontal="left"/>
    </xf>
    <xf numFmtId="175" fontId="0" fillId="0" borderId="7" xfId="453" applyNumberFormat="1" applyFont="1" applyBorder="1"/>
    <xf numFmtId="175" fontId="9" fillId="0" borderId="7" xfId="43" applyNumberFormat="1" applyBorder="1"/>
    <xf numFmtId="0" fontId="90" fillId="72" borderId="47" xfId="43" applyFont="1" applyFill="1" applyBorder="1" applyAlignment="1">
      <alignment horizontal="left" vertical="center"/>
    </xf>
    <xf numFmtId="1" fontId="11" fillId="0" borderId="7" xfId="43" applyNumberFormat="1" applyFont="1" applyBorder="1" applyAlignment="1">
      <alignment horizontal="left"/>
    </xf>
    <xf numFmtId="0" fontId="90" fillId="72" borderId="57" xfId="43" applyFont="1" applyFill="1" applyBorder="1" applyAlignment="1">
      <alignment horizontal="left" vertical="center"/>
    </xf>
    <xf numFmtId="4" fontId="90" fillId="72" borderId="7" xfId="43" applyNumberFormat="1" applyFont="1" applyFill="1" applyBorder="1" applyAlignment="1">
      <alignment horizontal="right" vertical="center"/>
    </xf>
    <xf numFmtId="4" fontId="90" fillId="73" borderId="7" xfId="43" applyNumberFormat="1" applyFont="1" applyFill="1" applyBorder="1" applyAlignment="1">
      <alignment horizontal="right" vertical="center"/>
    </xf>
    <xf numFmtId="4" fontId="90" fillId="73" borderId="58" xfId="43" applyNumberFormat="1" applyFont="1" applyFill="1" applyBorder="1" applyAlignment="1">
      <alignment horizontal="right" vertical="center"/>
    </xf>
    <xf numFmtId="0" fontId="90" fillId="76" borderId="7" xfId="43" applyFont="1" applyFill="1" applyBorder="1" applyAlignment="1">
      <alignment horizontal="left" vertical="center"/>
    </xf>
    <xf numFmtId="0" fontId="47" fillId="0" borderId="7" xfId="43" applyFont="1" applyBorder="1"/>
    <xf numFmtId="3" fontId="9" fillId="0" borderId="7" xfId="43" applyNumberFormat="1" applyBorder="1"/>
    <xf numFmtId="0" fontId="52" fillId="65" borderId="0" xfId="43" applyFont="1" applyFill="1" applyAlignment="1">
      <alignment horizontal="center"/>
    </xf>
    <xf numFmtId="0" fontId="47" fillId="0" borderId="0" xfId="43" applyFont="1"/>
    <xf numFmtId="0" fontId="9" fillId="60" borderId="0" xfId="43" applyFill="1"/>
    <xf numFmtId="0" fontId="91" fillId="0" borderId="7" xfId="43" applyFont="1" applyBorder="1"/>
    <xf numFmtId="175" fontId="91" fillId="0" borderId="7" xfId="453" applyNumberFormat="1" applyFont="1" applyBorder="1"/>
    <xf numFmtId="175" fontId="0" fillId="0" borderId="0" xfId="453" applyNumberFormat="1" applyFont="1"/>
    <xf numFmtId="0" fontId="90" fillId="70" borderId="7" xfId="43" applyFont="1" applyFill="1" applyBorder="1" applyAlignment="1">
      <alignment horizontal="left" vertical="center"/>
    </xf>
    <xf numFmtId="175" fontId="90" fillId="70" borderId="7" xfId="453" applyNumberFormat="1" applyFont="1" applyFill="1" applyBorder="1" applyAlignment="1">
      <alignment horizontal="left" vertical="center"/>
    </xf>
    <xf numFmtId="175" fontId="88" fillId="71" borderId="7" xfId="453" applyNumberFormat="1" applyFont="1" applyFill="1" applyBorder="1" applyAlignment="1">
      <alignment horizontal="right" vertical="center"/>
    </xf>
    <xf numFmtId="175" fontId="88" fillId="60" borderId="7" xfId="453" applyNumberFormat="1" applyFont="1" applyFill="1" applyBorder="1" applyAlignment="1">
      <alignment horizontal="right" vertical="center"/>
    </xf>
    <xf numFmtId="175" fontId="9" fillId="0" borderId="0" xfId="43" applyNumberFormat="1"/>
    <xf numFmtId="0" fontId="90" fillId="72" borderId="59" xfId="43" applyFont="1" applyFill="1" applyBorder="1" applyAlignment="1">
      <alignment horizontal="left" vertical="center"/>
    </xf>
    <xf numFmtId="0" fontId="90" fillId="72" borderId="60" xfId="43" applyFont="1" applyFill="1" applyBorder="1" applyAlignment="1">
      <alignment horizontal="left" vertical="center"/>
    </xf>
    <xf numFmtId="4" fontId="90" fillId="72" borderId="60" xfId="43" applyNumberFormat="1" applyFont="1" applyFill="1" applyBorder="1" applyAlignment="1">
      <alignment horizontal="right" vertical="center"/>
    </xf>
    <xf numFmtId="4" fontId="90" fillId="73" borderId="60" xfId="43" applyNumberFormat="1" applyFont="1" applyFill="1" applyBorder="1" applyAlignment="1">
      <alignment horizontal="right" vertical="center"/>
    </xf>
    <xf numFmtId="4" fontId="90" fillId="73" borderId="61" xfId="43" applyNumberFormat="1" applyFont="1" applyFill="1" applyBorder="1" applyAlignment="1">
      <alignment horizontal="right" vertical="center"/>
    </xf>
    <xf numFmtId="175" fontId="9" fillId="0" borderId="7" xfId="453" quotePrefix="1" applyNumberFormat="1" applyFont="1" applyBorder="1"/>
    <xf numFmtId="3" fontId="9" fillId="0" borderId="7" xfId="43" quotePrefix="1" applyNumberFormat="1" applyBorder="1"/>
    <xf numFmtId="10" fontId="47" fillId="0" borderId="0" xfId="2" applyNumberFormat="1" applyFont="1"/>
    <xf numFmtId="4" fontId="47" fillId="0" borderId="0" xfId="0" applyNumberFormat="1" applyFont="1"/>
    <xf numFmtId="2" fontId="11" fillId="0" borderId="0" xfId="0" applyNumberFormat="1" applyFont="1" applyAlignment="1">
      <alignment horizontal="left"/>
    </xf>
    <xf numFmtId="0" fontId="9" fillId="77" borderId="0" xfId="0" applyFont="1" applyFill="1"/>
    <xf numFmtId="0" fontId="90" fillId="77" borderId="0" xfId="0" applyFont="1" applyFill="1" applyAlignment="1">
      <alignment horizontal="left" vertical="center"/>
    </xf>
    <xf numFmtId="0" fontId="0" fillId="77" borderId="0" xfId="0" applyFill="1"/>
    <xf numFmtId="0" fontId="0" fillId="77" borderId="0" xfId="0" applyFill="1" applyAlignment="1">
      <alignment horizontal="left"/>
    </xf>
    <xf numFmtId="3" fontId="0" fillId="77" borderId="0" xfId="0" applyNumberFormat="1" applyFill="1"/>
    <xf numFmtId="0" fontId="0" fillId="77" borderId="0" xfId="0" applyFill="1" applyAlignment="1">
      <alignment horizontal="left" indent="1"/>
    </xf>
    <xf numFmtId="0" fontId="49" fillId="0" borderId="0" xfId="0" applyFont="1"/>
    <xf numFmtId="0" fontId="86" fillId="74" borderId="62" xfId="0" applyFont="1" applyFill="1" applyBorder="1" applyAlignment="1">
      <alignment horizontal="center" vertical="center"/>
    </xf>
    <xf numFmtId="0" fontId="90" fillId="72" borderId="62" xfId="0" applyFont="1" applyFill="1" applyBorder="1" applyAlignment="1">
      <alignment horizontal="left" vertical="center"/>
    </xf>
    <xf numFmtId="0" fontId="90" fillId="72" borderId="62" xfId="0" applyFont="1" applyFill="1" applyBorder="1" applyAlignment="1">
      <alignment horizontal="right" vertical="center"/>
    </xf>
    <xf numFmtId="3" fontId="90" fillId="72" borderId="62" xfId="0" applyNumberFormat="1" applyFont="1" applyFill="1" applyBorder="1" applyAlignment="1">
      <alignment horizontal="right" vertical="center"/>
    </xf>
    <xf numFmtId="3" fontId="90" fillId="73" borderId="62" xfId="0" applyNumberFormat="1" applyFont="1" applyFill="1" applyBorder="1" applyAlignment="1">
      <alignment horizontal="right" vertical="center"/>
    </xf>
    <xf numFmtId="3" fontId="90" fillId="64" borderId="62" xfId="0" applyNumberFormat="1" applyFont="1" applyFill="1" applyBorder="1" applyAlignment="1">
      <alignment horizontal="right" vertical="center"/>
    </xf>
    <xf numFmtId="0" fontId="0" fillId="78" borderId="0" xfId="0" applyFill="1"/>
    <xf numFmtId="0" fontId="90" fillId="0" borderId="62" xfId="0" applyFont="1" applyBorder="1" applyAlignment="1">
      <alignment horizontal="left" vertical="center"/>
    </xf>
    <xf numFmtId="0" fontId="51" fillId="6" borderId="21" xfId="0" applyFont="1" applyFill="1" applyBorder="1" applyAlignment="1">
      <alignment horizontal="left" vertical="top" wrapText="1"/>
    </xf>
    <xf numFmtId="0" fontId="51" fillId="6" borderId="22" xfId="0" applyFont="1" applyFill="1" applyBorder="1" applyAlignment="1">
      <alignment horizontal="left" vertical="top" wrapText="1"/>
    </xf>
    <xf numFmtId="0" fontId="51" fillId="6" borderId="23" xfId="0" applyFont="1" applyFill="1" applyBorder="1" applyAlignment="1">
      <alignment horizontal="left" vertical="top" wrapText="1"/>
    </xf>
    <xf numFmtId="0" fontId="51" fillId="6" borderId="24" xfId="0" applyFont="1" applyFill="1" applyBorder="1" applyAlignment="1">
      <alignment horizontal="left" vertical="top" wrapText="1"/>
    </xf>
    <xf numFmtId="0" fontId="51" fillId="6" borderId="0" xfId="0" applyFont="1" applyFill="1" applyAlignment="1">
      <alignment horizontal="left" vertical="top" wrapText="1"/>
    </xf>
    <xf numFmtId="0" fontId="51" fillId="6" borderId="25" xfId="0" applyFont="1" applyFill="1" applyBorder="1" applyAlignment="1">
      <alignment horizontal="left" vertical="top" wrapText="1"/>
    </xf>
    <xf numFmtId="0" fontId="51" fillId="6" borderId="26" xfId="0" applyFont="1" applyFill="1" applyBorder="1" applyAlignment="1">
      <alignment horizontal="left" vertical="top" wrapText="1"/>
    </xf>
    <xf numFmtId="0" fontId="51" fillId="6" borderId="27" xfId="0" applyFont="1" applyFill="1" applyBorder="1" applyAlignment="1">
      <alignment horizontal="left" vertical="top" wrapText="1"/>
    </xf>
    <xf numFmtId="0" fontId="51" fillId="6" borderId="28" xfId="0" applyFont="1" applyFill="1" applyBorder="1" applyAlignment="1">
      <alignment horizontal="left" vertical="top" wrapText="1"/>
    </xf>
    <xf numFmtId="0" fontId="12" fillId="64" borderId="1" xfId="0" applyFont="1" applyFill="1" applyBorder="1" applyAlignment="1">
      <alignment horizontal="center" vertical="center" wrapText="1"/>
    </xf>
    <xf numFmtId="0" fontId="12" fillId="64" borderId="5" xfId="0" applyFont="1" applyFill="1" applyBorder="1" applyAlignment="1">
      <alignment horizontal="center" vertical="center" wrapText="1"/>
    </xf>
    <xf numFmtId="0" fontId="12" fillId="64" borderId="1" xfId="0" applyFont="1" applyFill="1" applyBorder="1" applyAlignment="1">
      <alignment horizontal="center" vertical="center"/>
    </xf>
    <xf numFmtId="0" fontId="12" fillId="64" borderId="5" xfId="0" applyFont="1" applyFill="1" applyBorder="1" applyAlignment="1">
      <alignment horizontal="center" vertical="center"/>
    </xf>
    <xf numFmtId="0" fontId="91" fillId="70" borderId="47" xfId="43" applyFont="1" applyFill="1" applyBorder="1" applyAlignment="1">
      <alignment horizontal="center"/>
    </xf>
    <xf numFmtId="0" fontId="91" fillId="70" borderId="12" xfId="43" applyFont="1" applyFill="1" applyBorder="1" applyAlignment="1">
      <alignment horizontal="center"/>
    </xf>
    <xf numFmtId="0" fontId="91" fillId="70" borderId="11" xfId="43" applyFont="1" applyFill="1" applyBorder="1" applyAlignment="1">
      <alignment horizontal="center"/>
    </xf>
    <xf numFmtId="0" fontId="0" fillId="0" borderId="0" xfId="0" applyNumberFormat="1"/>
  </cellXfs>
  <cellStyles count="454">
    <cellStyle name="=C:\WINNT35\SYSTEM32\COMMAND.COM" xfId="291" xr:uid="{00000000-0005-0000-0000-000000000000}"/>
    <cellStyle name="=C:\WINNT35\SYSTEM32\COMMAND.COM 2" xfId="288" xr:uid="{00000000-0005-0000-0000-000001000000}"/>
    <cellStyle name="=C:\WINNT35\SYSTEM32\COMMAND.COM_ASW_CCAMA" xfId="292" xr:uid="{00000000-0005-0000-0000-000002000000}"/>
    <cellStyle name="20 % - Accent1" xfId="20" builtinId="30" customBuiltin="1"/>
    <cellStyle name="20 % - Accent1 2" xfId="128" xr:uid="{00000000-0005-0000-0000-000004000000}"/>
    <cellStyle name="20 % - Accent1 2 2" xfId="163" xr:uid="{00000000-0005-0000-0000-000005000000}"/>
    <cellStyle name="20 % - Accent1 2 2 2" xfId="214" xr:uid="{00000000-0005-0000-0000-000006000000}"/>
    <cellStyle name="20 % - Accent1 2 3" xfId="213" xr:uid="{00000000-0005-0000-0000-000007000000}"/>
    <cellStyle name="20 % - Accent1 3" xfId="204" xr:uid="{00000000-0005-0000-0000-000008000000}"/>
    <cellStyle name="20 % - Accent1 3 2" xfId="215" xr:uid="{00000000-0005-0000-0000-000009000000}"/>
    <cellStyle name="20 % - Accent1 4" xfId="347" xr:uid="{00000000-0005-0000-0000-00000A000000}"/>
    <cellStyle name="20 % - Accent2" xfId="24" builtinId="34" customBuiltin="1"/>
    <cellStyle name="20 % - Accent2 2" xfId="127" xr:uid="{00000000-0005-0000-0000-00000C000000}"/>
    <cellStyle name="20 % - Accent2 2 2" xfId="164" xr:uid="{00000000-0005-0000-0000-00000D000000}"/>
    <cellStyle name="20 % - Accent2 2 2 2" xfId="217" xr:uid="{00000000-0005-0000-0000-00000E000000}"/>
    <cellStyle name="20 % - Accent2 2 3" xfId="216" xr:uid="{00000000-0005-0000-0000-00000F000000}"/>
    <cellStyle name="20 % - Accent2 3" xfId="202" xr:uid="{00000000-0005-0000-0000-000010000000}"/>
    <cellStyle name="20 % - Accent2 3 2" xfId="218" xr:uid="{00000000-0005-0000-0000-000011000000}"/>
    <cellStyle name="20 % - Accent2 4" xfId="349" xr:uid="{00000000-0005-0000-0000-000012000000}"/>
    <cellStyle name="20 % - Accent3" xfId="28" builtinId="38" customBuiltin="1"/>
    <cellStyle name="20 % - Accent3 2" xfId="125" xr:uid="{00000000-0005-0000-0000-000014000000}"/>
    <cellStyle name="20 % - Accent3 2 2" xfId="165" xr:uid="{00000000-0005-0000-0000-000015000000}"/>
    <cellStyle name="20 % - Accent3 2 2 2" xfId="220" xr:uid="{00000000-0005-0000-0000-000016000000}"/>
    <cellStyle name="20 % - Accent3 2 3" xfId="219" xr:uid="{00000000-0005-0000-0000-000017000000}"/>
    <cellStyle name="20 % - Accent3 3" xfId="200" xr:uid="{00000000-0005-0000-0000-000018000000}"/>
    <cellStyle name="20 % - Accent3 3 2" xfId="221" xr:uid="{00000000-0005-0000-0000-000019000000}"/>
    <cellStyle name="20 % - Accent3 4" xfId="351" xr:uid="{00000000-0005-0000-0000-00001A000000}"/>
    <cellStyle name="20 % - Accent4" xfId="32" builtinId="42" customBuiltin="1"/>
    <cellStyle name="20 % - Accent4 2" xfId="124" xr:uid="{00000000-0005-0000-0000-00001C000000}"/>
    <cellStyle name="20 % - Accent4 2 2" xfId="166" xr:uid="{00000000-0005-0000-0000-00001D000000}"/>
    <cellStyle name="20 % - Accent4 2 2 2" xfId="223" xr:uid="{00000000-0005-0000-0000-00001E000000}"/>
    <cellStyle name="20 % - Accent4 2 3" xfId="222" xr:uid="{00000000-0005-0000-0000-00001F000000}"/>
    <cellStyle name="20 % - Accent4 3" xfId="198" xr:uid="{00000000-0005-0000-0000-000020000000}"/>
    <cellStyle name="20 % - Accent4 3 2" xfId="224" xr:uid="{00000000-0005-0000-0000-000021000000}"/>
    <cellStyle name="20 % - Accent4 4" xfId="353" xr:uid="{00000000-0005-0000-0000-000022000000}"/>
    <cellStyle name="20 % - Accent5" xfId="36" builtinId="46" customBuiltin="1"/>
    <cellStyle name="20 % - Accent5 2" xfId="131" xr:uid="{00000000-0005-0000-0000-000024000000}"/>
    <cellStyle name="20 % - Accent5 2 2" xfId="167" xr:uid="{00000000-0005-0000-0000-000025000000}"/>
    <cellStyle name="20 % - Accent5 2 2 2" xfId="226" xr:uid="{00000000-0005-0000-0000-000026000000}"/>
    <cellStyle name="20 % - Accent5 2 3" xfId="225" xr:uid="{00000000-0005-0000-0000-000027000000}"/>
    <cellStyle name="20 % - Accent5 3" xfId="196" xr:uid="{00000000-0005-0000-0000-000028000000}"/>
    <cellStyle name="20 % - Accent5 3 2" xfId="227" xr:uid="{00000000-0005-0000-0000-000029000000}"/>
    <cellStyle name="20 % - Accent5 4" xfId="355" xr:uid="{00000000-0005-0000-0000-00002A000000}"/>
    <cellStyle name="20 % - Accent6" xfId="40" builtinId="50" customBuiltin="1"/>
    <cellStyle name="20 % - Accent6 2" xfId="133" xr:uid="{00000000-0005-0000-0000-00002C000000}"/>
    <cellStyle name="20 % - Accent6 2 2" xfId="168" xr:uid="{00000000-0005-0000-0000-00002D000000}"/>
    <cellStyle name="20 % - Accent6 2 2 2" xfId="229" xr:uid="{00000000-0005-0000-0000-00002E000000}"/>
    <cellStyle name="20 % - Accent6 2 3" xfId="228" xr:uid="{00000000-0005-0000-0000-00002F000000}"/>
    <cellStyle name="20 % - Accent6 3" xfId="194" xr:uid="{00000000-0005-0000-0000-000030000000}"/>
    <cellStyle name="20 % - Accent6 3 2" xfId="230" xr:uid="{00000000-0005-0000-0000-000031000000}"/>
    <cellStyle name="20 % - Accent6 4" xfId="357" xr:uid="{00000000-0005-0000-0000-000032000000}"/>
    <cellStyle name="20% - 1. jelölőszín" xfId="293" xr:uid="{00000000-0005-0000-0000-000033000000}"/>
    <cellStyle name="20% - 2. jelölőszín" xfId="208" xr:uid="{00000000-0005-0000-0000-000034000000}"/>
    <cellStyle name="20% - 3. jelölőszín" xfId="334" xr:uid="{00000000-0005-0000-0000-000035000000}"/>
    <cellStyle name="20% - 4. jelölőszín" xfId="294" xr:uid="{00000000-0005-0000-0000-000036000000}"/>
    <cellStyle name="20% - 5. jelölőszín" xfId="336" xr:uid="{00000000-0005-0000-0000-000037000000}"/>
    <cellStyle name="20% - 6. jelölőszín" xfId="295" xr:uid="{00000000-0005-0000-0000-000038000000}"/>
    <cellStyle name="20% - Accent1" xfId="87" xr:uid="{00000000-0005-0000-0000-000039000000}"/>
    <cellStyle name="20% - Accent1 2" xfId="363" xr:uid="{00000000-0005-0000-0000-00003A000000}"/>
    <cellStyle name="20% - Accent1_Feuil3" xfId="391" xr:uid="{F5A4597C-73E7-4CE8-8CC4-1104C72303C3}"/>
    <cellStyle name="20% - Accent2" xfId="75" xr:uid="{00000000-0005-0000-0000-00003B000000}"/>
    <cellStyle name="20% - Accent2 2" xfId="364" xr:uid="{00000000-0005-0000-0000-00003C000000}"/>
    <cellStyle name="20% - Accent2_Feuil3" xfId="392" xr:uid="{0527DD51-86A6-471B-AA0D-91BEC4B0D84C}"/>
    <cellStyle name="20% - Accent3" xfId="72" xr:uid="{00000000-0005-0000-0000-00003D000000}"/>
    <cellStyle name="20% - Accent3 2" xfId="365" xr:uid="{00000000-0005-0000-0000-00003E000000}"/>
    <cellStyle name="20% - Accent3_Feuil3" xfId="393" xr:uid="{B9CDBF9F-77B6-4FFC-B319-EAC29DDB4B45}"/>
    <cellStyle name="20% - Accent4" xfId="74" xr:uid="{00000000-0005-0000-0000-00003F000000}"/>
    <cellStyle name="20% - Accent4 2" xfId="366" xr:uid="{00000000-0005-0000-0000-000040000000}"/>
    <cellStyle name="20% - Accent4_Feuil3" xfId="394" xr:uid="{AC03C30E-270B-4068-B023-4D19B5B4FB64}"/>
    <cellStyle name="20% - Accent5" xfId="77" xr:uid="{00000000-0005-0000-0000-000041000000}"/>
    <cellStyle name="20% - Accent5 2" xfId="367" xr:uid="{00000000-0005-0000-0000-000042000000}"/>
    <cellStyle name="20% - Accent5_Feuil3" xfId="395" xr:uid="{07F26DB4-78B4-4AEC-98C6-FFCF14142291}"/>
    <cellStyle name="20% - Accent6" xfId="91" xr:uid="{00000000-0005-0000-0000-000043000000}"/>
    <cellStyle name="20% - Accent6 2" xfId="368" xr:uid="{00000000-0005-0000-0000-000044000000}"/>
    <cellStyle name="20% - Accent6 3" xfId="413" xr:uid="{AC1EAC52-8AC3-41A1-9C98-C5F8162F4D0A}"/>
    <cellStyle name="20% - Accent6_Feuil3" xfId="396" xr:uid="{02F5CF23-9040-4431-A485-464AD3475898}"/>
    <cellStyle name="40 % - Accent1" xfId="21" builtinId="31" customBuiltin="1"/>
    <cellStyle name="40 % - Accent1 2" xfId="132" xr:uid="{00000000-0005-0000-0000-000046000000}"/>
    <cellStyle name="40 % - Accent1 2 2" xfId="169" xr:uid="{00000000-0005-0000-0000-000047000000}"/>
    <cellStyle name="40 % - Accent1 2 2 2" xfId="232" xr:uid="{00000000-0005-0000-0000-000048000000}"/>
    <cellStyle name="40 % - Accent1 2 3" xfId="231" xr:uid="{00000000-0005-0000-0000-000049000000}"/>
    <cellStyle name="40 % - Accent1 3" xfId="203" xr:uid="{00000000-0005-0000-0000-00004A000000}"/>
    <cellStyle name="40 % - Accent1 3 2" xfId="233" xr:uid="{00000000-0005-0000-0000-00004B000000}"/>
    <cellStyle name="40 % - Accent1 4" xfId="348" xr:uid="{00000000-0005-0000-0000-00004C000000}"/>
    <cellStyle name="40 % - Accent2" xfId="25" builtinId="35" customBuiltin="1"/>
    <cellStyle name="40 % - Accent2 2" xfId="123" xr:uid="{00000000-0005-0000-0000-00004E000000}"/>
    <cellStyle name="40 % - Accent2 2 2" xfId="170" xr:uid="{00000000-0005-0000-0000-00004F000000}"/>
    <cellStyle name="40 % - Accent2 2 2 2" xfId="235" xr:uid="{00000000-0005-0000-0000-000050000000}"/>
    <cellStyle name="40 % - Accent2 2 3" xfId="234" xr:uid="{00000000-0005-0000-0000-000051000000}"/>
    <cellStyle name="40 % - Accent2 3" xfId="201" xr:uid="{00000000-0005-0000-0000-000052000000}"/>
    <cellStyle name="40 % - Accent2 3 2" xfId="236" xr:uid="{00000000-0005-0000-0000-000053000000}"/>
    <cellStyle name="40 % - Accent2 4" xfId="350" xr:uid="{00000000-0005-0000-0000-000054000000}"/>
    <cellStyle name="40 % - Accent3" xfId="29" builtinId="39" customBuiltin="1"/>
    <cellStyle name="40 % - Accent3 2" xfId="122" xr:uid="{00000000-0005-0000-0000-000056000000}"/>
    <cellStyle name="40 % - Accent3 2 2" xfId="171" xr:uid="{00000000-0005-0000-0000-000057000000}"/>
    <cellStyle name="40 % - Accent3 2 2 2" xfId="238" xr:uid="{00000000-0005-0000-0000-000058000000}"/>
    <cellStyle name="40 % - Accent3 2 3" xfId="237" xr:uid="{00000000-0005-0000-0000-000059000000}"/>
    <cellStyle name="40 % - Accent3 3" xfId="199" xr:uid="{00000000-0005-0000-0000-00005A000000}"/>
    <cellStyle name="40 % - Accent3 3 2" xfId="239" xr:uid="{00000000-0005-0000-0000-00005B000000}"/>
    <cellStyle name="40 % - Accent3 4" xfId="352" xr:uid="{00000000-0005-0000-0000-00005C000000}"/>
    <cellStyle name="40 % - Accent4" xfId="33" builtinId="43" customBuiltin="1"/>
    <cellStyle name="40 % - Accent4 2" xfId="121" xr:uid="{00000000-0005-0000-0000-00005E000000}"/>
    <cellStyle name="40 % - Accent4 2 2" xfId="172" xr:uid="{00000000-0005-0000-0000-00005F000000}"/>
    <cellStyle name="40 % - Accent4 2 2 2" xfId="241" xr:uid="{00000000-0005-0000-0000-000060000000}"/>
    <cellStyle name="40 % - Accent4 2 3" xfId="240" xr:uid="{00000000-0005-0000-0000-000061000000}"/>
    <cellStyle name="40 % - Accent4 3" xfId="197" xr:uid="{00000000-0005-0000-0000-000062000000}"/>
    <cellStyle name="40 % - Accent4 3 2" xfId="242" xr:uid="{00000000-0005-0000-0000-000063000000}"/>
    <cellStyle name="40 % - Accent4 4" xfId="354" xr:uid="{00000000-0005-0000-0000-000064000000}"/>
    <cellStyle name="40 % - Accent5" xfId="37" builtinId="47" customBuiltin="1"/>
    <cellStyle name="40 % - Accent5 2" xfId="120" xr:uid="{00000000-0005-0000-0000-000066000000}"/>
    <cellStyle name="40 % - Accent5 2 2" xfId="173" xr:uid="{00000000-0005-0000-0000-000067000000}"/>
    <cellStyle name="40 % - Accent5 2 2 2" xfId="244" xr:uid="{00000000-0005-0000-0000-000068000000}"/>
    <cellStyle name="40 % - Accent5 2 3" xfId="243" xr:uid="{00000000-0005-0000-0000-000069000000}"/>
    <cellStyle name="40 % - Accent5 3" xfId="195" xr:uid="{00000000-0005-0000-0000-00006A000000}"/>
    <cellStyle name="40 % - Accent5 3 2" xfId="245" xr:uid="{00000000-0005-0000-0000-00006B000000}"/>
    <cellStyle name="40 % - Accent5 4" xfId="356" xr:uid="{00000000-0005-0000-0000-00006C000000}"/>
    <cellStyle name="40 % - Accent6" xfId="41" builtinId="51" customBuiltin="1"/>
    <cellStyle name="40 % - Accent6 2" xfId="119" xr:uid="{00000000-0005-0000-0000-00006E000000}"/>
    <cellStyle name="40 % - Accent6 2 2" xfId="174" xr:uid="{00000000-0005-0000-0000-00006F000000}"/>
    <cellStyle name="40 % - Accent6 2 2 2" xfId="247" xr:uid="{00000000-0005-0000-0000-000070000000}"/>
    <cellStyle name="40 % - Accent6 2 3" xfId="246" xr:uid="{00000000-0005-0000-0000-000071000000}"/>
    <cellStyle name="40 % - Accent6 3" xfId="193" xr:uid="{00000000-0005-0000-0000-000072000000}"/>
    <cellStyle name="40 % - Accent6 3 2" xfId="248" xr:uid="{00000000-0005-0000-0000-000073000000}"/>
    <cellStyle name="40 % - Accent6 4" xfId="358" xr:uid="{00000000-0005-0000-0000-000074000000}"/>
    <cellStyle name="40% - 1. jelölőszín" xfId="296" xr:uid="{00000000-0005-0000-0000-000075000000}"/>
    <cellStyle name="40% - 2. jelölőszín" xfId="209" xr:uid="{00000000-0005-0000-0000-000076000000}"/>
    <cellStyle name="40% - 3. jelölőszín" xfId="269" xr:uid="{00000000-0005-0000-0000-000077000000}"/>
    <cellStyle name="40% - 4. jelölőszín" xfId="297" xr:uid="{00000000-0005-0000-0000-000078000000}"/>
    <cellStyle name="40% - 5. jelölőszín" xfId="301" xr:uid="{00000000-0005-0000-0000-000079000000}"/>
    <cellStyle name="40% - 6. jelölőszín" xfId="302" xr:uid="{00000000-0005-0000-0000-00007A000000}"/>
    <cellStyle name="40% - Accent1" xfId="79" xr:uid="{00000000-0005-0000-0000-00007B000000}"/>
    <cellStyle name="40% - Accent1 2" xfId="414" xr:uid="{3E9BCE95-E418-47CF-87CD-7914A7657E28}"/>
    <cellStyle name="40% - Accent2" xfId="95" xr:uid="{00000000-0005-0000-0000-00007C000000}"/>
    <cellStyle name="40% - Accent2 2" xfId="369" xr:uid="{00000000-0005-0000-0000-00007D000000}"/>
    <cellStyle name="40% - Accent2 3" xfId="415" xr:uid="{7513A416-5422-4EC8-A65B-0CB6DAC93669}"/>
    <cellStyle name="40% - Accent2_Feuil3" xfId="397" xr:uid="{AE5F809B-AA7C-4135-91DE-703389F5946E}"/>
    <cellStyle name="40% - Accent3" xfId="106" xr:uid="{00000000-0005-0000-0000-00007E000000}"/>
    <cellStyle name="40% - Accent3 2" xfId="370" xr:uid="{00000000-0005-0000-0000-00007F000000}"/>
    <cellStyle name="40% - Accent3 3" xfId="416" xr:uid="{80167CF6-8BDA-47D1-AF8C-B7537ACEF503}"/>
    <cellStyle name="40% - Accent3_Feuil3" xfId="398" xr:uid="{8373735B-0044-444A-BE3B-5DCEAF457019}"/>
    <cellStyle name="40% - Accent4" xfId="78" xr:uid="{00000000-0005-0000-0000-000080000000}"/>
    <cellStyle name="40% - Accent4 2" xfId="371" xr:uid="{00000000-0005-0000-0000-000081000000}"/>
    <cellStyle name="40% - Accent4 3" xfId="417" xr:uid="{8200CCEF-2A9C-4074-9C88-D50C3744CFBA}"/>
    <cellStyle name="40% - Accent4_Feuil3" xfId="399" xr:uid="{297189BC-EBB7-4337-A36F-E81CEFA47BDE}"/>
    <cellStyle name="40% - Accent5" xfId="73" xr:uid="{00000000-0005-0000-0000-000082000000}"/>
    <cellStyle name="40% - Accent5 2" xfId="418" xr:uid="{A7F11E62-48B4-4F33-83F2-5B9A55A73B75}"/>
    <cellStyle name="40% - Accent6" xfId="103" xr:uid="{00000000-0005-0000-0000-000083000000}"/>
    <cellStyle name="40% - Accent6 2" xfId="372" xr:uid="{00000000-0005-0000-0000-000084000000}"/>
    <cellStyle name="40% - Accent6 3" xfId="419" xr:uid="{BE6248E6-0208-4813-9EE0-46382A59F3EA}"/>
    <cellStyle name="40% - Accent6_Feuil3" xfId="400" xr:uid="{B5D345E5-D046-4A95-B599-1CF852498247}"/>
    <cellStyle name="60 % - Accent1" xfId="22" builtinId="32" customBuiltin="1"/>
    <cellStyle name="60 % - Accent2" xfId="26" builtinId="36" customBuiltin="1"/>
    <cellStyle name="60 % - Accent3" xfId="30" builtinId="40" customBuiltin="1"/>
    <cellStyle name="60 % - Accent4" xfId="34" builtinId="44" customBuiltin="1"/>
    <cellStyle name="60 % - Accent5" xfId="38" builtinId="48" customBuiltin="1"/>
    <cellStyle name="60 % - Accent6" xfId="42" builtinId="52" customBuiltin="1"/>
    <cellStyle name="60% - 1. jelölőszín" xfId="339" xr:uid="{00000000-0005-0000-0000-00008B000000}"/>
    <cellStyle name="60% - 2. jelölőszín" xfId="303" xr:uid="{00000000-0005-0000-0000-00008C000000}"/>
    <cellStyle name="60% - 3. jelölőszín" xfId="304" xr:uid="{00000000-0005-0000-0000-00008D000000}"/>
    <cellStyle name="60% - 4. jelölőszín" xfId="305" xr:uid="{00000000-0005-0000-0000-00008E000000}"/>
    <cellStyle name="60% - 5. jelölőszín" xfId="306" xr:uid="{00000000-0005-0000-0000-00008F000000}"/>
    <cellStyle name="60% - 6. jelölőszín" xfId="307" xr:uid="{00000000-0005-0000-0000-000090000000}"/>
    <cellStyle name="60% - Accent1" xfId="82" xr:uid="{00000000-0005-0000-0000-000091000000}"/>
    <cellStyle name="60% - Accent1 2" xfId="373" xr:uid="{00000000-0005-0000-0000-000092000000}"/>
    <cellStyle name="60% - Accent1 3" xfId="420" xr:uid="{AD4D81DE-7245-49A3-AD2B-55774C7C2D8A}"/>
    <cellStyle name="60% - Accent1_Feuil3" xfId="401" xr:uid="{15787C4E-630F-413A-92E9-AFC457610C30}"/>
    <cellStyle name="60% - Accent2" xfId="76" xr:uid="{00000000-0005-0000-0000-000093000000}"/>
    <cellStyle name="60% - Accent2 2" xfId="374" xr:uid="{00000000-0005-0000-0000-000094000000}"/>
    <cellStyle name="60% - Accent2 3" xfId="421" xr:uid="{FDF213E0-168B-4606-B25D-3F49D73291F8}"/>
    <cellStyle name="60% - Accent2_Feuil3" xfId="402" xr:uid="{C5DCEC8E-6F68-4C23-82C7-FA2F9B9DA04D}"/>
    <cellStyle name="60% - Accent3" xfId="83" xr:uid="{00000000-0005-0000-0000-000095000000}"/>
    <cellStyle name="60% - Accent3 2" xfId="375" xr:uid="{00000000-0005-0000-0000-000096000000}"/>
    <cellStyle name="60% - Accent3 3" xfId="422" xr:uid="{7DCBB1F1-F3FF-4C8A-9ED5-013362FAD17C}"/>
    <cellStyle name="60% - Accent3_Feuil3" xfId="403" xr:uid="{D5D17E45-C037-43C3-AE3C-3EB2F1748CAC}"/>
    <cellStyle name="60% - Accent4" xfId="80" xr:uid="{00000000-0005-0000-0000-000097000000}"/>
    <cellStyle name="60% - Accent4 2" xfId="376" xr:uid="{00000000-0005-0000-0000-000098000000}"/>
    <cellStyle name="60% - Accent4 3" xfId="423" xr:uid="{8E993EED-8C91-49E6-99F6-1E156FE5E801}"/>
    <cellStyle name="60% - Accent4_Feuil3" xfId="404" xr:uid="{78762BE3-0D0A-4D62-B698-7B5EAAA66AF6}"/>
    <cellStyle name="60% - Accent5" xfId="99" xr:uid="{00000000-0005-0000-0000-000099000000}"/>
    <cellStyle name="60% - Accent5 2" xfId="424" xr:uid="{CD2D89E7-A538-4420-9C55-0077167FC6F2}"/>
    <cellStyle name="60% - Accent6" xfId="108" xr:uid="{00000000-0005-0000-0000-00009A000000}"/>
    <cellStyle name="60% - Accent6 2" xfId="377" xr:uid="{00000000-0005-0000-0000-00009B000000}"/>
    <cellStyle name="60% - Accent6 3" xfId="425" xr:uid="{510C4F19-5878-48F2-B275-691FE35996DB}"/>
    <cellStyle name="60% - Accent6_Feuil3" xfId="405" xr:uid="{5B92945B-ACA4-4B3D-BF19-AE71B4423B0C}"/>
    <cellStyle name="Accent1" xfId="19" builtinId="29" customBuiltin="1"/>
    <cellStyle name="Accent1 2" xfId="113" xr:uid="{00000000-0005-0000-0000-00009D000000}"/>
    <cellStyle name="Accent1 3" xfId="378" xr:uid="{00000000-0005-0000-0000-00009E000000}"/>
    <cellStyle name="Accent1 4" xfId="426" xr:uid="{224C9491-7CE3-4D56-86AC-683E017012E4}"/>
    <cellStyle name="Accent2" xfId="23" builtinId="33" customBuiltin="1"/>
    <cellStyle name="Accent2 2" xfId="105" xr:uid="{00000000-0005-0000-0000-0000A0000000}"/>
    <cellStyle name="Accent2 3" xfId="379" xr:uid="{00000000-0005-0000-0000-0000A1000000}"/>
    <cellStyle name="Accent2 4" xfId="427" xr:uid="{7F0DAD68-B9CD-44EB-B440-C661A336E3E0}"/>
    <cellStyle name="Accent3" xfId="27" builtinId="37" customBuiltin="1"/>
    <cellStyle name="Accent3 2" xfId="85" xr:uid="{00000000-0005-0000-0000-0000A3000000}"/>
    <cellStyle name="Accent3 3" xfId="380" xr:uid="{00000000-0005-0000-0000-0000A4000000}"/>
    <cellStyle name="Accent3 4" xfId="428" xr:uid="{32CD995A-CD2D-405E-B7D5-51661546C292}"/>
    <cellStyle name="Accent4" xfId="31" builtinId="41" customBuiltin="1"/>
    <cellStyle name="Accent4 2" xfId="86" xr:uid="{00000000-0005-0000-0000-0000A6000000}"/>
    <cellStyle name="Accent4 3" xfId="381" xr:uid="{00000000-0005-0000-0000-0000A7000000}"/>
    <cellStyle name="Accent4 4" xfId="429" xr:uid="{023F7AC5-1598-4A43-901E-0C7DEC170AEA}"/>
    <cellStyle name="Accent5" xfId="35" builtinId="45" customBuiltin="1"/>
    <cellStyle name="Accent5 2" xfId="96" xr:uid="{00000000-0005-0000-0000-0000A9000000}"/>
    <cellStyle name="Accent5 3" xfId="382" xr:uid="{00000000-0005-0000-0000-0000AA000000}"/>
    <cellStyle name="Accent5 4" xfId="430" xr:uid="{85E0C9C9-708E-4B49-93C0-BD32F665D75F}"/>
    <cellStyle name="Accent6" xfId="39" builtinId="49" customBuiltin="1"/>
    <cellStyle name="Accent6 2" xfId="84" xr:uid="{00000000-0005-0000-0000-0000AC000000}"/>
    <cellStyle name="Accent6 3" xfId="383" xr:uid="{00000000-0005-0000-0000-0000AD000000}"/>
    <cellStyle name="Accent6 4" xfId="431" xr:uid="{C76575FA-DA8F-4A55-AC94-0C6B414F33E5}"/>
    <cellStyle name="Avertissement" xfId="16" builtinId="11" customBuiltin="1"/>
    <cellStyle name="Bad" xfId="94" xr:uid="{00000000-0005-0000-0000-0000AF000000}"/>
    <cellStyle name="Bad 2" xfId="432" xr:uid="{A1DB09D0-5D1C-4BD3-A56E-414981A9DAC8}"/>
    <cellStyle name="Bevitel" xfId="308" xr:uid="{00000000-0005-0000-0000-0000B0000000}"/>
    <cellStyle name="blp_column_header" xfId="451" xr:uid="{749E5770-BFEE-4E2A-9898-BB7BAC8AABA6}"/>
    <cellStyle name="Calcul" xfId="13" builtinId="22" customBuiltin="1"/>
    <cellStyle name="Calculation" xfId="97" xr:uid="{00000000-0005-0000-0000-0000B2000000}"/>
    <cellStyle name="Calculation 2" xfId="433" xr:uid="{1A8ECC52-A85A-4327-B14B-FF82A6FCF720}"/>
    <cellStyle name="Cellule liée" xfId="14" builtinId="24" customBuiltin="1"/>
    <cellStyle name="Check Cell" xfId="93" xr:uid="{00000000-0005-0000-0000-0000B4000000}"/>
    <cellStyle name="Check Cell 2" xfId="434" xr:uid="{CF74AAC1-03B4-4AF0-BC14-994CB5E5F113}"/>
    <cellStyle name="Cím" xfId="309" xr:uid="{00000000-0005-0000-0000-0000B5000000}"/>
    <cellStyle name="Címsor 1" xfId="340" xr:uid="{00000000-0005-0000-0000-0000B6000000}"/>
    <cellStyle name="Címsor 2" xfId="310" xr:uid="{00000000-0005-0000-0000-0000B7000000}"/>
    <cellStyle name="Címsor 3" xfId="311" xr:uid="{00000000-0005-0000-0000-0000B8000000}"/>
    <cellStyle name="Címsor 4" xfId="312" xr:uid="{00000000-0005-0000-0000-0000B9000000}"/>
    <cellStyle name="Comma 2" xfId="71" xr:uid="{00000000-0005-0000-0000-0000BA000000}"/>
    <cellStyle name="Comma 2 2" xfId="155" xr:uid="{00000000-0005-0000-0000-0000BB000000}"/>
    <cellStyle name="Comma 2 2 2" xfId="176" xr:uid="{00000000-0005-0000-0000-0000BC000000}"/>
    <cellStyle name="Comma 2 2 2 2" xfId="251" xr:uid="{00000000-0005-0000-0000-0000BD000000}"/>
    <cellStyle name="Comma 2 2 3" xfId="250" xr:uid="{00000000-0005-0000-0000-0000BE000000}"/>
    <cellStyle name="Comma 2 3" xfId="175" xr:uid="{00000000-0005-0000-0000-0000BF000000}"/>
    <cellStyle name="Comma 2 3 2" xfId="252" xr:uid="{00000000-0005-0000-0000-0000C0000000}"/>
    <cellStyle name="Comma 2 4" xfId="249" xr:uid="{00000000-0005-0000-0000-0000C1000000}"/>
    <cellStyle name="Commentaire 2" xfId="81" xr:uid="{00000000-0005-0000-0000-0000C2000000}"/>
    <cellStyle name="Commentaire 2 2" xfId="156" xr:uid="{00000000-0005-0000-0000-0000C3000000}"/>
    <cellStyle name="Commentaire 2 2 2" xfId="178" xr:uid="{00000000-0005-0000-0000-0000C4000000}"/>
    <cellStyle name="Commentaire 2 2 2 2" xfId="255" xr:uid="{00000000-0005-0000-0000-0000C5000000}"/>
    <cellStyle name="Commentaire 2 2 3" xfId="254" xr:uid="{00000000-0005-0000-0000-0000C6000000}"/>
    <cellStyle name="Commentaire 2 3" xfId="177" xr:uid="{00000000-0005-0000-0000-0000C7000000}"/>
    <cellStyle name="Commentaire 2 3 2" xfId="256" xr:uid="{00000000-0005-0000-0000-0000C8000000}"/>
    <cellStyle name="Commentaire 2 4" xfId="253" xr:uid="{00000000-0005-0000-0000-0000C9000000}"/>
    <cellStyle name="Commentaire 3" xfId="205" xr:uid="{00000000-0005-0000-0000-0000CA000000}"/>
    <cellStyle name="Commentaire 3 2" xfId="257" xr:uid="{00000000-0005-0000-0000-0000CB000000}"/>
    <cellStyle name="Commentaire 4" xfId="346" xr:uid="{00000000-0005-0000-0000-0000CC000000}"/>
    <cellStyle name="Data" xfId="313" xr:uid="{00000000-0005-0000-0000-0000CD000000}"/>
    <cellStyle name="Ellenőrzőcella" xfId="314" xr:uid="{00000000-0005-0000-0000-0000CE000000}"/>
    <cellStyle name="Entrée" xfId="11" builtinId="20" customBuiltin="1"/>
    <cellStyle name="Euro" xfId="315" xr:uid="{00000000-0005-0000-0000-0000D0000000}"/>
    <cellStyle name="Euro 2" xfId="316" xr:uid="{00000000-0005-0000-0000-0000D1000000}"/>
    <cellStyle name="Explanatory Text" xfId="107" xr:uid="{00000000-0005-0000-0000-0000D2000000}"/>
    <cellStyle name="Explanatory Text 2" xfId="435" xr:uid="{31062A02-CBA0-41DD-ACC7-7E8CC58D7952}"/>
    <cellStyle name="Ezres_SZAV96" xfId="317" xr:uid="{00000000-0005-0000-0000-0000D3000000}"/>
    <cellStyle name="Figyelmeztetés" xfId="318" xr:uid="{00000000-0005-0000-0000-0000D4000000}"/>
    <cellStyle name="Good" xfId="88" xr:uid="{00000000-0005-0000-0000-0000D5000000}"/>
    <cellStyle name="Good 2" xfId="436" xr:uid="{B529BB5B-155F-4099-A07F-6E20B2F805F9}"/>
    <cellStyle name="Header" xfId="319" xr:uid="{00000000-0005-0000-0000-0000D6000000}"/>
    <cellStyle name="Heading 1" xfId="102" xr:uid="{00000000-0005-0000-0000-0000D7000000}"/>
    <cellStyle name="Heading 1 2" xfId="384" xr:uid="{00000000-0005-0000-0000-0000D8000000}"/>
    <cellStyle name="Heading 1 3" xfId="437" xr:uid="{D6AB2940-3613-446D-9D70-AA70F286A417}"/>
    <cellStyle name="Heading 1_Feuil3" xfId="406" xr:uid="{FD53EE24-9C02-48D3-9082-ADEAF0AB1938}"/>
    <cellStyle name="Heading 2" xfId="89" xr:uid="{00000000-0005-0000-0000-0000D9000000}"/>
    <cellStyle name="Heading 2 2" xfId="385" xr:uid="{00000000-0005-0000-0000-0000DA000000}"/>
    <cellStyle name="Heading 2 3" xfId="438" xr:uid="{F3AF0F60-D414-459D-B19B-9277A9CC2354}"/>
    <cellStyle name="Heading 2_Feuil3" xfId="407" xr:uid="{8B53B18F-26CD-4AB5-8DAD-BC081810F708}"/>
    <cellStyle name="Heading 3" xfId="92" xr:uid="{00000000-0005-0000-0000-0000DB000000}"/>
    <cellStyle name="Heading 3 2" xfId="386" xr:uid="{00000000-0005-0000-0000-0000DC000000}"/>
    <cellStyle name="Heading 3 3" xfId="439" xr:uid="{65DC949C-7E82-44F6-B461-0C208AF908CE}"/>
    <cellStyle name="Heading 3_Feuil3" xfId="408" xr:uid="{CEE0BE88-84A3-4197-9E18-EE0742BFEBF1}"/>
    <cellStyle name="Heading 4" xfId="109" xr:uid="{00000000-0005-0000-0000-0000DD000000}"/>
    <cellStyle name="Heading 4 2" xfId="387" xr:uid="{00000000-0005-0000-0000-0000DE000000}"/>
    <cellStyle name="Heading 4 3" xfId="440" xr:uid="{8F038813-6007-4CE8-B19A-A9CB84B67A91}"/>
    <cellStyle name="Heading 4_Feuil3" xfId="409" xr:uid="{A973DC90-12A9-4737-ACD3-C7C0B1E3DD0B}"/>
    <cellStyle name="Hivatkozott cella" xfId="335" xr:uid="{00000000-0005-0000-0000-0000DF000000}"/>
    <cellStyle name="Input" xfId="98" xr:uid="{00000000-0005-0000-0000-0000E0000000}"/>
    <cellStyle name="Input 2" xfId="441" xr:uid="{17763DB9-D772-4635-BC33-0C722E308FD9}"/>
    <cellStyle name="Insatisfaisant" xfId="9" builtinId="27" customBuiltin="1"/>
    <cellStyle name="Jegyzet" xfId="320" xr:uid="{00000000-0005-0000-0000-0000E2000000}"/>
    <cellStyle name="Jelölőszín (1)" xfId="321" xr:uid="{00000000-0005-0000-0000-0000E3000000}"/>
    <cellStyle name="Jelölőszín (2)" xfId="322" xr:uid="{00000000-0005-0000-0000-0000E4000000}"/>
    <cellStyle name="Jelölőszín (3)" xfId="323" xr:uid="{00000000-0005-0000-0000-0000E5000000}"/>
    <cellStyle name="Jelölőszín (4)" xfId="324" xr:uid="{00000000-0005-0000-0000-0000E6000000}"/>
    <cellStyle name="Jelölőszín (5)" xfId="325" xr:uid="{00000000-0005-0000-0000-0000E7000000}"/>
    <cellStyle name="Jelölőszín (6)" xfId="326" xr:uid="{00000000-0005-0000-0000-0000E8000000}"/>
    <cellStyle name="Jó" xfId="327" xr:uid="{00000000-0005-0000-0000-0000E9000000}"/>
    <cellStyle name="Kimenet" xfId="270" xr:uid="{00000000-0005-0000-0000-0000EA000000}"/>
    <cellStyle name="Linked Cell" xfId="112" xr:uid="{00000000-0005-0000-0000-0000EB000000}"/>
    <cellStyle name="Linked Cell 2" xfId="442" xr:uid="{E01125AC-F9C2-4280-9E09-82824F9FA43C}"/>
    <cellStyle name="Magyarázó szöveg" xfId="328" xr:uid="{00000000-0005-0000-0000-0000EC000000}"/>
    <cellStyle name="Milliers 2" xfId="69" xr:uid="{00000000-0005-0000-0000-0000ED000000}"/>
    <cellStyle name="Milliers 2 2" xfId="153" xr:uid="{00000000-0005-0000-0000-0000EE000000}"/>
    <cellStyle name="Milliers 2 2 2" xfId="180" xr:uid="{00000000-0005-0000-0000-0000EF000000}"/>
    <cellStyle name="Milliers 2 2 2 2" xfId="260" xr:uid="{00000000-0005-0000-0000-0000F0000000}"/>
    <cellStyle name="Milliers 2 2 3" xfId="259" xr:uid="{00000000-0005-0000-0000-0000F1000000}"/>
    <cellStyle name="Milliers 2 3" xfId="179" xr:uid="{00000000-0005-0000-0000-0000F2000000}"/>
    <cellStyle name="Milliers 2 3 2" xfId="261" xr:uid="{00000000-0005-0000-0000-0000F3000000}"/>
    <cellStyle name="Milliers 2 4" xfId="258" xr:uid="{00000000-0005-0000-0000-0000F4000000}"/>
    <cellStyle name="Milliers 2 5" xfId="344" xr:uid="{00000000-0005-0000-0000-0000F5000000}"/>
    <cellStyle name="Milliers 3" xfId="159" xr:uid="{00000000-0005-0000-0000-0000F6000000}"/>
    <cellStyle name="Milliers 3 2" xfId="181" xr:uid="{00000000-0005-0000-0000-0000F7000000}"/>
    <cellStyle name="Milliers 3 2 2" xfId="263" xr:uid="{00000000-0005-0000-0000-0000F8000000}"/>
    <cellStyle name="Milliers 3 3" xfId="262" xr:uid="{00000000-0005-0000-0000-0000F9000000}"/>
    <cellStyle name="Milliers 4" xfId="453" xr:uid="{A8533FFF-FFE0-436A-A23A-966E86D3CB2E}"/>
    <cellStyle name="Monétaire 2" xfId="158" xr:uid="{00000000-0005-0000-0000-0000FA000000}"/>
    <cellStyle name="Monétaire 2 2" xfId="182" xr:uid="{00000000-0005-0000-0000-0000FB000000}"/>
    <cellStyle name="Monétaire 2 2 2" xfId="265" xr:uid="{00000000-0005-0000-0000-0000FC000000}"/>
    <cellStyle name="Monétaire 2 3" xfId="264" xr:uid="{00000000-0005-0000-0000-0000FD000000}"/>
    <cellStyle name="Neutral" xfId="104" xr:uid="{00000000-0005-0000-0000-0000FE000000}"/>
    <cellStyle name="Neutral 2" xfId="443" xr:uid="{1D423293-6CA1-42B7-960B-988F86D93B1D}"/>
    <cellStyle name="Neutre" xfId="10" builtinId="28" customBuiltin="1"/>
    <cellStyle name="Normal" xfId="0" builtinId="0"/>
    <cellStyle name="Normal 10" xfId="206" xr:uid="{00000000-0005-0000-0000-000001010000}"/>
    <cellStyle name="Normal 10 2" xfId="212" xr:uid="{00000000-0005-0000-0000-000002010000}"/>
    <cellStyle name="Normal 10 3" xfId="359" xr:uid="{00000000-0005-0000-0000-000003010000}"/>
    <cellStyle name="Normal 11" xfId="207" xr:uid="{00000000-0005-0000-0000-000004010000}"/>
    <cellStyle name="Normal 12" xfId="345" xr:uid="{00000000-0005-0000-0000-000005010000}"/>
    <cellStyle name="Normal 12 2" xfId="361" xr:uid="{00000000-0005-0000-0000-000006010000}"/>
    <cellStyle name="Normal 13" xfId="450" xr:uid="{B7F9525D-A9BE-47CF-B560-6BA2C953F6C9}"/>
    <cellStyle name="Normal 14" xfId="452" xr:uid="{BF1A3735-1E73-4922-A83B-7399B1D8B38D}"/>
    <cellStyle name="Normal 191" xfId="68" xr:uid="{00000000-0005-0000-0000-000007010000}"/>
    <cellStyle name="Normal 2" xfId="43" xr:uid="{00000000-0005-0000-0000-000008010000}"/>
    <cellStyle name="Normal 2 10 3" xfId="55" xr:uid="{00000000-0005-0000-0000-000009010000}"/>
    <cellStyle name="Normal 2 10 3 2" xfId="142" xr:uid="{00000000-0005-0000-0000-00000A010000}"/>
    <cellStyle name="Normal 2 2" xfId="70" xr:uid="{00000000-0005-0000-0000-00000B010000}"/>
    <cellStyle name="Normal 2 2 2" xfId="154" xr:uid="{00000000-0005-0000-0000-00000C010000}"/>
    <cellStyle name="Normal 2 2 2 2" xfId="183" xr:uid="{00000000-0005-0000-0000-00000D010000}"/>
    <cellStyle name="Normal 2 2 2 2 2" xfId="267" xr:uid="{00000000-0005-0000-0000-00000E010000}"/>
    <cellStyle name="Normal 2 2 2 3" xfId="266" xr:uid="{00000000-0005-0000-0000-00000F010000}"/>
    <cellStyle name="Normal 2 2 3" xfId="161" xr:uid="{00000000-0005-0000-0000-000010010000}"/>
    <cellStyle name="Normal 2 2 3 2" xfId="268" xr:uid="{00000000-0005-0000-0000-000011010000}"/>
    <cellStyle name="Normal 2 2 4" xfId="210" xr:uid="{00000000-0005-0000-0000-000012010000}"/>
    <cellStyle name="Normal 2 2 5" xfId="50" xr:uid="{00000000-0005-0000-0000-000013010000}"/>
    <cellStyle name="Normal 2 2 5 2" xfId="137" xr:uid="{00000000-0005-0000-0000-000014010000}"/>
    <cellStyle name="Normal 2 3" xfId="66" xr:uid="{00000000-0005-0000-0000-000015010000}"/>
    <cellStyle name="Normal 222 3" xfId="54" xr:uid="{00000000-0005-0000-0000-000016010000}"/>
    <cellStyle name="Normal 222 3 2" xfId="141" xr:uid="{00000000-0005-0000-0000-000017010000}"/>
    <cellStyle name="Normal 230 2 2" xfId="51" xr:uid="{00000000-0005-0000-0000-000018010000}"/>
    <cellStyle name="Normal 230 2 2 2" xfId="138" xr:uid="{00000000-0005-0000-0000-000019010000}"/>
    <cellStyle name="Normal 232 3" xfId="49" xr:uid="{00000000-0005-0000-0000-00001A010000}"/>
    <cellStyle name="Normal 232 3 2" xfId="136" xr:uid="{00000000-0005-0000-0000-00001B010000}"/>
    <cellStyle name="Normal 243 3" xfId="56" xr:uid="{00000000-0005-0000-0000-00001C010000}"/>
    <cellStyle name="Normal 243 3 2" xfId="143" xr:uid="{00000000-0005-0000-0000-00001D010000}"/>
    <cellStyle name="Normal 256 2" xfId="58" xr:uid="{00000000-0005-0000-0000-00001E010000}"/>
    <cellStyle name="Normal 256 2 2" xfId="145" xr:uid="{00000000-0005-0000-0000-00001F010000}"/>
    <cellStyle name="Normal 3" xfId="67" xr:uid="{00000000-0005-0000-0000-000020010000}"/>
    <cellStyle name="Normal 3 2" xfId="100" xr:uid="{00000000-0005-0000-0000-000021010000}"/>
    <cellStyle name="Normal 3 2 2" xfId="157" xr:uid="{00000000-0005-0000-0000-000022010000}"/>
    <cellStyle name="Normal 3 2 3" xfId="342" xr:uid="{00000000-0005-0000-0000-000023010000}"/>
    <cellStyle name="Normal 3 2 3 2" xfId="362" xr:uid="{00000000-0005-0000-0000-000024010000}"/>
    <cellStyle name="Normal 3 3" xfId="129" xr:uid="{00000000-0005-0000-0000-000025010000}"/>
    <cellStyle name="Normal 3 4" xfId="152" xr:uid="{00000000-0005-0000-0000-000026010000}"/>
    <cellStyle name="Normal 3 4 2" xfId="185" xr:uid="{00000000-0005-0000-0000-000027010000}"/>
    <cellStyle name="Normal 3 4 2 2" xfId="273" xr:uid="{00000000-0005-0000-0000-000028010000}"/>
    <cellStyle name="Normal 3 4 3" xfId="272" xr:uid="{00000000-0005-0000-0000-000029010000}"/>
    <cellStyle name="Normal 3 5" xfId="184" xr:uid="{00000000-0005-0000-0000-00002A010000}"/>
    <cellStyle name="Normal 3 5 2" xfId="274" xr:uid="{00000000-0005-0000-0000-00002B010000}"/>
    <cellStyle name="Normal 3 6" xfId="271" xr:uid="{00000000-0005-0000-0000-00002C010000}"/>
    <cellStyle name="Normal 375 2" xfId="61" xr:uid="{00000000-0005-0000-0000-00002D010000}"/>
    <cellStyle name="Normal 375 2 2" xfId="148" xr:uid="{00000000-0005-0000-0000-00002E010000}"/>
    <cellStyle name="Normal 375 2 2 2" xfId="187" xr:uid="{00000000-0005-0000-0000-00002F010000}"/>
    <cellStyle name="Normal 375 2 2 2 2" xfId="277" xr:uid="{00000000-0005-0000-0000-000030010000}"/>
    <cellStyle name="Normal 375 2 2 2 2 2" xfId="360" xr:uid="{00000000-0005-0000-0000-000031010000}"/>
    <cellStyle name="Normal 375 2 2 3" xfId="276" xr:uid="{00000000-0005-0000-0000-000032010000}"/>
    <cellStyle name="Normal 375 2 3" xfId="186" xr:uid="{00000000-0005-0000-0000-000033010000}"/>
    <cellStyle name="Normal 375 2 3 2" xfId="278" xr:uid="{00000000-0005-0000-0000-000034010000}"/>
    <cellStyle name="Normal 375 2 4" xfId="275" xr:uid="{00000000-0005-0000-0000-000035010000}"/>
    <cellStyle name="Normal 376 2" xfId="60" xr:uid="{00000000-0005-0000-0000-000036010000}"/>
    <cellStyle name="Normal 376 2 2" xfId="147" xr:uid="{00000000-0005-0000-0000-000037010000}"/>
    <cellStyle name="Normal 376 2 2 2" xfId="189" xr:uid="{00000000-0005-0000-0000-000038010000}"/>
    <cellStyle name="Normal 376 2 2 2 2" xfId="281" xr:uid="{00000000-0005-0000-0000-000039010000}"/>
    <cellStyle name="Normal 376 2 2 3" xfId="280" xr:uid="{00000000-0005-0000-0000-00003A010000}"/>
    <cellStyle name="Normal 376 2 3" xfId="188" xr:uid="{00000000-0005-0000-0000-00003B010000}"/>
    <cellStyle name="Normal 376 2 3 2" xfId="282" xr:uid="{00000000-0005-0000-0000-00003C010000}"/>
    <cellStyle name="Normal 376 2 4" xfId="279" xr:uid="{00000000-0005-0000-0000-00003D010000}"/>
    <cellStyle name="Normal 377 2" xfId="57" xr:uid="{00000000-0005-0000-0000-00003E010000}"/>
    <cellStyle name="Normal 377 2 2" xfId="144" xr:uid="{00000000-0005-0000-0000-00003F010000}"/>
    <cellStyle name="Normal 380" xfId="64" xr:uid="{00000000-0005-0000-0000-000040010000}"/>
    <cellStyle name="Normal 384" xfId="65" xr:uid="{00000000-0005-0000-0000-000041010000}"/>
    <cellStyle name="Normal 384 2" xfId="151" xr:uid="{00000000-0005-0000-0000-000042010000}"/>
    <cellStyle name="Normal 384 2 2" xfId="191" xr:uid="{00000000-0005-0000-0000-000043010000}"/>
    <cellStyle name="Normal 384 2 2 2" xfId="285" xr:uid="{00000000-0005-0000-0000-000044010000}"/>
    <cellStyle name="Normal 384 2 3" xfId="284" xr:uid="{00000000-0005-0000-0000-000045010000}"/>
    <cellStyle name="Normal 384 3" xfId="190" xr:uid="{00000000-0005-0000-0000-000046010000}"/>
    <cellStyle name="Normal 384 3 2" xfId="286" xr:uid="{00000000-0005-0000-0000-000047010000}"/>
    <cellStyle name="Normal 384 4" xfId="283" xr:uid="{00000000-0005-0000-0000-000048010000}"/>
    <cellStyle name="Normal 385" xfId="48" xr:uid="{00000000-0005-0000-0000-000049010000}"/>
    <cellStyle name="Normal 385 2" xfId="135" xr:uid="{00000000-0005-0000-0000-00004A010000}"/>
    <cellStyle name="Normal 4" xfId="47" xr:uid="{00000000-0005-0000-0000-00004B010000}"/>
    <cellStyle name="Normal 4 2" xfId="134" xr:uid="{00000000-0005-0000-0000-00004C010000}"/>
    <cellStyle name="Normal 5" xfId="116" xr:uid="{00000000-0005-0000-0000-00004D010000}"/>
    <cellStyle name="Normal 5 2 2 2 3" xfId="59" xr:uid="{00000000-0005-0000-0000-00004E010000}"/>
    <cellStyle name="Normal 5 2 2 2 3 2" xfId="146" xr:uid="{00000000-0005-0000-0000-00004F010000}"/>
    <cellStyle name="Normal 6" xfId="46" xr:uid="{00000000-0005-0000-0000-000050010000}"/>
    <cellStyle name="Normal 6 2" xfId="130" xr:uid="{00000000-0005-0000-0000-000051010000}"/>
    <cellStyle name="Normal 7" xfId="45" xr:uid="{00000000-0005-0000-0000-000052010000}"/>
    <cellStyle name="Normal 8" xfId="117" xr:uid="{00000000-0005-0000-0000-000053010000}"/>
    <cellStyle name="Normal 9" xfId="160" xr:uid="{00000000-0005-0000-0000-000054010000}"/>
    <cellStyle name="Normal 9 2" xfId="290" xr:uid="{00000000-0005-0000-0000-000055010000}"/>
    <cellStyle name="Normál_av_össz" xfId="329" xr:uid="{00000000-0005-0000-0000-000056010000}"/>
    <cellStyle name="Normal_Sheet1" xfId="1" xr:uid="{00000000-0005-0000-0000-000057010000}"/>
    <cellStyle name="Normal_Sheet1 2" xfId="444" xr:uid="{4D5849CC-9E30-4832-88A2-1F5EB08DB735}"/>
    <cellStyle name="Note" xfId="111" xr:uid="{00000000-0005-0000-0000-000059010000}"/>
    <cellStyle name="Note 2" xfId="126" xr:uid="{00000000-0005-0000-0000-00005A010000}"/>
    <cellStyle name="Note 3" xfId="390" xr:uid="{00000000-0005-0000-0000-00005B010000}"/>
    <cellStyle name="Note 4" xfId="445" xr:uid="{0268BB93-3376-4857-9376-B1F9E0A2734F}"/>
    <cellStyle name="Note_Feuil3" xfId="410" xr:uid="{6A894B41-4053-4D56-AF8C-7A90D6D9005B}"/>
    <cellStyle name="Összesen" xfId="341" xr:uid="{00000000-0005-0000-0000-00005C010000}"/>
    <cellStyle name="Output" xfId="90" xr:uid="{00000000-0005-0000-0000-00005D010000}"/>
    <cellStyle name="Output 2" xfId="446" xr:uid="{06D64872-26A8-4400-90C4-7E80C92F03A5}"/>
    <cellStyle name="Output Amounts" xfId="330" xr:uid="{00000000-0005-0000-0000-00005E010000}"/>
    <cellStyle name="Output Line Items" xfId="331" xr:uid="{00000000-0005-0000-0000-00005F010000}"/>
    <cellStyle name="Output_Feuil3" xfId="411" xr:uid="{6E899EC8-6A45-4617-88DD-F25CEEBBA5B1}"/>
    <cellStyle name="Pourcentage" xfId="2" builtinId="5"/>
    <cellStyle name="Pourcentage 2" xfId="115" xr:uid="{00000000-0005-0000-0000-000061010000}"/>
    <cellStyle name="Pourcentage 2 2" xfId="343" xr:uid="{00000000-0005-0000-0000-000062010000}"/>
    <cellStyle name="Pourcentage 2 2 2" xfId="287" xr:uid="{00000000-0005-0000-0000-000063010000}"/>
    <cellStyle name="Pourcentage 2 2 4" xfId="53" xr:uid="{00000000-0005-0000-0000-000064010000}"/>
    <cellStyle name="Pourcentage 2 2 4 2" xfId="140" xr:uid="{00000000-0005-0000-0000-000065010000}"/>
    <cellStyle name="Pourcentage 2 3" xfId="289" xr:uid="{00000000-0005-0000-0000-000066010000}"/>
    <cellStyle name="Pourcentage 2 6" xfId="52" xr:uid="{00000000-0005-0000-0000-000067010000}"/>
    <cellStyle name="Pourcentage 2 6 2" xfId="139" xr:uid="{00000000-0005-0000-0000-000068010000}"/>
    <cellStyle name="Pourcentage 29 2" xfId="62" xr:uid="{00000000-0005-0000-0000-000069010000}"/>
    <cellStyle name="Pourcentage 29 2 2" xfId="149" xr:uid="{00000000-0005-0000-0000-00006A010000}"/>
    <cellStyle name="Pourcentage 29 2 2 2" xfId="192" xr:uid="{00000000-0005-0000-0000-00006B010000}"/>
    <cellStyle name="Pourcentage 29 2 2 2 2" xfId="299" xr:uid="{00000000-0005-0000-0000-00006C010000}"/>
    <cellStyle name="Pourcentage 29 2 2 3" xfId="298" xr:uid="{00000000-0005-0000-0000-00006D010000}"/>
    <cellStyle name="Pourcentage 29 2 3" xfId="162" xr:uid="{00000000-0005-0000-0000-00006E010000}"/>
    <cellStyle name="Pourcentage 29 2 3 2" xfId="300" xr:uid="{00000000-0005-0000-0000-00006F010000}"/>
    <cellStyle name="Pourcentage 29 2 4" xfId="211" xr:uid="{00000000-0005-0000-0000-000070010000}"/>
    <cellStyle name="Pourcentage 3" xfId="118" xr:uid="{00000000-0005-0000-0000-000071010000}"/>
    <cellStyle name="Pourcentage 3 2" xfId="332" xr:uid="{00000000-0005-0000-0000-000072010000}"/>
    <cellStyle name="Pourcentage 30 2" xfId="63" xr:uid="{00000000-0005-0000-0000-000073010000}"/>
    <cellStyle name="Pourcentage 30 2 2" xfId="150" xr:uid="{00000000-0005-0000-0000-000074010000}"/>
    <cellStyle name="Pourcentage 4" xfId="44" xr:uid="{00000000-0005-0000-0000-000075010000}"/>
    <cellStyle name="Rossz" xfId="338" xr:uid="{00000000-0005-0000-0000-000076010000}"/>
    <cellStyle name="Satisfaisant" xfId="8" builtinId="26" customBuiltin="1"/>
    <cellStyle name="Semleges" xfId="333" xr:uid="{00000000-0005-0000-0000-000078010000}"/>
    <cellStyle name="Sortie" xfId="12" builtinId="21" customBuiltin="1"/>
    <cellStyle name="Számítás" xfId="337" xr:uid="{00000000-0005-0000-0000-00007A010000}"/>
    <cellStyle name="Texte explicatif" xfId="17" builtinId="53" customBuiltin="1"/>
    <cellStyle name="Title" xfId="110" xr:uid="{00000000-0005-0000-0000-00007C010000}"/>
    <cellStyle name="Title 2" xfId="388" xr:uid="{00000000-0005-0000-0000-00007D010000}"/>
    <cellStyle name="Title 3" xfId="447" xr:uid="{D9154B9A-B11B-43F7-AB2F-17468EAAAEE3}"/>
    <cellStyle name="Title_Feuil3" xfId="412" xr:uid="{F4B9DE13-08CF-4806-8469-2608FFAF1A59}"/>
    <cellStyle name="Titre" xfId="3" builtinId="15" customBuiltin="1"/>
    <cellStyle name="Titre 1" xfId="4" builtinId="16" customBuiltin="1"/>
    <cellStyle name="Titre 2" xfId="5" builtinId="17" customBuiltin="1"/>
    <cellStyle name="Titre 3" xfId="6" builtinId="18" customBuiltin="1"/>
    <cellStyle name="Titre 4" xfId="7" builtinId="19" customBuiltin="1"/>
    <cellStyle name="Total" xfId="18" builtinId="25" customBuiltin="1"/>
    <cellStyle name="Total 2" xfId="101" xr:uid="{00000000-0005-0000-0000-000084010000}"/>
    <cellStyle name="Total 3" xfId="389" xr:uid="{00000000-0005-0000-0000-000085010000}"/>
    <cellStyle name="Total 4" xfId="448" xr:uid="{E3A95DF9-EF2E-492A-8FD5-925FF102669C}"/>
    <cellStyle name="Vérification" xfId="15" builtinId="23" customBuiltin="1"/>
    <cellStyle name="Warning Text" xfId="114" xr:uid="{00000000-0005-0000-0000-000087010000}"/>
    <cellStyle name="Warning Text 2" xfId="449" xr:uid="{6E92D871-D185-4E0A-991D-BE9CDA87D5CB}"/>
  </cellStyles>
  <dxfs count="11">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numFmt numFmtId="3" formatCode="#,##0"/>
    </dxf>
    <dxf>
      <numFmt numFmtId="3" formatCode="#,##0"/>
    </dxf>
    <dxf>
      <numFmt numFmtId="3" formatCode="#,##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114300</xdr:colOff>
          <xdr:row>62</xdr:row>
          <xdr:rowOff>57150</xdr:rowOff>
        </xdr:from>
        <xdr:to>
          <xdr:col>33</xdr:col>
          <xdr:colOff>180975</xdr:colOff>
          <xdr:row>65</xdr:row>
          <xdr:rowOff>19050</xdr:rowOff>
        </xdr:to>
        <xdr:sp macro="" textlink="">
          <xdr:nvSpPr>
            <xdr:cNvPr id="5122" name="CommandButton1"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20</xdr:row>
          <xdr:rowOff>142875</xdr:rowOff>
        </xdr:from>
        <xdr:to>
          <xdr:col>3</xdr:col>
          <xdr:colOff>866775</xdr:colOff>
          <xdr:row>23</xdr:row>
          <xdr:rowOff>38100</xdr:rowOff>
        </xdr:to>
        <xdr:sp macro="" textlink="">
          <xdr:nvSpPr>
            <xdr:cNvPr id="5123" name="CommandButton2"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17</xdr:row>
          <xdr:rowOff>76200</xdr:rowOff>
        </xdr:from>
        <xdr:to>
          <xdr:col>3</xdr:col>
          <xdr:colOff>866775</xdr:colOff>
          <xdr:row>19</xdr:row>
          <xdr:rowOff>133350</xdr:rowOff>
        </xdr:to>
        <xdr:sp macro="" textlink="">
          <xdr:nvSpPr>
            <xdr:cNvPr id="5124" name="CommandButton3"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400050</xdr:colOff>
          <xdr:row>25</xdr:row>
          <xdr:rowOff>152400</xdr:rowOff>
        </xdr:from>
        <xdr:to>
          <xdr:col>23</xdr:col>
          <xdr:colOff>419100</xdr:colOff>
          <xdr:row>28</xdr:row>
          <xdr:rowOff>133350</xdr:rowOff>
        </xdr:to>
        <xdr:sp macro="" textlink="">
          <xdr:nvSpPr>
            <xdr:cNvPr id="5125" name="CommandButton4"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400050</xdr:colOff>
          <xdr:row>32</xdr:row>
          <xdr:rowOff>47625</xdr:rowOff>
        </xdr:from>
        <xdr:to>
          <xdr:col>3</xdr:col>
          <xdr:colOff>876300</xdr:colOff>
          <xdr:row>34</xdr:row>
          <xdr:rowOff>85725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Clean Object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10</xdr:row>
          <xdr:rowOff>66675</xdr:rowOff>
        </xdr:from>
        <xdr:to>
          <xdr:col>3</xdr:col>
          <xdr:colOff>885825</xdr:colOff>
          <xdr:row>12</xdr:row>
          <xdr:rowOff>104775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Copie IFT 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409575</xdr:colOff>
          <xdr:row>13</xdr:row>
          <xdr:rowOff>142875</xdr:rowOff>
        </xdr:from>
        <xdr:to>
          <xdr:col>3</xdr:col>
          <xdr:colOff>885825</xdr:colOff>
          <xdr:row>16</xdr:row>
          <xdr:rowOff>19050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419100</xdr:colOff>
          <xdr:row>24</xdr:row>
          <xdr:rowOff>95250</xdr:rowOff>
        </xdr:from>
        <xdr:to>
          <xdr:col>3</xdr:col>
          <xdr:colOff>895350</xdr:colOff>
          <xdr:row>26</xdr:row>
          <xdr:rowOff>133350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IFT Fichier valeur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onal\Cooperactions\GAM-E-Risk%20Perf%20-%20RMP\3.OUTILS\TOOLKIT\macro%20compl&#233;mentaires%20xlam\seuilmaterialite.xlam" TargetMode="External"/><Relationship Id="rId1" Type="http://schemas.openxmlformats.org/officeDocument/2006/relationships/externalLinkPath" Target="file:///C:\Users\cbonal\Cooperactions\GAM-E-Risk%20Perf%20-%20RMP\3.OUTILS\TOOLKIT\macro%20compl&#233;mentaires%20xlam\seuilmaterialite.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 val="Feuil2"/>
      <sheetName val="Feuil3"/>
    </sheetNames>
    <definedNames>
      <definedName name="Seuilmaterialite"/>
    </definedNames>
    <sheetDataSet>
      <sheetData sheetId="0"/>
      <sheetData sheetId="1"/>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bonal" refreshedDate="45740.500225810189" createdVersion="7" refreshedVersion="8" minRefreshableVersion="3" recordCount="103" xr:uid="{9FA2C86B-2B9A-473C-B329-1084FA261BB2}">
  <cacheSource type="worksheet">
    <worksheetSource ref="A3:E106" sheet="check report collat"/>
  </cacheSource>
  <cacheFields count="5">
    <cacheField name="Code DI" numFmtId="0">
      <sharedItems containsBlank="1" containsMixedTypes="1" containsNumber="1" containsInteger="1" minValue="0" maxValue="0"/>
    </cacheField>
    <cacheField name="Classif DI" numFmtId="0">
      <sharedItems containsBlank="1" containsMixedTypes="1" containsNumber="1" containsInteger="1" minValue="0" maxValue="0" count="5">
        <s v="Real Rate Swap"/>
        <s v="CMS Swap"/>
        <s v="Cross Currency Swap"/>
        <n v="0"/>
        <m/>
      </sharedItems>
    </cacheField>
    <cacheField name="Counterparty" numFmtId="0">
      <sharedItems containsBlank="1" containsMixedTypes="1" containsNumber="1" containsInteger="1" minValue="0" maxValue="0" count="10">
        <s v="NOMURA"/>
        <s v="MORGAN STANLEY"/>
        <s v="RBS"/>
        <s v="BARCLAYS"/>
        <s v="BNP PARIBAS"/>
        <s v="SOCIETE GENERALE"/>
        <s v="JP MORGAN"/>
        <s v="CREDIT SUISSE"/>
        <n v="0"/>
        <m/>
      </sharedItems>
    </cacheField>
    <cacheField name="Dirty Value GAM" numFmtId="4">
      <sharedItems containsString="0" containsBlank="1" containsNumber="1" minValue="-25926340.739999998" maxValue="58268.34"/>
    </cacheField>
    <cacheField name="Dirty Value CTP" numFmtId="3">
      <sharedItems containsString="0" containsBlank="1" containsNumber="1" minValue="-25700771.426013" maxValue="8117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bonal" refreshedDate="45740.500267592593" createdVersion="7" refreshedVersion="8" minRefreshableVersion="3" recordCount="17" xr:uid="{71743262-866E-464A-85C4-73356F0D7423}">
  <cacheSource type="worksheet">
    <worksheetSource ref="B1:O18" sheet="FX FWD"/>
  </cacheSource>
  <cacheFields count="14">
    <cacheField name="PARTY" numFmtId="0">
      <sharedItems containsString="0" containsBlank="1" containsNumber="1" containsInteger="1" minValue="0" maxValue="0"/>
    </cacheField>
    <cacheField name="CP" numFmtId="0">
      <sharedItems containsString="0" containsBlank="1" containsNumber="1" containsInteger="1" minValue="0" maxValue="0" count="2">
        <n v="0"/>
        <m/>
      </sharedItems>
    </cacheField>
    <cacheField name="PRODUCT_CLASS" numFmtId="0">
      <sharedItems containsString="0" containsBlank="1" containsNumber="1" containsInteger="1" minValue="0" maxValue="0" count="2">
        <n v="0"/>
        <m/>
      </sharedItems>
    </cacheField>
    <cacheField name="NOTIONAL" numFmtId="3">
      <sharedItems containsString="0" containsBlank="1" containsNumber="1" containsInteger="1" minValue="0" maxValue="0"/>
    </cacheField>
    <cacheField name="CURR" numFmtId="0">
      <sharedItems containsString="0" containsBlank="1" containsNumber="1" containsInteger="1" minValue="0" maxValue="0"/>
    </cacheField>
    <cacheField name="NOTIONAL EUR" numFmtId="3">
      <sharedItems containsString="0" containsBlank="1" containsNumber="1" containsInteger="1" minValue="0" maxValue="0"/>
    </cacheField>
    <cacheField name="CURR2" numFmtId="0">
      <sharedItems containsString="0" containsBlank="1" containsNumber="1" containsInteger="1" minValue="0" maxValue="0"/>
    </cacheField>
    <cacheField name="TRADE_DATE" numFmtId="14">
      <sharedItems containsNonDate="0" containsDate="1" containsString="0" containsBlank="1" minDate="1899-12-30T00:00:00" maxDate="1899-12-31T00:00:00"/>
    </cacheField>
    <cacheField name="START_DATE" numFmtId="14">
      <sharedItems containsNonDate="0" containsDate="1" containsString="0" containsBlank="1" minDate="1899-12-30T00:00:00" maxDate="1899-12-31T00:00:00"/>
    </cacheField>
    <cacheField name="END_DATE" numFmtId="14">
      <sharedItems containsNonDate="0" containsDate="1" containsString="0" containsBlank="1" minDate="1899-12-30T00:00:00" maxDate="1899-12-31T00:00:00"/>
    </cacheField>
    <cacheField name="MTM_CURR" numFmtId="0">
      <sharedItems containsString="0" containsBlank="1" containsNumber="1" containsInteger="1" minValue="0" maxValue="0"/>
    </cacheField>
    <cacheField name="MTM_GAM" numFmtId="3">
      <sharedItems containsString="0" containsBlank="1" containsNumber="1" containsInteger="1" minValue="0" maxValue="0"/>
    </cacheField>
    <cacheField name="MTMCTP" numFmtId="3">
      <sharedItems containsString="0" containsBlank="1" containsNumber="1" containsInteger="1" minValue="0" maxValue="0"/>
    </cacheField>
    <cacheField name="MTM_DIFF" numFmtId="3">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bonal" refreshedDate="45740.512863773147" createdVersion="8" refreshedVersion="8" minRefreshableVersion="3" recordCount="41" xr:uid="{C925D90D-07D1-4721-9CA1-54B990DDA8D1}">
  <cacheSource type="worksheet">
    <worksheetSource ref="A1:L42" sheet="BND FWD"/>
  </cacheSource>
  <cacheFields count="12">
    <cacheField name="Code SCD" numFmtId="0">
      <sharedItems/>
    </cacheField>
    <cacheField name="Code DOFI" numFmtId="0">
      <sharedItems containsNonDate="0" containsString="0" containsBlank="1"/>
    </cacheField>
    <cacheField name="CP" numFmtId="0">
      <sharedItems containsBlank="1" count="10">
        <s v="BNP Paribas"/>
        <s v="BofA Securities Europe SA"/>
        <s v="Citibank Europe Public Limited Company"/>
        <s v="Goldman Sachs International - Paris Branch"/>
        <s v="Société Générale SA"/>
        <s v="JPMorgan SE"/>
        <s v="Natixis SA"/>
        <s v="HSBC CONTINENTAL EUROPE"/>
        <s v="Credit Agricole Corporate and Investment Bank"/>
        <m u="1"/>
      </sharedItems>
    </cacheField>
    <cacheField name="Notional" numFmtId="3">
      <sharedItems containsSemiMixedTypes="0" containsString="0" containsNumber="1" containsInteger="1" minValue="8500000" maxValue="58000000"/>
    </cacheField>
    <cacheField name="Prix GAM" numFmtId="3">
      <sharedItems containsSemiMixedTypes="0" containsString="0" containsNumber="1" minValue="-23474189.760000002" maxValue="209623.79"/>
    </cacheField>
    <cacheField name="Prix CTP" numFmtId="3">
      <sharedItems containsSemiMixedTypes="0" containsString="0" containsNumber="1" minValue="-23446574.785" maxValue="216327.31"/>
    </cacheField>
    <cacheField name="Prix GAM %" numFmtId="10">
      <sharedItems containsSemiMixedTypes="0" containsString="0" containsNumber="1" minValue="-0.40472740965517245" maxValue="1.7468649166666666E-2"/>
    </cacheField>
    <cacheField name="Prix CTP %" numFmtId="10">
      <sharedItems containsSemiMixedTypes="0" containsString="0" containsNumber="1" minValue="-0.40425128939655175" maxValue="1.8027275833333332E-2"/>
    </cacheField>
    <cacheField name="Seuil" numFmtId="10">
      <sharedItems containsSemiMixedTypes="0" containsString="0" containsNumber="1" minValue="5.0000000000000001E-3" maxValue="1.0049999999999999"/>
    </cacheField>
    <cacheField name="Diff" numFmtId="10">
      <sharedItems containsSemiMixedTypes="0" containsString="0" containsNumber="1" minValue="-2.5819454999999984E-3" maxValue="1.047027027027027E-2"/>
    </cacheField>
    <cacheField name="Alertes (Seuil de  Validité)" numFmtId="0">
      <sharedItems/>
    </cacheField>
    <cacheField name="Commentaires"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bonal" refreshedDate="45748.403319791665" createdVersion="8" refreshedVersion="8" minRefreshableVersion="3" recordCount="11" xr:uid="{2BB4C74D-DB26-4671-94F8-A28A3CED9FC0}">
  <cacheSource type="worksheet">
    <worksheetSource ref="A1:W20" sheet="Sensi SD IPA input"/>
  </cacheSource>
  <cacheFields count="23">
    <cacheField name="Sicovam" numFmtId="0">
      <sharedItems containsBlank="1"/>
    </cacheField>
    <cacheField name="DImension" numFmtId="0">
      <sharedItems containsBlank="1"/>
    </cacheField>
    <cacheField name="Code DI" numFmtId="0">
      <sharedItems containsBlank="1" count="10">
        <s v="SWAP_280"/>
        <s v="SWAP_279"/>
        <s v="SWAP_273"/>
        <s v="SWAP_271"/>
        <s v="SWAP_265"/>
        <s v="SWAP_244"/>
        <s v="SWAP_243"/>
        <s v="SWAP_264"/>
        <s v="SWAP_284"/>
        <m/>
      </sharedItems>
    </cacheField>
    <cacheField name="IR Duration" numFmtId="0">
      <sharedItems containsString="0" containsBlank="1" containsNumber="1" minValue="7.0000000000000007E-2" maxValue="0.215"/>
    </cacheField>
    <cacheField name="IR Leg 1 Duration" numFmtId="0">
      <sharedItems containsString="0" containsBlank="1" containsNumber="1" minValue="1.9179999999999999" maxValue="3.484"/>
    </cacheField>
    <cacheField name="IR Leg 2 Duration" numFmtId="0">
      <sharedItems containsString="0" containsBlank="1" containsNumber="1" minValue="1.84" maxValue="3.2749999999999999"/>
    </cacheField>
    <cacheField name="DV01" numFmtId="0">
      <sharedItems containsString="0" containsBlank="1" containsNumber="1" minValue="-6526.16" maxValue="-1169.27"/>
    </cacheField>
    <cacheField name="IR Leg 1 DV01" numFmtId="0">
      <sharedItems containsString="0" containsBlank="1" containsNumber="1" minValue="-6526.16" maxValue="-1169.27"/>
    </cacheField>
    <cacheField name="IR Leg 2 DV01" numFmtId="0">
      <sharedItems containsString="0" containsBlank="1" containsNumber="1" minValue="943.63" maxValue="5193.17"/>
    </cacheField>
    <cacheField name="MV" numFmtId="0">
      <sharedItems containsString="0" containsBlank="1" containsNumber="1" minValue="-187822.17149000001" maxValue="64389.687619999997"/>
    </cacheField>
    <cacheField name="MV (%)" numFmtId="0">
      <sharedItems containsBlank="1"/>
    </cacheField>
    <cacheField name="IR Leg 1 PV" numFmtId="0">
      <sharedItems containsString="0" containsBlank="1" containsNumber="1" minValue="6096733.8099999996" maxValue="18815404.469999999"/>
    </cacheField>
    <cacheField name="IR Leg 2 PV" numFmtId="0">
      <sharedItems containsString="0" containsBlank="1" containsNumber="1" minValue="-15852058.279999999" maxValue="-5127924.2699999996"/>
    </cacheField>
    <cacheField name="Trade ID" numFmtId="0">
      <sharedItems containsString="0" containsBlank="1" containsNumber="1" containsInteger="1" minValue="14760874" maxValue="14760899"/>
    </cacheField>
    <cacheField name="Portfolio Name" numFmtId="0">
      <sharedItems containsBlank="1"/>
    </cacheField>
    <cacheField name="Asset Class" numFmtId="0">
      <sharedItems containsBlank="1"/>
    </cacheField>
    <cacheField name="Product Code" numFmtId="0">
      <sharedItems containsBlank="1"/>
    </cacheField>
    <cacheField name="Product Name" numFmtId="0">
      <sharedItems containsBlank="1"/>
    </cacheField>
    <cacheField name="Volume" numFmtId="0">
      <sharedItems containsString="0" containsBlank="1" containsNumber="1" containsInteger="1" minValue="1" maxValue="1"/>
    </cacheField>
    <cacheField name="Calc. Status" numFmtId="0">
      <sharedItems containsBlank="1"/>
    </cacheField>
    <cacheField name="Delta Cash" numFmtId="0">
      <sharedItems containsBlank="1"/>
    </cacheField>
    <cacheField name="PFE (Max)" numFmtId="0">
      <sharedItems containsBlank="1"/>
    </cacheField>
    <cacheField name="PFL (Max)"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s v="SWAP_258"/>
    <x v="0"/>
    <x v="0"/>
    <n v="-3543992.85"/>
    <n v="-3547451.0453499998"/>
  </r>
  <r>
    <s v="SWAP_253"/>
    <x v="0"/>
    <x v="0"/>
    <n v="-1969488.69"/>
    <n v="-1971424.9786939998"/>
  </r>
  <r>
    <s v="SWAP_240"/>
    <x v="0"/>
    <x v="1"/>
    <n v="-11282115.189999999"/>
    <n v="-11379259.09"/>
  </r>
  <r>
    <s v="SWAP_262"/>
    <x v="0"/>
    <x v="1"/>
    <n v="-3658795.2"/>
    <n v="-3659680.74"/>
  </r>
  <r>
    <s v="SWAP_254"/>
    <x v="0"/>
    <x v="1"/>
    <n v="-7053626.4699999997"/>
    <n v="-7055338.8399999999"/>
  </r>
  <r>
    <s v="SWAP_257"/>
    <x v="0"/>
    <x v="1"/>
    <n v="-5450130.2199999997"/>
    <n v="-5451457.0899999999"/>
  </r>
  <r>
    <s v="SWAP_235"/>
    <x v="0"/>
    <x v="2"/>
    <n v="-25926340.739999998"/>
    <n v="-25700771.426013"/>
  </r>
  <r>
    <s v="SWAP_149"/>
    <x v="0"/>
    <x v="2"/>
    <n v="-13653128.09"/>
    <n v="-13511966.157534"/>
  </r>
  <r>
    <s v="SWAP_255"/>
    <x v="0"/>
    <x v="3"/>
    <n v="-3529371.9"/>
    <n v="-3531330"/>
  </r>
  <r>
    <s v="SWAP_234"/>
    <x v="0"/>
    <x v="0"/>
    <n v="-16211071.220000001"/>
    <n v="-16006135.998788001"/>
  </r>
  <r>
    <s v="SWAP_148"/>
    <x v="0"/>
    <x v="4"/>
    <n v="-13917128.91"/>
    <n v="-13703543.4977"/>
  </r>
  <r>
    <s v="SWAP_303"/>
    <x v="1"/>
    <x v="4"/>
    <n v="-16909209.690000001"/>
    <n v="-16910400.890000001"/>
  </r>
  <r>
    <s v="SWAP_304"/>
    <x v="1"/>
    <x v="4"/>
    <n v="-3853060.62"/>
    <n v="-3869409.05"/>
  </r>
  <r>
    <s v="SWAP_319"/>
    <x v="1"/>
    <x v="5"/>
    <n v="-10610884.439999999"/>
    <n v="-10590403.51"/>
  </r>
  <r>
    <s v="SWAP_320"/>
    <x v="1"/>
    <x v="5"/>
    <n v="-198293.5"/>
    <n v="-186746.67"/>
  </r>
  <r>
    <s v="SWAP_324"/>
    <x v="1"/>
    <x v="6"/>
    <n v="-6731067.7000000002"/>
    <n v="-6693654.1749999998"/>
  </r>
  <r>
    <s v="SWAP_341"/>
    <x v="1"/>
    <x v="7"/>
    <n v="-179446.45"/>
    <n v="-184849.35769999999"/>
  </r>
  <r>
    <s v="SWAP_342"/>
    <x v="1"/>
    <x v="7"/>
    <n v="-137107.51999999999"/>
    <n v="-123292.31050000001"/>
  </r>
  <r>
    <s v="SWAP_280"/>
    <x v="2"/>
    <x v="5"/>
    <n v="-39233.589999999997"/>
    <n v="-15779.36"/>
  </r>
  <r>
    <s v="SWAP_279"/>
    <x v="2"/>
    <x v="1"/>
    <n v="-29205.759999999998"/>
    <n v="-14241.48"/>
  </r>
  <r>
    <s v="SWAP_273"/>
    <x v="2"/>
    <x v="5"/>
    <n v="52671.56"/>
    <n v="81172.2"/>
  </r>
  <r>
    <s v="SWAP_271"/>
    <x v="2"/>
    <x v="5"/>
    <n v="-213314.38"/>
    <n v="-185932.4"/>
  </r>
  <r>
    <s v="SWAP_265"/>
    <x v="2"/>
    <x v="5"/>
    <n v="-222201.44"/>
    <n v="-190956.58"/>
  </r>
  <r>
    <s v="SWAP_244"/>
    <x v="2"/>
    <x v="1"/>
    <n v="-35096.81"/>
    <n v="-26996.94"/>
  </r>
  <r>
    <s v="SWAP_243"/>
    <x v="2"/>
    <x v="5"/>
    <n v="-48171.46"/>
    <n v="-27650.99"/>
  </r>
  <r>
    <s v="SWAP_264"/>
    <x v="2"/>
    <x v="1"/>
    <n v="-194186.07"/>
    <n v="-156940.04"/>
  </r>
  <r>
    <s v="SWAP_284"/>
    <x v="2"/>
    <x v="1"/>
    <n v="58268.34"/>
    <n v="70020.12"/>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n v="0"/>
    <x v="3"/>
    <x v="8"/>
    <n v="0"/>
    <n v="0"/>
  </r>
  <r>
    <m/>
    <x v="4"/>
    <x v="9"/>
    <m/>
    <m/>
  </r>
  <r>
    <m/>
    <x v="4"/>
    <x v="9"/>
    <m/>
    <m/>
  </r>
  <r>
    <m/>
    <x v="4"/>
    <x v="9"/>
    <m/>
    <m/>
  </r>
  <r>
    <m/>
    <x v="4"/>
    <x v="9"/>
    <m/>
    <m/>
  </r>
  <r>
    <m/>
    <x v="4"/>
    <x v="9"/>
    <m/>
    <m/>
  </r>
  <r>
    <m/>
    <x v="4"/>
    <x v="9"/>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n v="0"/>
    <x v="0"/>
    <x v="0"/>
    <n v="0"/>
    <n v="0"/>
    <n v="0"/>
    <n v="0"/>
    <d v="1899-12-30T00:00:00"/>
    <d v="1899-12-30T00:00:00"/>
    <d v="1899-12-30T00:00:00"/>
    <n v="0"/>
    <n v="0"/>
    <n v="0"/>
    <n v="0"/>
  </r>
  <r>
    <m/>
    <x v="1"/>
    <x v="1"/>
    <m/>
    <m/>
    <m/>
    <m/>
    <m/>
    <m/>
    <m/>
    <m/>
    <m/>
    <m/>
    <m/>
  </r>
  <r>
    <m/>
    <x v="1"/>
    <x v="1"/>
    <m/>
    <m/>
    <m/>
    <m/>
    <m/>
    <m/>
    <m/>
    <m/>
    <m/>
    <m/>
    <m/>
  </r>
  <r>
    <m/>
    <x v="1"/>
    <x v="1"/>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s v="BDFWD100000015"/>
    <m/>
    <x v="0"/>
    <n v="28700000"/>
    <n v="-10710026.33"/>
    <n v="-10694068.619204"/>
    <n v="-0.37317164912891987"/>
    <n v="-0.37261563133114983"/>
    <n v="5.0000000000000001E-3"/>
    <n v="-5.5601779777003646E-4"/>
    <s v=""/>
    <m/>
  </r>
  <r>
    <s v="BDFWD100000028"/>
    <m/>
    <x v="0"/>
    <n v="27000000"/>
    <n v="-7932340.2000000002"/>
    <n v="-7906455.8180910004"/>
    <n v="-0.29379037777777778"/>
    <n v="-0.29283169696633338"/>
    <n v="5.0000000000000001E-3"/>
    <n v="-9.586808114444012E-4"/>
    <s v=""/>
    <m/>
  </r>
  <r>
    <s v="BDFWD100000005"/>
    <m/>
    <x v="1"/>
    <n v="58000000"/>
    <n v="-23474189.760000002"/>
    <n v="-23446574.785"/>
    <n v="-0.40472740965517245"/>
    <n v="-0.40425128939655175"/>
    <n v="5.0000000000000001E-3"/>
    <n v="-4.7612025862070473E-4"/>
    <s v=""/>
    <m/>
  </r>
  <r>
    <s v="BDFWD100000020"/>
    <m/>
    <x v="2"/>
    <n v="26000000"/>
    <n v="-9472087.8599999994"/>
    <n v="-9449179.7100000009"/>
    <n v="-0.36431107153846154"/>
    <n v="-0.36342998884615391"/>
    <n v="5.0000000000000001E-3"/>
    <n v="-8.8108269230763314E-4"/>
    <s v=""/>
    <m/>
  </r>
  <r>
    <s v="BDFWD100000022"/>
    <m/>
    <x v="2"/>
    <n v="30600000"/>
    <n v="-9729946.1899999995"/>
    <n v="-9721615.75"/>
    <n v="-0.3179720977124183"/>
    <n v="-0.31769986111111109"/>
    <n v="5.0000000000000001E-3"/>
    <n v="-2.722366013072075E-4"/>
    <s v=""/>
    <m/>
  </r>
  <r>
    <s v="BDFWD100000018"/>
    <m/>
    <x v="3"/>
    <n v="30000000"/>
    <n v="-10580743.560000001"/>
    <n v="-10529048.309303001"/>
    <n v="-0.35269145200000002"/>
    <n v="-0.35096827697676669"/>
    <n v="5.0000000000000001E-3"/>
    <n v="-1.7231750232333254E-3"/>
    <s v=""/>
    <m/>
  </r>
  <r>
    <s v="BDFWD100000024"/>
    <m/>
    <x v="3"/>
    <n v="25000000"/>
    <n v="-8278982.9900000002"/>
    <n v="-8235904.287583"/>
    <n v="-0.3311593196"/>
    <n v="-0.32943617150332"/>
    <n v="5.0000000000000001E-3"/>
    <n v="-1.723148096680005E-3"/>
    <s v=""/>
    <m/>
  </r>
  <r>
    <s v="BDFWD100000030"/>
    <m/>
    <x v="3"/>
    <n v="29000000"/>
    <n v="-6818017.4400000004"/>
    <n v="-6777295.2884170003"/>
    <n v="-0.23510404965517243"/>
    <n v="-0.23369983753162071"/>
    <n v="5.0000000000000001E-3"/>
    <n v="-1.4042121235517124E-3"/>
    <s v=""/>
    <m/>
  </r>
  <r>
    <s v="BDFWD100000032"/>
    <m/>
    <x v="4"/>
    <n v="27000000"/>
    <n v="-6248529.5"/>
    <n v="-6280097.8399999999"/>
    <n v="-0.23142701851851852"/>
    <n v="-0.23259621629629629"/>
    <n v="5.0000000000000001E-3"/>
    <n v="1.1691977777777696E-3"/>
    <s v=""/>
    <m/>
  </r>
  <r>
    <s v="BDFWD100000069"/>
    <m/>
    <x v="5"/>
    <n v="11000000"/>
    <n v="-600560.98"/>
    <n v="-641551.68299999996"/>
    <n v="-5.4596452727272725E-2"/>
    <n v="-5.8322880272727272E-2"/>
    <n v="5.0000000000000001E-3"/>
    <n v="3.726427545454547E-3"/>
    <s v=""/>
    <m/>
  </r>
  <r>
    <s v="BDFWD100000068"/>
    <m/>
    <x v="5"/>
    <n v="11000000"/>
    <n v="-703039.29"/>
    <n v="-750995.46699999995"/>
    <n v="-6.3912662727272737E-2"/>
    <n v="-6.8272315181818172E-2"/>
    <n v="5.0000000000000001E-3"/>
    <n v="4.3596524545454346E-3"/>
    <s v=""/>
    <m/>
  </r>
  <r>
    <s v="BDFWD100000067"/>
    <m/>
    <x v="5"/>
    <n v="8500000"/>
    <n v="-561746.28"/>
    <n v="-591018.72199999995"/>
    <n v="-6.6087797647058827E-2"/>
    <n v="-6.9531614352941168E-2"/>
    <n v="5.0000000000000001E-3"/>
    <n v="3.443816705882341E-3"/>
    <s v=""/>
    <m/>
  </r>
  <r>
    <s v="BDFWD100000073"/>
    <m/>
    <x v="2"/>
    <n v="22000000"/>
    <n v="-1096042.72"/>
    <n v="-1079764.52"/>
    <n v="-4.9820123636363636E-2"/>
    <n v="-4.9080205454545459E-2"/>
    <n v="5.0000000000000001E-3"/>
    <n v="-7.399181818181777E-4"/>
    <s v=""/>
    <m/>
  </r>
  <r>
    <s v="BDFWD100000077"/>
    <m/>
    <x v="0"/>
    <n v="16500000"/>
    <n v="-643669.16"/>
    <n v="-638802.92764999997"/>
    <n v="-3.9010252121212126E-2"/>
    <n v="-3.8715328948484846E-2"/>
    <n v="5.0000000000000001E-3"/>
    <n v="-2.9492317272727941E-4"/>
    <s v=""/>
    <m/>
  </r>
  <r>
    <s v="BDFWD100000081"/>
    <m/>
    <x v="5"/>
    <n v="11000000"/>
    <n v="-816916.99"/>
    <n v="-861826.66099999996"/>
    <n v="-7.4265180909090914E-2"/>
    <n v="-7.8347878272727267E-2"/>
    <n v="5.0000000000000001E-3"/>
    <n v="4.0826973636363534E-3"/>
    <s v=""/>
    <m/>
  </r>
  <r>
    <s v="BDFWD100000080"/>
    <m/>
    <x v="5"/>
    <n v="16000000"/>
    <n v="-1185396.33"/>
    <n v="-1268385.2649999999"/>
    <n v="-7.4087270625000007E-2"/>
    <n v="-7.9274079062499989E-2"/>
    <n v="5.0000000000000001E-3"/>
    <n v="5.1868084374999818E-3"/>
    <s v="alerte"/>
    <s v="léger dépassement peu significatif"/>
  </r>
  <r>
    <s v="BDFWD100000083"/>
    <m/>
    <x v="6"/>
    <n v="38000000"/>
    <n v="-2664836.59"/>
    <n v="-2764554.17"/>
    <n v="-7.0127278684210523E-2"/>
    <n v="-7.2751425526315791E-2"/>
    <n v="5.0000000000000001E-3"/>
    <n v="2.6241468421052683E-3"/>
    <s v=""/>
    <m/>
  </r>
  <r>
    <s v="BDFWD100000087"/>
    <m/>
    <x v="2"/>
    <n v="24000000"/>
    <n v="-1578015.45"/>
    <n v="-1527394.92"/>
    <n v="-6.5750643750000004E-2"/>
    <n v="-6.3641455E-2"/>
    <n v="5.0000000000000001E-3"/>
    <n v="-2.1091887500000045E-3"/>
    <s v=""/>
    <m/>
  </r>
  <r>
    <s v="BDFWD100000086"/>
    <m/>
    <x v="2"/>
    <n v="16500000"/>
    <n v="-1078891.73"/>
    <n v="-1058299.31"/>
    <n v="-6.5387377575757577E-2"/>
    <n v="-6.413935212121212E-2"/>
    <n v="5.0000000000000001E-3"/>
    <n v="-1.2480254545454567E-3"/>
    <s v=""/>
    <m/>
  </r>
  <r>
    <s v="BDFWD100000090"/>
    <m/>
    <x v="4"/>
    <n v="16500000"/>
    <n v="-1109508.74"/>
    <n v="-1111801.22"/>
    <n v="-6.7242953939393946E-2"/>
    <n v="-6.7381892121212122E-2"/>
    <n v="5.0000000000000001E-3"/>
    <n v="1.3893818181817674E-4"/>
    <s v=""/>
    <m/>
  </r>
  <r>
    <s v="BDFWD100000094"/>
    <m/>
    <x v="6"/>
    <n v="16000000"/>
    <n v="-975400.51"/>
    <n v="-1017458.15"/>
    <n v="-6.0962531875000003E-2"/>
    <n v="-6.3591134374999997E-2"/>
    <n v="5.0000000000000001E-3"/>
    <n v="2.6286024999999935E-3"/>
    <s v=""/>
    <m/>
  </r>
  <r>
    <s v="BDFWD100000092"/>
    <m/>
    <x v="6"/>
    <n v="21000000"/>
    <n v="-1250132.71"/>
    <n v="-1350135.18"/>
    <n v="-5.9530129047619049E-2"/>
    <n v="-6.429215142857142E-2"/>
    <n v="5.0000000000000001E-3"/>
    <n v="4.7620223809523715E-3"/>
    <s v=""/>
    <m/>
  </r>
  <r>
    <s v="BDFWD100000099"/>
    <m/>
    <x v="4"/>
    <n v="20000000"/>
    <n v="-833291.44"/>
    <n v="-872463.55"/>
    <n v="-4.1664571999999997E-2"/>
    <n v="-4.3623177500000006E-2"/>
    <n v="5.0000000000000001E-3"/>
    <n v="1.9586055000000088E-3"/>
    <s v=""/>
    <m/>
  </r>
  <r>
    <s v="BDFWD100000101"/>
    <m/>
    <x v="6"/>
    <n v="12000000"/>
    <n v="-487944.21"/>
    <n v="-519498.5"/>
    <n v="-4.0662017500000001E-2"/>
    <n v="-4.3291541666666669E-2"/>
    <n v="5.0000000000000001E-3"/>
    <n v="2.6295241666666677E-3"/>
    <s v=""/>
    <m/>
  </r>
  <r>
    <s v="BDFWD100000100"/>
    <m/>
    <x v="6"/>
    <n v="22000000"/>
    <n v="-906693.37"/>
    <n v="-980762.67"/>
    <n v="-4.1213334999999997E-2"/>
    <n v="-4.4580121363636364E-2"/>
    <n v="5.0000000000000001E-3"/>
    <n v="3.3667863636363676E-3"/>
    <s v=""/>
    <m/>
  </r>
  <r>
    <s v="BDFWD100000103"/>
    <m/>
    <x v="2"/>
    <n v="11000000"/>
    <n v="-461392.22"/>
    <n v="-445689.46"/>
    <n v="-4.1944747272727269E-2"/>
    <n v="-4.051722363636364E-2"/>
    <n v="5.0000000000000001E-3"/>
    <n v="-1.4275236363636284E-3"/>
    <s v=""/>
    <m/>
  </r>
  <r>
    <s v="BDFWD100000109"/>
    <m/>
    <x v="0"/>
    <n v="23000000"/>
    <n v="-884186.09"/>
    <n v="-844640.23470000003"/>
    <n v="-3.8442873478260871E-2"/>
    <n v="-3.6723488465217391E-2"/>
    <n v="5.0000000000000001E-3"/>
    <n v="-1.7193850130434798E-3"/>
    <s v=""/>
    <m/>
  </r>
  <r>
    <s v="BDFWD100000108"/>
    <m/>
    <x v="7"/>
    <n v="11000000"/>
    <n v="-429423.03"/>
    <n v="-404900.34"/>
    <n v="-3.9038457272727277E-2"/>
    <n v="-3.6809121818181821E-2"/>
    <n v="5.0000000000000001E-3"/>
    <n v="-2.2293354545454558E-3"/>
    <s v=""/>
    <m/>
  </r>
  <r>
    <s v="BDFWD100000107"/>
    <m/>
    <x v="7"/>
    <n v="22700000"/>
    <n v="-850923.82"/>
    <n v="-827877.65"/>
    <n v="-3.7485630837004402E-2"/>
    <n v="-3.6470381057268721E-2"/>
    <n v="5.0000000000000001E-3"/>
    <n v="-1.0152497797356816E-3"/>
    <s v=""/>
    <m/>
  </r>
  <r>
    <s v="BDFWD100000114"/>
    <m/>
    <x v="0"/>
    <n v="23000000"/>
    <n v="-465128.84"/>
    <n v="-426474.51744800003"/>
    <n v="-2.0222993043478261E-2"/>
    <n v="-1.8542370323826086E-2"/>
    <n v="5.0000000000000001E-3"/>
    <n v="-1.6806227196521743E-3"/>
    <s v=""/>
    <m/>
  </r>
  <r>
    <s v="BDFWD100000115"/>
    <m/>
    <x v="2"/>
    <n v="20000000"/>
    <n v="-448395.49"/>
    <n v="-396756.58"/>
    <n v="-2.24197745E-2"/>
    <n v="-1.9837829000000001E-2"/>
    <n v="5.0000000000000001E-3"/>
    <n v="-2.5819454999999984E-3"/>
    <s v=""/>
    <m/>
  </r>
  <r>
    <s v="BDFWD100000113"/>
    <m/>
    <x v="2"/>
    <n v="17000000"/>
    <n v="-317614.31"/>
    <n v="-295484.58"/>
    <n v="-1.8683194705882353E-2"/>
    <n v="-1.7381445882352943E-2"/>
    <n v="5.0000000000000001E-3"/>
    <n v="-1.3017488235294097E-3"/>
    <s v=""/>
    <m/>
  </r>
  <r>
    <s v="BDFWD100000120"/>
    <m/>
    <x v="5"/>
    <n v="20500000"/>
    <n v="-340310.24"/>
    <n v="-304573.79599999997"/>
    <n v="-1.6600499512195121E-2"/>
    <n v="-1.4857258341463413E-2"/>
    <n v="5.0000000000000001E-3"/>
    <n v="-1.7432411707317078E-3"/>
    <s v=""/>
    <m/>
  </r>
  <r>
    <s v="BDFWD100000132"/>
    <m/>
    <x v="1"/>
    <n v="23500000"/>
    <n v="11464.58"/>
    <n v="39751.294000000002"/>
    <n v="4.878544680851064E-4"/>
    <n v="1.6915444255319149E-3"/>
    <n v="5.0000000000000001E-3"/>
    <n v="-1.2036899574468084E-3"/>
    <s v=""/>
    <m/>
  </r>
  <r>
    <s v="BDFWD100000128"/>
    <m/>
    <x v="8"/>
    <n v="20000000"/>
    <n v="-159488.29999999999"/>
    <n v="-136104.32999999999"/>
    <n v="-7.9744149999999986E-3"/>
    <n v="-6.8052164999999991E-3"/>
    <n v="5.0000000000000001E-3"/>
    <n v="-1.1691984999999995E-3"/>
    <s v=""/>
    <m/>
  </r>
  <r>
    <s v="BDFWD100000133"/>
    <m/>
    <x v="2"/>
    <n v="23000000"/>
    <n v="-53778.39"/>
    <n v="-25519.94"/>
    <n v="-2.3381908695652175E-3"/>
    <n v="-1.1095626086956522E-3"/>
    <n v="5.0000000000000001E-3"/>
    <n v="-1.2286282608695654E-3"/>
    <s v=""/>
    <m/>
  </r>
  <r>
    <s v="BDFWD100000127"/>
    <m/>
    <x v="2"/>
    <n v="20000000"/>
    <n v="-169068.25"/>
    <n v="-144192.87"/>
    <n v="-8.4534125000000002E-3"/>
    <n v="-7.2096434999999997E-3"/>
    <n v="5.0000000000000001E-3"/>
    <n v="-1.2437690000000005E-3"/>
    <s v=""/>
    <m/>
  </r>
  <r>
    <s v="BDFWD100000126"/>
    <m/>
    <x v="2"/>
    <n v="15000000"/>
    <n v="-90996.81"/>
    <n v="-82277.070000000007"/>
    <n v="-6.0664539999999998E-3"/>
    <n v="-5.4851380000000005E-3"/>
    <n v="5.0000000000000001E-3"/>
    <n v="-5.8131599999999926E-4"/>
    <s v=""/>
    <m/>
  </r>
  <r>
    <s v="BDFWD100000135"/>
    <m/>
    <x v="2"/>
    <n v="20000000"/>
    <n v="16585.47"/>
    <n v="49835.49"/>
    <n v="8.2927350000000001E-4"/>
    <n v="2.4917744999999997E-3"/>
    <n v="5.0000000000000001E-3"/>
    <n v="-1.6625009999999998E-3"/>
    <s v=""/>
    <m/>
  </r>
  <r>
    <s v="BDFWD100000140"/>
    <m/>
    <x v="5"/>
    <n v="18500000"/>
    <n v="193700"/>
    <n v="0"/>
    <n v="1.047027027027027E-2"/>
    <n v="0"/>
    <n v="5.0000000000000001E-3"/>
    <n v="1.047027027027027E-2"/>
    <s v="alerte"/>
    <s v="soucis coté JP en cours d'echange avec leur middle office"/>
  </r>
  <r>
    <s v="BDFWD100000139"/>
    <m/>
    <x v="2"/>
    <n v="12000000"/>
    <n v="209623.79"/>
    <n v="216327.31"/>
    <n v="1.7468649166666666E-2"/>
    <n v="1.8027275833333332E-2"/>
    <n v="1.0049999999999999"/>
    <n v="-5.5862666666666588E-4"/>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s v="69227200"/>
    <s v="IRSB100000088"/>
    <x v="0"/>
    <n v="0.214"/>
    <n v="3.484"/>
    <n v="3.2749999999999999"/>
    <n v="-2635.12"/>
    <n v="-2635.12"/>
    <n v="2077.27"/>
    <n v="-12352.851210000001"/>
    <s v=""/>
    <n v="7565112.8600000003"/>
    <n v="-6340823.3099999996"/>
    <n v="14760874"/>
    <s v="Cross Currency Asset Swap"/>
    <s v="RATES"/>
    <s v=""/>
    <s v=""/>
    <n v="1"/>
    <s v="Success"/>
    <s v=""/>
    <s v=""/>
    <s v=""/>
  </r>
  <r>
    <s v="69211698"/>
    <s v="IRSB100000086"/>
    <x v="1"/>
    <n v="0.215"/>
    <n v="3.4790000000000001"/>
    <n v="3.2749999999999999"/>
    <n v="-2634.87"/>
    <n v="-2634.87"/>
    <n v="2077.27"/>
    <n v="-2320.3832299999999"/>
    <s v=""/>
    <n v="7575145.3300000001"/>
    <n v="-6340823.3099999996"/>
    <n v="14760875"/>
    <s v="Cross Currency Asset Swap"/>
    <s v="RATES"/>
    <s v=""/>
    <s v=""/>
    <n v="1"/>
    <s v="Success"/>
    <s v=""/>
    <s v=""/>
    <s v=""/>
  </r>
  <r>
    <s v="69189004"/>
    <s v="IRSB100000084"/>
    <x v="2"/>
    <n v="9.1999999999999998E-2"/>
    <n v="1.92"/>
    <n v="1.84"/>
    <n v="-2364.9299999999998"/>
    <n v="-2364.9299999999998"/>
    <n v="1887.26"/>
    <n v="60957.046979999999"/>
    <s v=""/>
    <n v="12316990.199999999"/>
    <n v="-10255848.550000001"/>
    <n v="14760877"/>
    <s v="Cross Currency Asset Swap"/>
    <s v="RATES"/>
    <s v=""/>
    <s v=""/>
    <n v="1"/>
    <s v="Success"/>
    <s v=""/>
    <s v=""/>
    <s v=""/>
  </r>
  <r>
    <s v="69174181"/>
    <s v="IRSB100000082"/>
    <x v="3"/>
    <n v="0.13800000000000001"/>
    <n v="3.4809999999999999"/>
    <n v="3.2749999999999999"/>
    <n v="-3012.75"/>
    <n v="-3012.75"/>
    <n v="2423.48"/>
    <n v="-183295.04574"/>
    <s v=""/>
    <n v="8657081.6199999992"/>
    <n v="-7397627.1900000004"/>
    <n v="14760881"/>
    <s v="Cross Currency Asset Swap"/>
    <s v="RATES"/>
    <s v=""/>
    <s v=""/>
    <n v="1"/>
    <s v="Success"/>
    <s v=""/>
    <s v=""/>
    <s v=""/>
  </r>
  <r>
    <s v="69163276"/>
    <s v="IRSB100000076"/>
    <x v="4"/>
    <n v="0.14099999999999999"/>
    <n v="3.476"/>
    <n v="3.2749999999999999"/>
    <n v="-3445.8"/>
    <n v="-3445.8"/>
    <n v="2769.69"/>
    <n v="-187822.17149000001"/>
    <s v=""/>
    <n v="9915465.4600000009"/>
    <n v="-8454431.0899999999"/>
    <n v="14760888"/>
    <s v="Cross Currency Asset Swap"/>
    <s v="RATES"/>
    <s v=""/>
    <s v=""/>
    <n v="1"/>
    <s v="Success"/>
    <s v=""/>
    <s v=""/>
    <s v=""/>
  </r>
  <r>
    <s v="69063721"/>
    <s v="IRSB100000072"/>
    <x v="5"/>
    <n v="7.0000000000000007E-2"/>
    <n v="1.9179999999999999"/>
    <n v="1.84"/>
    <n v="-1169.27"/>
    <n v="-1169.27"/>
    <n v="943.63"/>
    <n v="-31282.763770000001"/>
    <s v=""/>
    <n v="6096733.8099999996"/>
    <n v="-5127924.2699999996"/>
    <n v="14760892"/>
    <s v="Cross Currency Asset Swap"/>
    <s v="RATES"/>
    <s v=""/>
    <s v=""/>
    <n v="1"/>
    <s v="Success"/>
    <s v=""/>
    <s v=""/>
    <s v=""/>
  </r>
  <r>
    <s v="69015063"/>
    <s v="IRSB100000070"/>
    <x v="6"/>
    <n v="7.0999999999999994E-2"/>
    <n v="1.919"/>
    <n v="1.84"/>
    <n v="-1684.44"/>
    <n v="-1684.44"/>
    <n v="1358.83"/>
    <n v="-42662.228199999998"/>
    <s v=""/>
    <n v="8781681.6400000006"/>
    <n v="-7384210.9500000002"/>
    <n v="14760894"/>
    <s v="Cross Currency Asset Swap"/>
    <s v="RATES"/>
    <s v=""/>
    <s v=""/>
    <n v="1"/>
    <s v="Success"/>
    <s v=""/>
    <s v=""/>
    <s v=""/>
  </r>
  <r>
    <s v="69146070"/>
    <s v="IRSB100000073"/>
    <x v="7"/>
    <n v="0.17899999999999999"/>
    <n v="3.4689999999999999"/>
    <n v="3.2749999999999999"/>
    <n v="-6526.16"/>
    <n v="-6526.16"/>
    <n v="5193.17"/>
    <n v="-128259.81806000001"/>
    <s v=""/>
    <n v="18815404.469999999"/>
    <n v="-15852058.279999999"/>
    <n v="14760896"/>
    <s v="Cross Currency Asset Swap"/>
    <s v="RATES"/>
    <s v=""/>
    <s v=""/>
    <n v="1"/>
    <s v="Success"/>
    <s v=""/>
    <s v=""/>
    <s v=""/>
  </r>
  <r>
    <s v="69245196"/>
    <s v="IRSB100000033"/>
    <x v="8"/>
    <n v="9.7000000000000003E-2"/>
    <n v="1.921"/>
    <n v="1.84"/>
    <n v="-1719.17"/>
    <n v="-1719.17"/>
    <n v="1368.26"/>
    <n v="64389.687619999997"/>
    <s v=""/>
    <n v="8950013.7200000007"/>
    <n v="-7435490.1900000004"/>
    <n v="14760899"/>
    <s v="Cross Currency Asset Swap"/>
    <s v="RATES"/>
    <s v=""/>
    <s v=""/>
    <n v="1"/>
    <s v="Success"/>
    <s v=""/>
    <s v=""/>
    <s v=""/>
  </r>
  <r>
    <m/>
    <m/>
    <x v="9"/>
    <m/>
    <m/>
    <m/>
    <m/>
    <m/>
    <m/>
    <m/>
    <m/>
    <m/>
    <m/>
    <m/>
    <m/>
    <m/>
    <m/>
    <m/>
    <m/>
    <m/>
    <m/>
    <m/>
    <m/>
  </r>
  <r>
    <m/>
    <m/>
    <x v="9"/>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242A3D-F9C0-4292-8909-078F5A846CEC}" name="Tableau croisé dynamique1" cacheId="2"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location ref="F3:H8" firstHeaderRow="0" firstDataRow="1" firstDataCol="1"/>
  <pivotFields count="14">
    <pivotField showAll="0"/>
    <pivotField axis="axisRow" showAll="0">
      <items count="3">
        <item x="0"/>
        <item x="1"/>
        <item t="default"/>
      </items>
    </pivotField>
    <pivotField axis="axisRow" showAll="0">
      <items count="3">
        <item x="1"/>
        <item x="0"/>
        <item t="default"/>
      </items>
    </pivotField>
    <pivotField numFmtId="3" showAll="0"/>
    <pivotField showAll="0"/>
    <pivotField numFmtId="3" showAll="0"/>
    <pivotField showAll="0"/>
    <pivotField numFmtId="14" showAll="0"/>
    <pivotField numFmtId="14" showAll="0"/>
    <pivotField numFmtId="14" showAll="0"/>
    <pivotField showAll="0"/>
    <pivotField dataField="1" numFmtId="3" showAll="0"/>
    <pivotField dataField="1" numFmtId="3" showAll="0"/>
    <pivotField numFmtId="3" showAll="0"/>
  </pivotFields>
  <rowFields count="2">
    <field x="1"/>
    <field x="2"/>
  </rowFields>
  <rowItems count="5">
    <i>
      <x/>
    </i>
    <i r="1">
      <x v="1"/>
    </i>
    <i>
      <x v="1"/>
    </i>
    <i r="1">
      <x/>
    </i>
    <i t="grand">
      <x/>
    </i>
  </rowItems>
  <colFields count="1">
    <field x="-2"/>
  </colFields>
  <colItems count="2">
    <i>
      <x/>
    </i>
    <i i="1">
      <x v="1"/>
    </i>
  </colItems>
  <dataFields count="2">
    <dataField name="Somme de MTM_GAM" fld="11" baseField="0" baseItem="0"/>
    <dataField name="Somme de MTMCTP" fld="12" baseField="0" baseItem="0"/>
  </dataFields>
  <formats count="8">
    <format dxfId="7">
      <pivotArea outline="0" collapsedLevelsAreSubtotals="1" fieldPosition="0"/>
    </format>
    <format dxfId="6">
      <pivotArea type="all" dataOnly="0" outline="0" fieldPosition="0"/>
    </format>
    <format dxfId="5">
      <pivotArea outline="0" collapsedLevelsAreSubtotals="1" fieldPosition="0"/>
    </format>
    <format dxfId="4">
      <pivotArea field="1" type="button" dataOnly="0" labelOnly="1" outline="0" axis="axisRow" fieldPosition="0"/>
    </format>
    <format dxfId="3">
      <pivotArea dataOnly="0" labelOnly="1" fieldPosition="0">
        <references count="1">
          <reference field="1" count="0"/>
        </references>
      </pivotArea>
    </format>
    <format dxfId="2">
      <pivotArea dataOnly="0" labelOnly="1" grandRow="1" outline="0" fieldPosition="0"/>
    </format>
    <format dxfId="1">
      <pivotArea dataOnly="0" labelOnly="1" fieldPosition="0">
        <references count="2">
          <reference field="1" count="1" selected="0">
            <x v="1"/>
          </reference>
          <reference field="2" count="1">
            <x v="0"/>
          </reference>
        </references>
      </pivotArea>
    </format>
    <format dxfId="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B3C8D2-FB35-498D-B2BA-41DBDF8C990D}" name="Tableau croisé dynamique4" cacheId="3"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location ref="F21:H31" firstHeaderRow="0" firstDataRow="1" firstDataCol="1"/>
  <pivotFields count="12">
    <pivotField showAll="0"/>
    <pivotField showAll="0"/>
    <pivotField axis="axisRow" showAll="0">
      <items count="11">
        <item x="0"/>
        <item x="1"/>
        <item x="2"/>
        <item x="3"/>
        <item x="4"/>
        <item m="1" x="9"/>
        <item x="5"/>
        <item x="6"/>
        <item x="7"/>
        <item x="8"/>
        <item t="default"/>
      </items>
    </pivotField>
    <pivotField numFmtId="3" showAll="0"/>
    <pivotField dataField="1" numFmtId="3" showAll="0"/>
    <pivotField dataField="1" numFmtId="3" showAll="0"/>
    <pivotField numFmtId="10" showAll="0"/>
    <pivotField numFmtId="10" showAll="0"/>
    <pivotField numFmtId="10" showAll="0"/>
    <pivotField numFmtId="10" showAll="0"/>
    <pivotField showAll="0"/>
    <pivotField showAll="0"/>
  </pivotFields>
  <rowFields count="1">
    <field x="2"/>
  </rowFields>
  <rowItems count="10">
    <i>
      <x/>
    </i>
    <i>
      <x v="1"/>
    </i>
    <i>
      <x v="2"/>
    </i>
    <i>
      <x v="3"/>
    </i>
    <i>
      <x v="4"/>
    </i>
    <i>
      <x v="6"/>
    </i>
    <i>
      <x v="7"/>
    </i>
    <i>
      <x v="8"/>
    </i>
    <i>
      <x v="9"/>
    </i>
    <i t="grand">
      <x/>
    </i>
  </rowItems>
  <colFields count="1">
    <field x="-2"/>
  </colFields>
  <colItems count="2">
    <i>
      <x/>
    </i>
    <i i="1">
      <x v="1"/>
    </i>
  </colItems>
  <dataFields count="2">
    <dataField name="Somme de Prix GAM" fld="4" baseField="0" baseItem="0"/>
    <dataField name="Somme de Prix CTP" fld="5"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A72FEF-6F0A-4856-80BF-AAF98D11A5D6}" name="Tableau croisé dynamique2" cacheId="1"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location ref="B3:D27" firstHeaderRow="0" firstDataRow="1" firstDataCol="1"/>
  <pivotFields count="5">
    <pivotField showAll="0"/>
    <pivotField axis="axisRow" showAll="0">
      <items count="6">
        <item x="3"/>
        <item x="0"/>
        <item x="1"/>
        <item x="2"/>
        <item x="4"/>
        <item t="default"/>
      </items>
    </pivotField>
    <pivotField axis="axisRow" showAll="0">
      <items count="11">
        <item x="8"/>
        <item x="4"/>
        <item x="0"/>
        <item x="3"/>
        <item x="2"/>
        <item x="5"/>
        <item x="1"/>
        <item x="7"/>
        <item x="6"/>
        <item x="9"/>
        <item t="default"/>
      </items>
    </pivotField>
    <pivotField dataField="1" numFmtId="3" showAll="0"/>
    <pivotField dataField="1" showAll="0"/>
  </pivotFields>
  <rowFields count="2">
    <field x="2"/>
    <field x="1"/>
  </rowFields>
  <rowItems count="24">
    <i>
      <x/>
    </i>
    <i r="1">
      <x/>
    </i>
    <i>
      <x v="1"/>
    </i>
    <i r="1">
      <x v="1"/>
    </i>
    <i r="1">
      <x v="2"/>
    </i>
    <i>
      <x v="2"/>
    </i>
    <i r="1">
      <x v="1"/>
    </i>
    <i>
      <x v="3"/>
    </i>
    <i r="1">
      <x v="1"/>
    </i>
    <i>
      <x v="4"/>
    </i>
    <i r="1">
      <x v="1"/>
    </i>
    <i>
      <x v="5"/>
    </i>
    <i r="1">
      <x v="2"/>
    </i>
    <i r="1">
      <x v="3"/>
    </i>
    <i>
      <x v="6"/>
    </i>
    <i r="1">
      <x v="1"/>
    </i>
    <i r="1">
      <x v="3"/>
    </i>
    <i>
      <x v="7"/>
    </i>
    <i r="1">
      <x v="2"/>
    </i>
    <i>
      <x v="8"/>
    </i>
    <i r="1">
      <x v="2"/>
    </i>
    <i>
      <x v="9"/>
    </i>
    <i r="1">
      <x v="4"/>
    </i>
    <i t="grand">
      <x/>
    </i>
  </rowItems>
  <colFields count="1">
    <field x="-2"/>
  </colFields>
  <colItems count="2">
    <i>
      <x/>
    </i>
    <i i="1">
      <x v="1"/>
    </i>
  </colItems>
  <dataFields count="2">
    <dataField name="Somme de Dirty Value GAM" fld="3" baseField="0" baseItem="0"/>
    <dataField name="Somme de Dirty Value CTP" fld="4" baseField="2" baseItem="0"/>
  </dataFields>
  <formats count="2">
    <format dxfId="10">
      <pivotArea grandRow="1" outline="0" collapsedLevelsAreSubtotals="1" fieldPosition="0"/>
    </format>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F20A5C-F851-4F37-823C-76DF47CA02DB}" name="Tableau croisé dynamique3" cacheId="9"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location ref="B5:H16" firstHeaderRow="0" firstDataRow="1" firstDataCol="1"/>
  <pivotFields count="23">
    <pivotField showAll="0"/>
    <pivotField showAll="0"/>
    <pivotField axis="axisRow" showAll="0">
      <items count="11">
        <item x="6"/>
        <item x="5"/>
        <item x="7"/>
        <item x="4"/>
        <item x="3"/>
        <item x="2"/>
        <item x="1"/>
        <item x="0"/>
        <item x="8"/>
        <item x="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numFmtId="173" showAll="0"/>
    <pivotField showAll="0"/>
    <pivotField showAll="0"/>
    <pivotField showAll="0"/>
    <pivotField showAll="0"/>
    <pivotField showAll="0"/>
    <pivotField showAll="0"/>
    <pivotField showAll="0"/>
    <pivotField showAll="0"/>
    <pivotField showAll="0"/>
  </pivotFields>
  <rowFields count="1">
    <field x="2"/>
  </rowFields>
  <rowItems count="11">
    <i>
      <x/>
    </i>
    <i>
      <x v="1"/>
    </i>
    <i>
      <x v="2"/>
    </i>
    <i>
      <x v="3"/>
    </i>
    <i>
      <x v="4"/>
    </i>
    <i>
      <x v="5"/>
    </i>
    <i>
      <x v="6"/>
    </i>
    <i>
      <x v="7"/>
    </i>
    <i>
      <x v="8"/>
    </i>
    <i>
      <x v="9"/>
    </i>
    <i t="grand">
      <x/>
    </i>
  </rowItems>
  <colFields count="1">
    <field x="-2"/>
  </colFields>
  <colItems count="6">
    <i>
      <x/>
    </i>
    <i i="1">
      <x v="1"/>
    </i>
    <i i="2">
      <x v="2"/>
    </i>
    <i i="3">
      <x v="3"/>
    </i>
    <i i="4">
      <x v="4"/>
    </i>
    <i i="5">
      <x v="5"/>
    </i>
  </colItems>
  <dataFields count="6">
    <dataField name="Somme de IR Duration" fld="3" baseField="0" baseItem="0"/>
    <dataField name="Somme de IR Leg 1 Duration" fld="4" baseField="0" baseItem="0"/>
    <dataField name="Somme de IR Leg 2 Duration" fld="5" baseField="0" baseItem="0"/>
    <dataField name="Somme de DV01" fld="6" baseField="0" baseItem="0"/>
    <dataField name="Somme de IR Leg 1 DV01" fld="7" baseField="0" baseItem="0"/>
    <dataField name="Somme de IR Leg 2 DV01"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B1:V27"/>
  <sheetViews>
    <sheetView tabSelected="1" workbookViewId="0">
      <selection activeCell="D39" sqref="D39"/>
    </sheetView>
  </sheetViews>
  <sheetFormatPr baseColWidth="10" defaultColWidth="11.42578125" defaultRowHeight="12.75" x14ac:dyDescent="0.2"/>
  <cols>
    <col min="1" max="2" width="11.42578125" style="5"/>
    <col min="3" max="3" width="13.85546875" style="5" customWidth="1"/>
    <col min="4" max="10" width="15.5703125" style="5" customWidth="1"/>
    <col min="11" max="11" width="22.5703125" style="5" customWidth="1"/>
    <col min="12" max="16384" width="11.42578125" style="5"/>
  </cols>
  <sheetData>
    <row r="1" spans="2:18" ht="13.5" thickBot="1" x14ac:dyDescent="0.25"/>
    <row r="2" spans="2:18" ht="13.5" thickTop="1" x14ac:dyDescent="0.2">
      <c r="B2" s="8"/>
      <c r="C2" s="9"/>
      <c r="D2" s="9"/>
      <c r="E2" s="9"/>
      <c r="F2" s="9"/>
      <c r="G2" s="9"/>
      <c r="H2" s="9"/>
      <c r="I2" s="9"/>
      <c r="J2" s="9"/>
      <c r="K2" s="10"/>
      <c r="R2" s="5">
        <f>+D3</f>
        <v>45747</v>
      </c>
    </row>
    <row r="3" spans="2:18" x14ac:dyDescent="0.2">
      <c r="B3" s="11"/>
      <c r="C3" s="6" t="s">
        <v>302</v>
      </c>
      <c r="D3" s="7">
        <v>45747</v>
      </c>
      <c r="E3" s="102" t="s">
        <v>1675</v>
      </c>
      <c r="K3" s="12"/>
    </row>
    <row r="4" spans="2:18" ht="8.25" customHeight="1" x14ac:dyDescent="0.2">
      <c r="B4" s="11"/>
      <c r="D4" s="16" t="s">
        <v>422</v>
      </c>
      <c r="K4" s="12"/>
    </row>
    <row r="5" spans="2:18" x14ac:dyDescent="0.2">
      <c r="B5" s="11"/>
      <c r="C5" s="6" t="s">
        <v>303</v>
      </c>
      <c r="D5" s="6" t="str">
        <f>TEXT("C:\Users\cbonal\Cooperactions\GAM-E-Risk Perf - RMP\1.PROD\4.REPORTINGS SPEC CLIENTS\1.Groupe - IFT (CB-JB)"&amp;"\"&amp;YEAR(D3)&amp;"\"&amp;IF(MONTH(D3)&lt;10,"0"&amp;MONTH(D3),MONTH(D3))&amp; "-" &amp; YEAR(D3)&amp;"\prod\"&amp;TEXT(E3,),)</f>
        <v>C:\Users\cbonal\Cooperactions\GAM-E-Risk Perf - RMP\1.PROD\4.REPORTINGS SPEC CLIENTS\1.Groupe - IFT (CB-JB)\2025\03-2025\prod\close</v>
      </c>
      <c r="K5" s="12"/>
    </row>
    <row r="6" spans="2:18" x14ac:dyDescent="0.2">
      <c r="B6" s="11"/>
      <c r="D6" s="6" t="str">
        <f>TEXT("C:\Users\cbonal\Cooperactions\GAM-E-Risk Perf - RMP\1.PROD\4.REPORTINGS SPEC CLIENTS\1.Groupe - IFT (CB-JB)"&amp;"\"&amp;YEAR(D3)&amp;"\"&amp;IF(MONTH(D3)&lt;10,"0"&amp;MONTH(D3),MONTH(D3))&amp; "-" &amp; YEAR(D3)&amp;"\prod\"&amp;TEXT(E3,),)</f>
        <v>C:\Users\cbonal\Cooperactions\GAM-E-Risk Perf - RMP\1.PROD\4.REPORTINGS SPEC CLIENTS\1.Groupe - IFT (CB-JB)\2025\03-2025\prod\close</v>
      </c>
      <c r="K6" s="12"/>
    </row>
    <row r="7" spans="2:18" x14ac:dyDescent="0.2">
      <c r="B7" s="11"/>
      <c r="D7" s="6" t="s">
        <v>1121</v>
      </c>
      <c r="K7" s="12"/>
    </row>
    <row r="8" spans="2:18" ht="13.5" thickBot="1" x14ac:dyDescent="0.25">
      <c r="B8" s="13"/>
      <c r="C8" s="14"/>
      <c r="D8" s="14" t="str" cm="1">
        <f t="array" ref="D8">Get_Path()&amp;"\"&amp;YEAR(D3)&amp;"\"&amp;IF(MONTH(D3)&lt;10,"0"&amp;MONTH(D3),MONTH(D3))&amp; "-" &amp; YEAR(D3)&amp;"\prod\"&amp;TEXT(E3,)</f>
        <v>https://cooperactions.sharepoint.com/sites/GAM-E-Risques-Financiers-Performances/Documents partages/RMP/1.PROD/4.REPORTINGS SPEC CLIENTS/1.Groupe - IFT (CB-JB)\2025\03-2025\prod\close</v>
      </c>
      <c r="E8" s="14"/>
      <c r="F8" s="14"/>
      <c r="G8" s="14"/>
      <c r="H8" s="14"/>
      <c r="I8" s="14"/>
      <c r="J8" s="14"/>
      <c r="K8" s="15"/>
    </row>
    <row r="9" spans="2:18" ht="13.5" thickTop="1" x14ac:dyDescent="0.2"/>
    <row r="10" spans="2:18" ht="13.5" thickBot="1" x14ac:dyDescent="0.25"/>
    <row r="11" spans="2:18" x14ac:dyDescent="0.2">
      <c r="H11" s="212" t="s">
        <v>726</v>
      </c>
      <c r="I11" s="213"/>
      <c r="J11" s="213"/>
      <c r="K11" s="214"/>
    </row>
    <row r="12" spans="2:18" x14ac:dyDescent="0.2">
      <c r="H12" s="215"/>
      <c r="I12" s="216"/>
      <c r="J12" s="216"/>
      <c r="K12" s="217"/>
    </row>
    <row r="13" spans="2:18" x14ac:dyDescent="0.2">
      <c r="H13" s="215"/>
      <c r="I13" s="216"/>
      <c r="J13" s="216"/>
      <c r="K13" s="217"/>
    </row>
    <row r="14" spans="2:18" x14ac:dyDescent="0.2">
      <c r="H14" s="215"/>
      <c r="I14" s="216"/>
      <c r="J14" s="216"/>
      <c r="K14" s="217"/>
    </row>
    <row r="15" spans="2:18" x14ac:dyDescent="0.2">
      <c r="H15" s="215"/>
      <c r="I15" s="216"/>
      <c r="J15" s="216"/>
      <c r="K15" s="217"/>
    </row>
    <row r="16" spans="2:18" x14ac:dyDescent="0.2">
      <c r="H16" s="215"/>
      <c r="I16" s="216"/>
      <c r="J16" s="216"/>
      <c r="K16" s="217"/>
    </row>
    <row r="17" spans="5:22" x14ac:dyDescent="0.2">
      <c r="H17" s="215"/>
      <c r="I17" s="216"/>
      <c r="J17" s="216"/>
      <c r="K17" s="217"/>
    </row>
    <row r="18" spans="5:22" x14ac:dyDescent="0.2">
      <c r="H18" s="215"/>
      <c r="I18" s="216"/>
      <c r="J18" s="216"/>
      <c r="K18" s="217"/>
    </row>
    <row r="19" spans="5:22" ht="13.5" thickBot="1" x14ac:dyDescent="0.25">
      <c r="E19" s="6"/>
      <c r="H19" s="218"/>
      <c r="I19" s="219"/>
      <c r="J19" s="219"/>
      <c r="K19" s="220"/>
    </row>
    <row r="23" spans="5:22" x14ac:dyDescent="0.2">
      <c r="E23" s="6" t="s">
        <v>333</v>
      </c>
      <c r="J23" s="16"/>
    </row>
    <row r="25" spans="5:22" x14ac:dyDescent="0.2">
      <c r="V25" s="6" t="s">
        <v>1012</v>
      </c>
    </row>
    <row r="27" spans="5:22" x14ac:dyDescent="0.2">
      <c r="G27" s="5" t="s">
        <v>422</v>
      </c>
    </row>
  </sheetData>
  <mergeCells count="1">
    <mergeCell ref="H11:K19"/>
  </mergeCell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5122" r:id="rId4" name="CommandButton1">
          <controlPr defaultSize="0" autoLine="0" r:id="rId5">
            <anchor moveWithCells="1">
              <from>
                <xdr:col>30</xdr:col>
                <xdr:colOff>114300</xdr:colOff>
                <xdr:row>62</xdr:row>
                <xdr:rowOff>57150</xdr:rowOff>
              </from>
              <to>
                <xdr:col>33</xdr:col>
                <xdr:colOff>180975</xdr:colOff>
                <xdr:row>65</xdr:row>
                <xdr:rowOff>19050</xdr:rowOff>
              </to>
            </anchor>
          </controlPr>
        </control>
      </mc:Choice>
      <mc:Fallback>
        <control shapeId="5122" r:id="rId4" name="CommandButton1"/>
      </mc:Fallback>
    </mc:AlternateContent>
    <mc:AlternateContent xmlns:mc="http://schemas.openxmlformats.org/markup-compatibility/2006">
      <mc:Choice Requires="x14">
        <control shapeId="5123" r:id="rId6" name="CommandButton2">
          <controlPr defaultSize="0" autoLine="0" autoPict="0" r:id="rId7">
            <anchor moveWithCells="1">
              <from>
                <xdr:col>2</xdr:col>
                <xdr:colOff>409575</xdr:colOff>
                <xdr:row>20</xdr:row>
                <xdr:rowOff>142875</xdr:rowOff>
              </from>
              <to>
                <xdr:col>3</xdr:col>
                <xdr:colOff>866775</xdr:colOff>
                <xdr:row>23</xdr:row>
                <xdr:rowOff>38100</xdr:rowOff>
              </to>
            </anchor>
          </controlPr>
        </control>
      </mc:Choice>
      <mc:Fallback>
        <control shapeId="5123" r:id="rId6" name="CommandButton2"/>
      </mc:Fallback>
    </mc:AlternateContent>
    <mc:AlternateContent xmlns:mc="http://schemas.openxmlformats.org/markup-compatibility/2006">
      <mc:Choice Requires="x14">
        <control shapeId="5124" r:id="rId8" name="CommandButton3">
          <controlPr defaultSize="0" autoLine="0" autoPict="0" r:id="rId9">
            <anchor moveWithCells="1">
              <from>
                <xdr:col>2</xdr:col>
                <xdr:colOff>409575</xdr:colOff>
                <xdr:row>17</xdr:row>
                <xdr:rowOff>76200</xdr:rowOff>
              </from>
              <to>
                <xdr:col>3</xdr:col>
                <xdr:colOff>866775</xdr:colOff>
                <xdr:row>19</xdr:row>
                <xdr:rowOff>133350</xdr:rowOff>
              </to>
            </anchor>
          </controlPr>
        </control>
      </mc:Choice>
      <mc:Fallback>
        <control shapeId="5124" r:id="rId8" name="CommandButton3"/>
      </mc:Fallback>
    </mc:AlternateContent>
    <mc:AlternateContent xmlns:mc="http://schemas.openxmlformats.org/markup-compatibility/2006">
      <mc:Choice Requires="x14">
        <control shapeId="5125" r:id="rId10" name="CommandButton4">
          <controlPr defaultSize="0" autoLine="0" r:id="rId11">
            <anchor moveWithCells="1">
              <from>
                <xdr:col>20</xdr:col>
                <xdr:colOff>400050</xdr:colOff>
                <xdr:row>25</xdr:row>
                <xdr:rowOff>152400</xdr:rowOff>
              </from>
              <to>
                <xdr:col>23</xdr:col>
                <xdr:colOff>419100</xdr:colOff>
                <xdr:row>28</xdr:row>
                <xdr:rowOff>133350</xdr:rowOff>
              </to>
            </anchor>
          </controlPr>
        </control>
      </mc:Choice>
      <mc:Fallback>
        <control shapeId="5125" r:id="rId10" name="CommandButton4"/>
      </mc:Fallback>
    </mc:AlternateContent>
    <mc:AlternateContent xmlns:mc="http://schemas.openxmlformats.org/markup-compatibility/2006">
      <mc:Choice Requires="x14">
        <control shapeId="5126" r:id="rId12" name="Button 6">
          <controlPr defaultSize="0" print="0" autoFill="0" autoPict="0" macro="[0]!Feuil17.objet_clean">
            <anchor moveWithCells="1" sizeWithCells="1">
              <from>
                <xdr:col>2</xdr:col>
                <xdr:colOff>400050</xdr:colOff>
                <xdr:row>32</xdr:row>
                <xdr:rowOff>47625</xdr:rowOff>
              </from>
              <to>
                <xdr:col>3</xdr:col>
                <xdr:colOff>876300</xdr:colOff>
                <xdr:row>34</xdr:row>
                <xdr:rowOff>85725</xdr:rowOff>
              </to>
            </anchor>
          </controlPr>
        </control>
      </mc:Choice>
    </mc:AlternateContent>
    <mc:AlternateContent xmlns:mc="http://schemas.openxmlformats.org/markup-compatibility/2006">
      <mc:Choice Requires="x14">
        <control shapeId="5127" r:id="rId13" name="Button 7">
          <controlPr defaultSize="0" print="0" autoFill="0" autoPict="0" macro="[0]!Copie_onglets_precedent">
            <anchor moveWithCells="1">
              <from>
                <xdr:col>2</xdr:col>
                <xdr:colOff>409575</xdr:colOff>
                <xdr:row>10</xdr:row>
                <xdr:rowOff>66675</xdr:rowOff>
              </from>
              <to>
                <xdr:col>3</xdr:col>
                <xdr:colOff>885825</xdr:colOff>
                <xdr:row>12</xdr:row>
                <xdr:rowOff>104775</xdr:rowOff>
              </to>
            </anchor>
          </controlPr>
        </control>
      </mc:Choice>
    </mc:AlternateContent>
    <mc:AlternateContent xmlns:mc="http://schemas.openxmlformats.org/markup-compatibility/2006">
      <mc:Choice Requires="x14">
        <control shapeId="5128" r:id="rId14" name="Button 8">
          <controlPr defaultSize="0" print="0" autoFill="0" autoPict="0" macro="[0]!Backup">
            <anchor moveWithCells="1" sizeWithCells="1">
              <from>
                <xdr:col>2</xdr:col>
                <xdr:colOff>409575</xdr:colOff>
                <xdr:row>13</xdr:row>
                <xdr:rowOff>142875</xdr:rowOff>
              </from>
              <to>
                <xdr:col>3</xdr:col>
                <xdr:colOff>885825</xdr:colOff>
                <xdr:row>16</xdr:row>
                <xdr:rowOff>19050</xdr:rowOff>
              </to>
            </anchor>
          </controlPr>
        </control>
      </mc:Choice>
    </mc:AlternateContent>
    <mc:AlternateContent xmlns:mc="http://schemas.openxmlformats.org/markup-compatibility/2006">
      <mc:Choice Requires="x14">
        <control shapeId="5129" r:id="rId15" name="Button 9">
          <controlPr defaultSize="0" print="0" autoFill="0" autoPict="0" macro="[0]!Fichier_IFT_Valeurs">
            <anchor moveWithCells="1" sizeWithCells="1">
              <from>
                <xdr:col>2</xdr:col>
                <xdr:colOff>419100</xdr:colOff>
                <xdr:row>24</xdr:row>
                <xdr:rowOff>95250</xdr:rowOff>
              </from>
              <to>
                <xdr:col>3</xdr:col>
                <xdr:colOff>895350</xdr:colOff>
                <xdr:row>26</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7E79A-674A-472C-B72E-CDFD9ACA0BFB}">
  <sheetPr codeName="Feuil17"/>
  <dimension ref="A1:WZI34"/>
  <sheetViews>
    <sheetView zoomScale="85" zoomScaleNormal="85" workbookViewId="0">
      <pane xSplit="6" ySplit="6" topLeftCell="AO7" activePane="bottomRight" state="frozen"/>
      <selection activeCell="AN7" sqref="AN7:AN33"/>
      <selection pane="topRight" activeCell="AN7" sqref="AN7:AN33"/>
      <selection pane="bottomLeft" activeCell="AN7" sqref="AN7:AN33"/>
      <selection pane="bottomRight" activeCell="AP28" sqref="AP28"/>
    </sheetView>
  </sheetViews>
  <sheetFormatPr baseColWidth="10" defaultColWidth="0" defaultRowHeight="12" x14ac:dyDescent="0.2"/>
  <cols>
    <col min="1" max="1" width="19.85546875" style="101" customWidth="1"/>
    <col min="2" max="3" width="22" style="101" customWidth="1"/>
    <col min="4" max="4" width="18.42578125" style="1" bestFit="1" customWidth="1"/>
    <col min="5" max="6" width="16.42578125" style="1" customWidth="1"/>
    <col min="7" max="18" width="14.42578125" style="1" customWidth="1"/>
    <col min="19" max="19" width="18.28515625" style="1" customWidth="1"/>
    <col min="20" max="35" width="14.42578125" style="1" customWidth="1"/>
    <col min="36" max="36" width="17.7109375" style="1" customWidth="1"/>
    <col min="37" max="39" width="14.42578125" style="1" customWidth="1"/>
    <col min="40" max="40" width="13.28515625" style="1" bestFit="1" customWidth="1"/>
    <col min="41" max="45" width="12.42578125" style="1" customWidth="1"/>
    <col min="46" max="46" width="17.7109375" style="2" bestFit="1" customWidth="1"/>
    <col min="47" max="47" width="12.42578125" style="1" customWidth="1"/>
    <col min="48" max="48" width="13.7109375" style="1" customWidth="1"/>
    <col min="49" max="49" width="15.5703125" style="1" customWidth="1"/>
    <col min="50" max="53" width="13.7109375" style="1" customWidth="1"/>
    <col min="54" max="55" width="12.42578125" style="1" customWidth="1"/>
    <col min="56" max="56" width="14.85546875" style="1" customWidth="1"/>
    <col min="57" max="57" width="12.42578125" style="1" customWidth="1"/>
    <col min="58" max="59" width="13.42578125" style="1" customWidth="1"/>
    <col min="60" max="60" width="17" style="1" customWidth="1"/>
    <col min="61" max="62" width="12.42578125" style="1" customWidth="1"/>
    <col min="63" max="63" width="16.42578125" style="1" customWidth="1"/>
    <col min="64" max="64" width="12.42578125" style="1" customWidth="1"/>
    <col min="65" max="65" width="13.42578125" style="1" customWidth="1"/>
    <col min="66" max="66" width="12.42578125" style="1" customWidth="1"/>
    <col min="67" max="68" width="11.7109375" style="1" customWidth="1"/>
    <col min="69" max="69" width="11.42578125" style="1" customWidth="1"/>
    <col min="70" max="70" width="12.42578125" style="1" customWidth="1"/>
    <col min="71" max="71" width="16.42578125" style="1" customWidth="1"/>
    <col min="72" max="72" width="12.42578125" style="1" customWidth="1"/>
    <col min="73" max="73" width="13.42578125" style="1" customWidth="1"/>
    <col min="74" max="74" width="12.42578125" style="1" customWidth="1"/>
    <col min="75" max="76" width="11.7109375" style="1" customWidth="1"/>
    <col min="77" max="77" width="11.42578125" style="1" customWidth="1"/>
    <col min="78" max="78" width="12.42578125" style="1" customWidth="1"/>
    <col min="79" max="79" width="16.42578125" style="1" customWidth="1"/>
    <col min="80" max="80" width="12.42578125" style="1" customWidth="1"/>
    <col min="81" max="81" width="13.42578125" style="1" customWidth="1"/>
    <col min="82" max="82" width="12.42578125" style="1" customWidth="1"/>
    <col min="83" max="84" width="11.7109375" style="1" customWidth="1"/>
    <col min="85" max="85" width="11.42578125" style="1" customWidth="1"/>
    <col min="86" max="86" width="83.42578125" style="1" customWidth="1"/>
    <col min="87" max="87" width="11.42578125" style="1" customWidth="1"/>
    <col min="88" max="88" width="16.140625" style="1" hidden="1" customWidth="1"/>
    <col min="89" max="89" width="16.5703125" style="1" hidden="1" customWidth="1"/>
    <col min="90" max="90" width="16.7109375" style="1" hidden="1" customWidth="1"/>
    <col min="91" max="91" width="15.42578125" style="1" hidden="1" customWidth="1"/>
    <col min="92" max="92" width="14.85546875" style="1" customWidth="1"/>
    <col min="93" max="93" width="17.140625" style="1" customWidth="1"/>
    <col min="94" max="94" width="16.7109375" style="1" hidden="1"/>
    <col min="95" max="95" width="16.5703125" style="1" hidden="1"/>
    <col min="96" max="96" width="16.28515625" style="1" hidden="1"/>
    <col min="97" max="97" width="14.85546875" style="1" hidden="1"/>
    <col min="98" max="98" width="16.140625" style="1" hidden="1"/>
    <col min="99" max="99" width="16" style="1" hidden="1"/>
    <col min="100" max="100" width="15.5703125" style="1" hidden="1"/>
    <col min="101" max="101" width="16.28515625" style="1" hidden="1"/>
    <col min="102" max="102" width="17.140625" style="1" hidden="1"/>
    <col min="103" max="103" width="16.28515625" style="1" hidden="1"/>
    <col min="104" max="104" width="15.7109375" style="1" hidden="1"/>
    <col min="105" max="105" width="15.42578125" style="1" hidden="1"/>
    <col min="106" max="208" width="9.140625" style="1" hidden="1"/>
    <col min="209" max="209" width="19.85546875" style="1" hidden="1"/>
    <col min="210" max="210" width="22" style="1" hidden="1"/>
    <col min="211" max="211" width="18.42578125" style="1" hidden="1"/>
    <col min="212" max="213" width="16.42578125" style="1" hidden="1"/>
    <col min="214" max="214" width="18.85546875" style="1" hidden="1"/>
    <col min="215" max="216" width="15.5703125" style="1" hidden="1"/>
    <col min="217" max="217" width="11.28515625" style="1" hidden="1"/>
    <col min="218" max="218" width="12.7109375" style="1" hidden="1"/>
    <col min="219" max="223" width="14.7109375" style="1" hidden="1"/>
    <col min="224" max="227" width="13.85546875" style="1" hidden="1"/>
    <col min="228" max="228" width="14.28515625" style="1" hidden="1"/>
    <col min="229" max="229" width="13.85546875" style="1" hidden="1"/>
    <col min="230" max="242" width="13.42578125" style="1" hidden="1"/>
    <col min="243" max="243" width="16.85546875" style="1" hidden="1"/>
    <col min="244" max="244" width="12.42578125" style="1" hidden="1"/>
    <col min="245" max="245" width="13.5703125" style="1" hidden="1"/>
    <col min="246" max="249" width="12.42578125" style="1" hidden="1"/>
    <col min="250" max="251" width="13.140625" style="1" hidden="1"/>
    <col min="252" max="286" width="14.42578125" style="1" hidden="1"/>
    <col min="287" max="298" width="12.42578125" style="1" hidden="1"/>
    <col min="299" max="299" width="17.5703125" style="1" hidden="1"/>
    <col min="300" max="300" width="15.140625" style="1" hidden="1"/>
    <col min="301" max="302" width="15.42578125" style="1" hidden="1"/>
    <col min="303" max="304" width="15.5703125" style="1" hidden="1"/>
    <col min="305" max="305" width="17" style="1" hidden="1"/>
    <col min="306" max="306" width="15.5703125" style="1" hidden="1"/>
    <col min="307" max="307" width="17.7109375" style="1" hidden="1"/>
    <col min="308" max="308" width="18.42578125" style="1" hidden="1"/>
    <col min="309" max="309" width="17.5703125" style="1" hidden="1"/>
    <col min="310" max="311" width="16" style="1" hidden="1"/>
    <col min="312" max="315" width="12.42578125" style="1" hidden="1"/>
    <col min="316" max="316" width="17.7109375" style="1" hidden="1"/>
    <col min="317" max="317" width="12.42578125" style="1" hidden="1"/>
    <col min="318" max="318" width="13.7109375" style="1" hidden="1"/>
    <col min="319" max="319" width="15.5703125" style="1" hidden="1"/>
    <col min="320" max="323" width="13.7109375" style="1" hidden="1"/>
    <col min="324" max="325" width="12.42578125" style="1" hidden="1"/>
    <col min="326" max="326" width="14.85546875" style="1" hidden="1"/>
    <col min="327" max="327" width="12.42578125" style="1" hidden="1"/>
    <col min="328" max="329" width="13.42578125" style="1" hidden="1"/>
    <col min="330" max="330" width="17" style="1" hidden="1"/>
    <col min="331" max="332" width="12.42578125" style="1" hidden="1"/>
    <col min="333" max="333" width="16.42578125" style="1" hidden="1"/>
    <col min="334" max="334" width="12.42578125" style="1" hidden="1"/>
    <col min="335" max="335" width="13.42578125" style="1" hidden="1"/>
    <col min="336" max="336" width="12.42578125" style="1" hidden="1"/>
    <col min="337" max="338" width="11.7109375" style="1" hidden="1"/>
    <col min="339" max="339" width="11.42578125" style="1" hidden="1"/>
    <col min="340" max="340" width="11.7109375" style="1" hidden="1"/>
    <col min="341" max="341" width="11.42578125" style="1" hidden="1"/>
    <col min="342" max="343" width="15.42578125" style="1" hidden="1"/>
    <col min="344" max="344" width="16.140625" style="1" hidden="1"/>
    <col min="345" max="345" width="16.5703125" style="1" hidden="1"/>
    <col min="346" max="346" width="16.7109375" style="1" hidden="1"/>
    <col min="347" max="347" width="15.42578125" style="1" hidden="1"/>
    <col min="348" max="348" width="14.85546875" style="1" hidden="1"/>
    <col min="349" max="349" width="17.140625" style="1" hidden="1"/>
    <col min="350" max="350" width="16.7109375" style="1" hidden="1"/>
    <col min="351" max="351" width="16.5703125" style="1" hidden="1"/>
    <col min="352" max="352" width="16.28515625" style="1" hidden="1"/>
    <col min="353" max="353" width="14.85546875" style="1" hidden="1"/>
    <col min="354" max="354" width="16.140625" style="1" hidden="1"/>
    <col min="355" max="355" width="16" style="1" hidden="1"/>
    <col min="356" max="356" width="15.5703125" style="1" hidden="1"/>
    <col min="357" max="357" width="16.28515625" style="1" hidden="1"/>
    <col min="358" max="358" width="17.140625" style="1" hidden="1"/>
    <col min="359" max="359" width="16.28515625" style="1" hidden="1"/>
    <col min="360" max="360" width="15.7109375" style="1" hidden="1"/>
    <col min="361" max="361" width="15.42578125" style="1" hidden="1"/>
    <col min="362" max="464" width="9.140625" style="1" hidden="1"/>
    <col min="465" max="465" width="19.85546875" style="1" hidden="1"/>
    <col min="466" max="466" width="22" style="1" hidden="1"/>
    <col min="467" max="467" width="18.42578125" style="1" hidden="1"/>
    <col min="468" max="469" width="16.42578125" style="1" hidden="1"/>
    <col min="470" max="470" width="18.85546875" style="1" hidden="1"/>
    <col min="471" max="472" width="15.5703125" style="1" hidden="1"/>
    <col min="473" max="473" width="11.28515625" style="1" hidden="1"/>
    <col min="474" max="474" width="12.7109375" style="1" hidden="1"/>
    <col min="475" max="479" width="14.7109375" style="1" hidden="1"/>
    <col min="480" max="483" width="13.85546875" style="1" hidden="1"/>
    <col min="484" max="484" width="14.28515625" style="1" hidden="1"/>
    <col min="485" max="485" width="13.85546875" style="1" hidden="1"/>
    <col min="486" max="498" width="13.42578125" style="1" hidden="1"/>
    <col min="499" max="499" width="16.85546875" style="1" hidden="1"/>
    <col min="500" max="500" width="12.42578125" style="1" hidden="1"/>
    <col min="501" max="501" width="13.5703125" style="1" hidden="1"/>
    <col min="502" max="505" width="12.42578125" style="1" hidden="1"/>
    <col min="506" max="507" width="13.140625" style="1" hidden="1"/>
    <col min="508" max="542" width="14.42578125" style="1" hidden="1"/>
    <col min="543" max="554" width="12.42578125" style="1" hidden="1"/>
    <col min="555" max="555" width="17.5703125" style="1" hidden="1"/>
    <col min="556" max="556" width="15.140625" style="1" hidden="1"/>
    <col min="557" max="558" width="15.42578125" style="1" hidden="1"/>
    <col min="559" max="560" width="15.5703125" style="1" hidden="1"/>
    <col min="561" max="561" width="17" style="1" hidden="1"/>
    <col min="562" max="562" width="15.5703125" style="1" hidden="1"/>
    <col min="563" max="563" width="17.7109375" style="1" hidden="1"/>
    <col min="564" max="564" width="18.42578125" style="1" hidden="1"/>
    <col min="565" max="565" width="17.5703125" style="1" hidden="1"/>
    <col min="566" max="567" width="16" style="1" hidden="1"/>
    <col min="568" max="571" width="12.42578125" style="1" hidden="1"/>
    <col min="572" max="572" width="17.7109375" style="1" hidden="1"/>
    <col min="573" max="573" width="12.42578125" style="1" hidden="1"/>
    <col min="574" max="574" width="13.7109375" style="1" hidden="1"/>
    <col min="575" max="575" width="15.5703125" style="1" hidden="1"/>
    <col min="576" max="579" width="13.7109375" style="1" hidden="1"/>
    <col min="580" max="581" width="12.42578125" style="1" hidden="1"/>
    <col min="582" max="582" width="14.85546875" style="1" hidden="1"/>
    <col min="583" max="583" width="12.42578125" style="1" hidden="1"/>
    <col min="584" max="585" width="13.42578125" style="1" hidden="1"/>
    <col min="586" max="586" width="17" style="1" hidden="1"/>
    <col min="587" max="588" width="12.42578125" style="1" hidden="1"/>
    <col min="589" max="589" width="16.42578125" style="1" hidden="1"/>
    <col min="590" max="590" width="12.42578125" style="1" hidden="1"/>
    <col min="591" max="591" width="13.42578125" style="1" hidden="1"/>
    <col min="592" max="592" width="12.42578125" style="1" hidden="1"/>
    <col min="593" max="594" width="11.7109375" style="1" hidden="1"/>
    <col min="595" max="595" width="11.42578125" style="1" hidden="1"/>
    <col min="596" max="596" width="11.7109375" style="1" hidden="1"/>
    <col min="597" max="597" width="11.42578125" style="1" hidden="1"/>
    <col min="598" max="599" width="15.42578125" style="1" hidden="1"/>
    <col min="600" max="600" width="16.140625" style="1" hidden="1"/>
    <col min="601" max="601" width="16.5703125" style="1" hidden="1"/>
    <col min="602" max="602" width="16.7109375" style="1" hidden="1"/>
    <col min="603" max="603" width="15.42578125" style="1" hidden="1"/>
    <col min="604" max="604" width="14.85546875" style="1" hidden="1"/>
    <col min="605" max="605" width="17.140625" style="1" hidden="1"/>
    <col min="606" max="606" width="16.7109375" style="1" hidden="1"/>
    <col min="607" max="607" width="16.5703125" style="1" hidden="1"/>
    <col min="608" max="608" width="16.28515625" style="1" hidden="1"/>
    <col min="609" max="609" width="14.85546875" style="1" hidden="1"/>
    <col min="610" max="610" width="16.140625" style="1" hidden="1"/>
    <col min="611" max="611" width="16" style="1" hidden="1"/>
    <col min="612" max="612" width="15.5703125" style="1" hidden="1"/>
    <col min="613" max="613" width="16.28515625" style="1" hidden="1"/>
    <col min="614" max="614" width="17.140625" style="1" hidden="1"/>
    <col min="615" max="615" width="16.28515625" style="1" hidden="1"/>
    <col min="616" max="616" width="15.7109375" style="1" hidden="1"/>
    <col min="617" max="617" width="15.42578125" style="1" hidden="1"/>
    <col min="618" max="720" width="9.140625" style="1" hidden="1"/>
    <col min="721" max="721" width="19.85546875" style="1" hidden="1"/>
    <col min="722" max="722" width="22" style="1" hidden="1"/>
    <col min="723" max="723" width="18.42578125" style="1" hidden="1"/>
    <col min="724" max="725" width="16.42578125" style="1" hidden="1"/>
    <col min="726" max="726" width="18.85546875" style="1" hidden="1"/>
    <col min="727" max="728" width="15.5703125" style="1" hidden="1"/>
    <col min="729" max="729" width="11.28515625" style="1" hidden="1"/>
    <col min="730" max="730" width="12.7109375" style="1" hidden="1"/>
    <col min="731" max="735" width="14.7109375" style="1" hidden="1"/>
    <col min="736" max="739" width="13.85546875" style="1" hidden="1"/>
    <col min="740" max="740" width="14.28515625" style="1" hidden="1"/>
    <col min="741" max="741" width="13.85546875" style="1" hidden="1"/>
    <col min="742" max="754" width="13.42578125" style="1" hidden="1"/>
    <col min="755" max="755" width="16.85546875" style="1" hidden="1"/>
    <col min="756" max="756" width="12.42578125" style="1" hidden="1"/>
    <col min="757" max="757" width="13.5703125" style="1" hidden="1"/>
    <col min="758" max="761" width="12.42578125" style="1" hidden="1"/>
    <col min="762" max="763" width="13.140625" style="1" hidden="1"/>
    <col min="764" max="798" width="14.42578125" style="1" hidden="1"/>
    <col min="799" max="810" width="12.42578125" style="1" hidden="1"/>
    <col min="811" max="811" width="17.5703125" style="1" hidden="1"/>
    <col min="812" max="812" width="15.140625" style="1" hidden="1"/>
    <col min="813" max="814" width="15.42578125" style="1" hidden="1"/>
    <col min="815" max="816" width="15.5703125" style="1" hidden="1"/>
    <col min="817" max="817" width="17" style="1" hidden="1"/>
    <col min="818" max="818" width="15.5703125" style="1" hidden="1"/>
    <col min="819" max="819" width="17.7109375" style="1" hidden="1"/>
    <col min="820" max="820" width="18.42578125" style="1" hidden="1"/>
    <col min="821" max="821" width="17.5703125" style="1" hidden="1"/>
    <col min="822" max="823" width="16" style="1" hidden="1"/>
    <col min="824" max="827" width="12.42578125" style="1" hidden="1"/>
    <col min="828" max="828" width="17.7109375" style="1" hidden="1"/>
    <col min="829" max="829" width="12.42578125" style="1" hidden="1"/>
    <col min="830" max="830" width="13.7109375" style="1" hidden="1"/>
    <col min="831" max="831" width="15.5703125" style="1" hidden="1"/>
    <col min="832" max="835" width="13.7109375" style="1" hidden="1"/>
    <col min="836" max="837" width="12.42578125" style="1" hidden="1"/>
    <col min="838" max="838" width="14.85546875" style="1" hidden="1"/>
    <col min="839" max="839" width="12.42578125" style="1" hidden="1"/>
    <col min="840" max="841" width="13.42578125" style="1" hidden="1"/>
    <col min="842" max="842" width="17" style="1" hidden="1"/>
    <col min="843" max="844" width="12.42578125" style="1" hidden="1"/>
    <col min="845" max="845" width="16.42578125" style="1" hidden="1"/>
    <col min="846" max="846" width="12.42578125" style="1" hidden="1"/>
    <col min="847" max="847" width="13.42578125" style="1" hidden="1"/>
    <col min="848" max="848" width="12.42578125" style="1" hidden="1"/>
    <col min="849" max="850" width="11.7109375" style="1" hidden="1"/>
    <col min="851" max="851" width="11.42578125" style="1" hidden="1"/>
    <col min="852" max="852" width="11.7109375" style="1" hidden="1"/>
    <col min="853" max="853" width="11.42578125" style="1" hidden="1"/>
    <col min="854" max="855" width="15.42578125" style="1" hidden="1"/>
    <col min="856" max="856" width="16.140625" style="1" hidden="1"/>
    <col min="857" max="857" width="16.5703125" style="1" hidden="1"/>
    <col min="858" max="858" width="16.7109375" style="1" hidden="1"/>
    <col min="859" max="859" width="15.42578125" style="1" hidden="1"/>
    <col min="860" max="860" width="14.85546875" style="1" hidden="1"/>
    <col min="861" max="861" width="17.140625" style="1" hidden="1"/>
    <col min="862" max="862" width="16.7109375" style="1" hidden="1"/>
    <col min="863" max="863" width="16.5703125" style="1" hidden="1"/>
    <col min="864" max="864" width="16.28515625" style="1" hidden="1"/>
    <col min="865" max="865" width="14.85546875" style="1" hidden="1"/>
    <col min="866" max="866" width="16.140625" style="1" hidden="1"/>
    <col min="867" max="867" width="16" style="1" hidden="1"/>
    <col min="868" max="868" width="15.5703125" style="1" hidden="1"/>
    <col min="869" max="869" width="16.28515625" style="1" hidden="1"/>
    <col min="870" max="870" width="17.140625" style="1" hidden="1"/>
    <col min="871" max="871" width="16.28515625" style="1" hidden="1"/>
    <col min="872" max="872" width="15.7109375" style="1" hidden="1"/>
    <col min="873" max="873" width="15.42578125" style="1" hidden="1"/>
    <col min="874" max="976" width="9.140625" style="1" hidden="1"/>
    <col min="977" max="977" width="19.85546875" style="1" hidden="1"/>
    <col min="978" max="978" width="22" style="1" hidden="1"/>
    <col min="979" max="979" width="18.42578125" style="1" hidden="1"/>
    <col min="980" max="981" width="16.42578125" style="1" hidden="1"/>
    <col min="982" max="982" width="18.85546875" style="1" hidden="1"/>
    <col min="983" max="984" width="15.5703125" style="1" hidden="1"/>
    <col min="985" max="985" width="11.28515625" style="1" hidden="1"/>
    <col min="986" max="986" width="12.7109375" style="1" hidden="1"/>
    <col min="987" max="991" width="14.7109375" style="1" hidden="1"/>
    <col min="992" max="995" width="13.85546875" style="1" hidden="1"/>
    <col min="996" max="996" width="14.28515625" style="1" hidden="1"/>
    <col min="997" max="997" width="13.85546875" style="1" hidden="1"/>
    <col min="998" max="1010" width="13.42578125" style="1" hidden="1"/>
    <col min="1011" max="1011" width="16.85546875" style="1" hidden="1"/>
    <col min="1012" max="1012" width="12.42578125" style="1" hidden="1"/>
    <col min="1013" max="1013" width="13.5703125" style="1" hidden="1"/>
    <col min="1014" max="1017" width="12.42578125" style="1" hidden="1"/>
    <col min="1018" max="1019" width="13.140625" style="1" hidden="1"/>
    <col min="1020" max="1054" width="14.42578125" style="1" hidden="1"/>
    <col min="1055" max="1066" width="12.42578125" style="1" hidden="1"/>
    <col min="1067" max="1067" width="17.5703125" style="1" hidden="1"/>
    <col min="1068" max="1068" width="15.140625" style="1" hidden="1"/>
    <col min="1069" max="1070" width="15.42578125" style="1" hidden="1"/>
    <col min="1071" max="1072" width="15.5703125" style="1" hidden="1"/>
    <col min="1073" max="1073" width="17" style="1" hidden="1"/>
    <col min="1074" max="1074" width="15.5703125" style="1" hidden="1"/>
    <col min="1075" max="1075" width="17.7109375" style="1" hidden="1"/>
    <col min="1076" max="1076" width="18.42578125" style="1" hidden="1"/>
    <col min="1077" max="1077" width="17.5703125" style="1" hidden="1"/>
    <col min="1078" max="1079" width="16" style="1" hidden="1"/>
    <col min="1080" max="1083" width="12.42578125" style="1" hidden="1"/>
    <col min="1084" max="1084" width="17.7109375" style="1" hidden="1"/>
    <col min="1085" max="1085" width="12.42578125" style="1" hidden="1"/>
    <col min="1086" max="1086" width="13.7109375" style="1" hidden="1"/>
    <col min="1087" max="1087" width="15.5703125" style="1" hidden="1"/>
    <col min="1088" max="1091" width="13.7109375" style="1" hidden="1"/>
    <col min="1092" max="1093" width="12.42578125" style="1" hidden="1"/>
    <col min="1094" max="1094" width="14.85546875" style="1" hidden="1"/>
    <col min="1095" max="1095" width="12.42578125" style="1" hidden="1"/>
    <col min="1096" max="1097" width="13.42578125" style="1" hidden="1"/>
    <col min="1098" max="1098" width="17" style="1" hidden="1"/>
    <col min="1099" max="1100" width="12.42578125" style="1" hidden="1"/>
    <col min="1101" max="1101" width="16.42578125" style="1" hidden="1"/>
    <col min="1102" max="1102" width="12.42578125" style="1" hidden="1"/>
    <col min="1103" max="1103" width="13.42578125" style="1" hidden="1"/>
    <col min="1104" max="1104" width="12.42578125" style="1" hidden="1"/>
    <col min="1105" max="1106" width="11.7109375" style="1" hidden="1"/>
    <col min="1107" max="1107" width="11.42578125" style="1" hidden="1"/>
    <col min="1108" max="1108" width="11.7109375" style="1" hidden="1"/>
    <col min="1109" max="1109" width="11.42578125" style="1" hidden="1"/>
    <col min="1110" max="1111" width="15.42578125" style="1" hidden="1"/>
    <col min="1112" max="1112" width="16.140625" style="1" hidden="1"/>
    <col min="1113" max="1113" width="16.5703125" style="1" hidden="1"/>
    <col min="1114" max="1114" width="16.7109375" style="1" hidden="1"/>
    <col min="1115" max="1115" width="15.42578125" style="1" hidden="1"/>
    <col min="1116" max="1116" width="14.85546875" style="1" hidden="1"/>
    <col min="1117" max="1117" width="17.140625" style="1" hidden="1"/>
    <col min="1118" max="1118" width="16.7109375" style="1" hidden="1"/>
    <col min="1119" max="1119" width="16.5703125" style="1" hidden="1"/>
    <col min="1120" max="1120" width="16.28515625" style="1" hidden="1"/>
    <col min="1121" max="1121" width="14.85546875" style="1" hidden="1"/>
    <col min="1122" max="1122" width="16.140625" style="1" hidden="1"/>
    <col min="1123" max="1123" width="16" style="1" hidden="1"/>
    <col min="1124" max="1124" width="15.5703125" style="1" hidden="1"/>
    <col min="1125" max="1125" width="16.28515625" style="1" hidden="1"/>
    <col min="1126" max="1126" width="17.140625" style="1" hidden="1"/>
    <col min="1127" max="1127" width="16.28515625" style="1" hidden="1"/>
    <col min="1128" max="1128" width="15.7109375" style="1" hidden="1"/>
    <col min="1129" max="1129" width="15.42578125" style="1" hidden="1"/>
    <col min="1130" max="1232" width="9.140625" style="1" hidden="1"/>
    <col min="1233" max="1233" width="19.85546875" style="1" hidden="1"/>
    <col min="1234" max="1234" width="22" style="1" hidden="1"/>
    <col min="1235" max="1235" width="18.42578125" style="1" hidden="1"/>
    <col min="1236" max="1237" width="16.42578125" style="1" hidden="1"/>
    <col min="1238" max="1238" width="18.85546875" style="1" hidden="1"/>
    <col min="1239" max="1240" width="15.5703125" style="1" hidden="1"/>
    <col min="1241" max="1241" width="11.28515625" style="1" hidden="1"/>
    <col min="1242" max="1242" width="12.7109375" style="1" hidden="1"/>
    <col min="1243" max="1247" width="14.7109375" style="1" hidden="1"/>
    <col min="1248" max="1251" width="13.85546875" style="1" hidden="1"/>
    <col min="1252" max="1252" width="14.28515625" style="1" hidden="1"/>
    <col min="1253" max="1253" width="13.85546875" style="1" hidden="1"/>
    <col min="1254" max="1266" width="13.42578125" style="1" hidden="1"/>
    <col min="1267" max="1267" width="16.85546875" style="1" hidden="1"/>
    <col min="1268" max="1268" width="12.42578125" style="1" hidden="1"/>
    <col min="1269" max="1269" width="13.5703125" style="1" hidden="1"/>
    <col min="1270" max="1273" width="12.42578125" style="1" hidden="1"/>
    <col min="1274" max="1275" width="13.140625" style="1" hidden="1"/>
    <col min="1276" max="1310" width="14.42578125" style="1" hidden="1"/>
    <col min="1311" max="1322" width="12.42578125" style="1" hidden="1"/>
    <col min="1323" max="1323" width="17.5703125" style="1" hidden="1"/>
    <col min="1324" max="1324" width="15.140625" style="1" hidden="1"/>
    <col min="1325" max="1326" width="15.42578125" style="1" hidden="1"/>
    <col min="1327" max="1328" width="15.5703125" style="1" hidden="1"/>
    <col min="1329" max="1329" width="17" style="1" hidden="1"/>
    <col min="1330" max="1330" width="15.5703125" style="1" hidden="1"/>
    <col min="1331" max="1331" width="17.7109375" style="1" hidden="1"/>
    <col min="1332" max="1332" width="18.42578125" style="1" hidden="1"/>
    <col min="1333" max="1333" width="17.5703125" style="1" hidden="1"/>
    <col min="1334" max="1335" width="16" style="1" hidden="1"/>
    <col min="1336" max="1339" width="12.42578125" style="1" hidden="1"/>
    <col min="1340" max="1340" width="17.7109375" style="1" hidden="1"/>
    <col min="1341" max="1341" width="12.42578125" style="1" hidden="1"/>
    <col min="1342" max="1342" width="13.7109375" style="1" hidden="1"/>
    <col min="1343" max="1343" width="15.5703125" style="1" hidden="1"/>
    <col min="1344" max="1347" width="13.7109375" style="1" hidden="1"/>
    <col min="1348" max="1349" width="12.42578125" style="1" hidden="1"/>
    <col min="1350" max="1350" width="14.85546875" style="1" hidden="1"/>
    <col min="1351" max="1351" width="12.42578125" style="1" hidden="1"/>
    <col min="1352" max="1353" width="13.42578125" style="1" hidden="1"/>
    <col min="1354" max="1354" width="17" style="1" hidden="1"/>
    <col min="1355" max="1356" width="12.42578125" style="1" hidden="1"/>
    <col min="1357" max="1357" width="16.42578125" style="1" hidden="1"/>
    <col min="1358" max="1358" width="12.42578125" style="1" hidden="1"/>
    <col min="1359" max="1359" width="13.42578125" style="1" hidden="1"/>
    <col min="1360" max="1360" width="12.42578125" style="1" hidden="1"/>
    <col min="1361" max="1362" width="11.7109375" style="1" hidden="1"/>
    <col min="1363" max="1363" width="11.42578125" style="1" hidden="1"/>
    <col min="1364" max="1364" width="11.7109375" style="1" hidden="1"/>
    <col min="1365" max="1365" width="11.42578125" style="1" hidden="1"/>
    <col min="1366" max="1367" width="15.42578125" style="1" hidden="1"/>
    <col min="1368" max="1368" width="16.140625" style="1" hidden="1"/>
    <col min="1369" max="1369" width="16.5703125" style="1" hidden="1"/>
    <col min="1370" max="1370" width="16.7109375" style="1" hidden="1"/>
    <col min="1371" max="1371" width="15.42578125" style="1" hidden="1"/>
    <col min="1372" max="1372" width="14.85546875" style="1" hidden="1"/>
    <col min="1373" max="1373" width="17.140625" style="1" hidden="1"/>
    <col min="1374" max="1374" width="16.7109375" style="1" hidden="1"/>
    <col min="1375" max="1375" width="16.5703125" style="1" hidden="1"/>
    <col min="1376" max="1376" width="16.28515625" style="1" hidden="1"/>
    <col min="1377" max="1377" width="14.85546875" style="1" hidden="1"/>
    <col min="1378" max="1378" width="16.140625" style="1" hidden="1"/>
    <col min="1379" max="1379" width="16" style="1" hidden="1"/>
    <col min="1380" max="1380" width="15.5703125" style="1" hidden="1"/>
    <col min="1381" max="1381" width="16.28515625" style="1" hidden="1"/>
    <col min="1382" max="1382" width="17.140625" style="1" hidden="1"/>
    <col min="1383" max="1383" width="16.28515625" style="1" hidden="1"/>
    <col min="1384" max="1384" width="15.7109375" style="1" hidden="1"/>
    <col min="1385" max="1385" width="15.42578125" style="1" hidden="1"/>
    <col min="1386" max="1488" width="9.140625" style="1" hidden="1"/>
    <col min="1489" max="1489" width="19.85546875" style="1" hidden="1"/>
    <col min="1490" max="1490" width="22" style="1" hidden="1"/>
    <col min="1491" max="1491" width="18.42578125" style="1" hidden="1"/>
    <col min="1492" max="1493" width="16.42578125" style="1" hidden="1"/>
    <col min="1494" max="1494" width="18.85546875" style="1" hidden="1"/>
    <col min="1495" max="1496" width="15.5703125" style="1" hidden="1"/>
    <col min="1497" max="1497" width="11.28515625" style="1" hidden="1"/>
    <col min="1498" max="1498" width="12.7109375" style="1" hidden="1"/>
    <col min="1499" max="1503" width="14.7109375" style="1" hidden="1"/>
    <col min="1504" max="1507" width="13.85546875" style="1" hidden="1"/>
    <col min="1508" max="1508" width="14.28515625" style="1" hidden="1"/>
    <col min="1509" max="1509" width="13.85546875" style="1" hidden="1"/>
    <col min="1510" max="1522" width="13.42578125" style="1" hidden="1"/>
    <col min="1523" max="1523" width="16.85546875" style="1" hidden="1"/>
    <col min="1524" max="1524" width="12.42578125" style="1" hidden="1"/>
    <col min="1525" max="1525" width="13.5703125" style="1" hidden="1"/>
    <col min="1526" max="1529" width="12.42578125" style="1" hidden="1"/>
    <col min="1530" max="1531" width="13.140625" style="1" hidden="1"/>
    <col min="1532" max="1566" width="14.42578125" style="1" hidden="1"/>
    <col min="1567" max="1578" width="12.42578125" style="1" hidden="1"/>
    <col min="1579" max="1579" width="17.5703125" style="1" hidden="1"/>
    <col min="1580" max="1580" width="15.140625" style="1" hidden="1"/>
    <col min="1581" max="1582" width="15.42578125" style="1" hidden="1"/>
    <col min="1583" max="1584" width="15.5703125" style="1" hidden="1"/>
    <col min="1585" max="1585" width="17" style="1" hidden="1"/>
    <col min="1586" max="1586" width="15.5703125" style="1" hidden="1"/>
    <col min="1587" max="1587" width="17.7109375" style="1" hidden="1"/>
    <col min="1588" max="1588" width="18.42578125" style="1" hidden="1"/>
    <col min="1589" max="1589" width="17.5703125" style="1" hidden="1"/>
    <col min="1590" max="1591" width="16" style="1" hidden="1"/>
    <col min="1592" max="1595" width="12.42578125" style="1" hidden="1"/>
    <col min="1596" max="1596" width="17.7109375" style="1" hidden="1"/>
    <col min="1597" max="1597" width="12.42578125" style="1" hidden="1"/>
    <col min="1598" max="1598" width="13.7109375" style="1" hidden="1"/>
    <col min="1599" max="1599" width="15.5703125" style="1" hidden="1"/>
    <col min="1600" max="1603" width="13.7109375" style="1" hidden="1"/>
    <col min="1604" max="1605" width="12.42578125" style="1" hidden="1"/>
    <col min="1606" max="1606" width="14.85546875" style="1" hidden="1"/>
    <col min="1607" max="1607" width="12.42578125" style="1" hidden="1"/>
    <col min="1608" max="1609" width="13.42578125" style="1" hidden="1"/>
    <col min="1610" max="1610" width="17" style="1" hidden="1"/>
    <col min="1611" max="1612" width="12.42578125" style="1" hidden="1"/>
    <col min="1613" max="1613" width="16.42578125" style="1" hidden="1"/>
    <col min="1614" max="1614" width="12.42578125" style="1" hidden="1"/>
    <col min="1615" max="1615" width="13.42578125" style="1" hidden="1"/>
    <col min="1616" max="1616" width="12.42578125" style="1" hidden="1"/>
    <col min="1617" max="1618" width="11.7109375" style="1" hidden="1"/>
    <col min="1619" max="1619" width="11.42578125" style="1" hidden="1"/>
    <col min="1620" max="1620" width="11.7109375" style="1" hidden="1"/>
    <col min="1621" max="1621" width="11.42578125" style="1" hidden="1"/>
    <col min="1622" max="1623" width="15.42578125" style="1" hidden="1"/>
    <col min="1624" max="1624" width="16.140625" style="1" hidden="1"/>
    <col min="1625" max="1625" width="16.5703125" style="1" hidden="1"/>
    <col min="1626" max="1626" width="16.7109375" style="1" hidden="1"/>
    <col min="1627" max="1627" width="15.42578125" style="1" hidden="1"/>
    <col min="1628" max="1628" width="14.85546875" style="1" hidden="1"/>
    <col min="1629" max="1629" width="17.140625" style="1" hidden="1"/>
    <col min="1630" max="1630" width="16.7109375" style="1" hidden="1"/>
    <col min="1631" max="1631" width="16.5703125" style="1" hidden="1"/>
    <col min="1632" max="1632" width="16.28515625" style="1" hidden="1"/>
    <col min="1633" max="1633" width="14.85546875" style="1" hidden="1"/>
    <col min="1634" max="1634" width="16.140625" style="1" hidden="1"/>
    <col min="1635" max="1635" width="16" style="1" hidden="1"/>
    <col min="1636" max="1636" width="15.5703125" style="1" hidden="1"/>
    <col min="1637" max="1637" width="16.28515625" style="1" hidden="1"/>
    <col min="1638" max="1638" width="17.140625" style="1" hidden="1"/>
    <col min="1639" max="1639" width="16.28515625" style="1" hidden="1"/>
    <col min="1640" max="1640" width="15.7109375" style="1" hidden="1"/>
    <col min="1641" max="1641" width="15.42578125" style="1" hidden="1"/>
    <col min="1642" max="1744" width="9.140625" style="1" hidden="1"/>
    <col min="1745" max="1745" width="19.85546875" style="1" hidden="1"/>
    <col min="1746" max="1746" width="22" style="1" hidden="1"/>
    <col min="1747" max="1747" width="18.42578125" style="1" hidden="1"/>
    <col min="1748" max="1749" width="16.42578125" style="1" hidden="1"/>
    <col min="1750" max="1750" width="18.85546875" style="1" hidden="1"/>
    <col min="1751" max="1752" width="15.5703125" style="1" hidden="1"/>
    <col min="1753" max="1753" width="11.28515625" style="1" hidden="1"/>
    <col min="1754" max="1754" width="12.7109375" style="1" hidden="1"/>
    <col min="1755" max="1759" width="14.7109375" style="1" hidden="1"/>
    <col min="1760" max="1763" width="13.85546875" style="1" hidden="1"/>
    <col min="1764" max="1764" width="14.28515625" style="1" hidden="1"/>
    <col min="1765" max="1765" width="13.85546875" style="1" hidden="1"/>
    <col min="1766" max="1778" width="13.42578125" style="1" hidden="1"/>
    <col min="1779" max="1779" width="16.85546875" style="1" hidden="1"/>
    <col min="1780" max="1780" width="12.42578125" style="1" hidden="1"/>
    <col min="1781" max="1781" width="13.5703125" style="1" hidden="1"/>
    <col min="1782" max="1785" width="12.42578125" style="1" hidden="1"/>
    <col min="1786" max="1787" width="13.140625" style="1" hidden="1"/>
    <col min="1788" max="1822" width="14.42578125" style="1" hidden="1"/>
    <col min="1823" max="1834" width="12.42578125" style="1" hidden="1"/>
    <col min="1835" max="1835" width="17.5703125" style="1" hidden="1"/>
    <col min="1836" max="1836" width="15.140625" style="1" hidden="1"/>
    <col min="1837" max="1838" width="15.42578125" style="1" hidden="1"/>
    <col min="1839" max="1840" width="15.5703125" style="1" hidden="1"/>
    <col min="1841" max="1841" width="17" style="1" hidden="1"/>
    <col min="1842" max="1842" width="15.5703125" style="1" hidden="1"/>
    <col min="1843" max="1843" width="17.7109375" style="1" hidden="1"/>
    <col min="1844" max="1844" width="18.42578125" style="1" hidden="1"/>
    <col min="1845" max="1845" width="17.5703125" style="1" hidden="1"/>
    <col min="1846" max="1847" width="16" style="1" hidden="1"/>
    <col min="1848" max="1851" width="12.42578125" style="1" hidden="1"/>
    <col min="1852" max="1852" width="17.7109375" style="1" hidden="1"/>
    <col min="1853" max="1853" width="12.42578125" style="1" hidden="1"/>
    <col min="1854" max="1854" width="13.7109375" style="1" hidden="1"/>
    <col min="1855" max="1855" width="15.5703125" style="1" hidden="1"/>
    <col min="1856" max="1859" width="13.7109375" style="1" hidden="1"/>
    <col min="1860" max="1861" width="12.42578125" style="1" hidden="1"/>
    <col min="1862" max="1862" width="14.85546875" style="1" hidden="1"/>
    <col min="1863" max="1863" width="12.42578125" style="1" hidden="1"/>
    <col min="1864" max="1865" width="13.42578125" style="1" hidden="1"/>
    <col min="1866" max="1866" width="17" style="1" hidden="1"/>
    <col min="1867" max="1868" width="12.42578125" style="1" hidden="1"/>
    <col min="1869" max="1869" width="16.42578125" style="1" hidden="1"/>
    <col min="1870" max="1870" width="12.42578125" style="1" hidden="1"/>
    <col min="1871" max="1871" width="13.42578125" style="1" hidden="1"/>
    <col min="1872" max="1872" width="12.42578125" style="1" hidden="1"/>
    <col min="1873" max="1874" width="11.7109375" style="1" hidden="1"/>
    <col min="1875" max="1875" width="11.42578125" style="1" hidden="1"/>
    <col min="1876" max="1876" width="11.7109375" style="1" hidden="1"/>
    <col min="1877" max="1877" width="11.42578125" style="1" hidden="1"/>
    <col min="1878" max="1879" width="15.42578125" style="1" hidden="1"/>
    <col min="1880" max="1880" width="16.140625" style="1" hidden="1"/>
    <col min="1881" max="1881" width="16.5703125" style="1" hidden="1"/>
    <col min="1882" max="1882" width="16.7109375" style="1" hidden="1"/>
    <col min="1883" max="1883" width="15.42578125" style="1" hidden="1"/>
    <col min="1884" max="1884" width="14.85546875" style="1" hidden="1"/>
    <col min="1885" max="1885" width="17.140625" style="1" hidden="1"/>
    <col min="1886" max="1886" width="16.7109375" style="1" hidden="1"/>
    <col min="1887" max="1887" width="16.5703125" style="1" hidden="1"/>
    <col min="1888" max="1888" width="16.28515625" style="1" hidden="1"/>
    <col min="1889" max="1889" width="14.85546875" style="1" hidden="1"/>
    <col min="1890" max="1890" width="16.140625" style="1" hidden="1"/>
    <col min="1891" max="1891" width="16" style="1" hidden="1"/>
    <col min="1892" max="1892" width="15.5703125" style="1" hidden="1"/>
    <col min="1893" max="1893" width="16.28515625" style="1" hidden="1"/>
    <col min="1894" max="1894" width="17.140625" style="1" hidden="1"/>
    <col min="1895" max="1895" width="16.28515625" style="1" hidden="1"/>
    <col min="1896" max="1896" width="15.7109375" style="1" hidden="1"/>
    <col min="1897" max="1897" width="15.42578125" style="1" hidden="1"/>
    <col min="1898" max="2000" width="9.140625" style="1" hidden="1"/>
    <col min="2001" max="2001" width="19.85546875" style="1" hidden="1"/>
    <col min="2002" max="2002" width="22" style="1" hidden="1"/>
    <col min="2003" max="2003" width="18.42578125" style="1" hidden="1"/>
    <col min="2004" max="2005" width="16.42578125" style="1" hidden="1"/>
    <col min="2006" max="2006" width="18.85546875" style="1" hidden="1"/>
    <col min="2007" max="2008" width="15.5703125" style="1" hidden="1"/>
    <col min="2009" max="2009" width="11.28515625" style="1" hidden="1"/>
    <col min="2010" max="2010" width="12.7109375" style="1" hidden="1"/>
    <col min="2011" max="2015" width="14.7109375" style="1" hidden="1"/>
    <col min="2016" max="2019" width="13.85546875" style="1" hidden="1"/>
    <col min="2020" max="2020" width="14.28515625" style="1" hidden="1"/>
    <col min="2021" max="2021" width="13.85546875" style="1" hidden="1"/>
    <col min="2022" max="2034" width="13.42578125" style="1" hidden="1"/>
    <col min="2035" max="2035" width="16.85546875" style="1" hidden="1"/>
    <col min="2036" max="2036" width="12.42578125" style="1" hidden="1"/>
    <col min="2037" max="2037" width="13.5703125" style="1" hidden="1"/>
    <col min="2038" max="2041" width="12.42578125" style="1" hidden="1"/>
    <col min="2042" max="2043" width="13.140625" style="1" hidden="1"/>
    <col min="2044" max="2078" width="14.42578125" style="1" hidden="1"/>
    <col min="2079" max="2090" width="12.42578125" style="1" hidden="1"/>
    <col min="2091" max="2091" width="17.5703125" style="1" hidden="1"/>
    <col min="2092" max="2092" width="15.140625" style="1" hidden="1"/>
    <col min="2093" max="2094" width="15.42578125" style="1" hidden="1"/>
    <col min="2095" max="2096" width="15.5703125" style="1" hidden="1"/>
    <col min="2097" max="2097" width="17" style="1" hidden="1"/>
    <col min="2098" max="2098" width="15.5703125" style="1" hidden="1"/>
    <col min="2099" max="2099" width="17.7109375" style="1" hidden="1"/>
    <col min="2100" max="2100" width="18.42578125" style="1" hidden="1"/>
    <col min="2101" max="2101" width="17.5703125" style="1" hidden="1"/>
    <col min="2102" max="2103" width="16" style="1" hidden="1"/>
    <col min="2104" max="2107" width="12.42578125" style="1" hidden="1"/>
    <col min="2108" max="2108" width="17.7109375" style="1" hidden="1"/>
    <col min="2109" max="2109" width="12.42578125" style="1" hidden="1"/>
    <col min="2110" max="2110" width="13.7109375" style="1" hidden="1"/>
    <col min="2111" max="2111" width="15.5703125" style="1" hidden="1"/>
    <col min="2112" max="2115" width="13.7109375" style="1" hidden="1"/>
    <col min="2116" max="2117" width="12.42578125" style="1" hidden="1"/>
    <col min="2118" max="2118" width="14.85546875" style="1" hidden="1"/>
    <col min="2119" max="2119" width="12.42578125" style="1" hidden="1"/>
    <col min="2120" max="2121" width="13.42578125" style="1" hidden="1"/>
    <col min="2122" max="2122" width="17" style="1" hidden="1"/>
    <col min="2123" max="2124" width="12.42578125" style="1" hidden="1"/>
    <col min="2125" max="2125" width="16.42578125" style="1" hidden="1"/>
    <col min="2126" max="2126" width="12.42578125" style="1" hidden="1"/>
    <col min="2127" max="2127" width="13.42578125" style="1" hidden="1"/>
    <col min="2128" max="2128" width="12.42578125" style="1" hidden="1"/>
    <col min="2129" max="2130" width="11.7109375" style="1" hidden="1"/>
    <col min="2131" max="2131" width="11.42578125" style="1" hidden="1"/>
    <col min="2132" max="2132" width="11.7109375" style="1" hidden="1"/>
    <col min="2133" max="2133" width="11.42578125" style="1" hidden="1"/>
    <col min="2134" max="2135" width="15.42578125" style="1" hidden="1"/>
    <col min="2136" max="2136" width="16.140625" style="1" hidden="1"/>
    <col min="2137" max="2137" width="16.5703125" style="1" hidden="1"/>
    <col min="2138" max="2138" width="16.7109375" style="1" hidden="1"/>
    <col min="2139" max="2139" width="15.42578125" style="1" hidden="1"/>
    <col min="2140" max="2140" width="14.85546875" style="1" hidden="1"/>
    <col min="2141" max="2141" width="17.140625" style="1" hidden="1"/>
    <col min="2142" max="2142" width="16.7109375" style="1" hidden="1"/>
    <col min="2143" max="2143" width="16.5703125" style="1" hidden="1"/>
    <col min="2144" max="2144" width="16.28515625" style="1" hidden="1"/>
    <col min="2145" max="2145" width="14.85546875" style="1" hidden="1"/>
    <col min="2146" max="2146" width="16.140625" style="1" hidden="1"/>
    <col min="2147" max="2147" width="16" style="1" hidden="1"/>
    <col min="2148" max="2148" width="15.5703125" style="1" hidden="1"/>
    <col min="2149" max="2149" width="16.28515625" style="1" hidden="1"/>
    <col min="2150" max="2150" width="17.140625" style="1" hidden="1"/>
    <col min="2151" max="2151" width="16.28515625" style="1" hidden="1"/>
    <col min="2152" max="2152" width="15.7109375" style="1" hidden="1"/>
    <col min="2153" max="2153" width="15.42578125" style="1" hidden="1"/>
    <col min="2154" max="2256" width="9.140625" style="1" hidden="1"/>
    <col min="2257" max="2257" width="19.85546875" style="1" hidden="1"/>
    <col min="2258" max="2258" width="22" style="1" hidden="1"/>
    <col min="2259" max="2259" width="18.42578125" style="1" hidden="1"/>
    <col min="2260" max="2261" width="16.42578125" style="1" hidden="1"/>
    <col min="2262" max="2262" width="18.85546875" style="1" hidden="1"/>
    <col min="2263" max="2264" width="15.5703125" style="1" hidden="1"/>
    <col min="2265" max="2265" width="11.28515625" style="1" hidden="1"/>
    <col min="2266" max="2266" width="12.7109375" style="1" hidden="1"/>
    <col min="2267" max="2271" width="14.7109375" style="1" hidden="1"/>
    <col min="2272" max="2275" width="13.85546875" style="1" hidden="1"/>
    <col min="2276" max="2276" width="14.28515625" style="1" hidden="1"/>
    <col min="2277" max="2277" width="13.85546875" style="1" hidden="1"/>
    <col min="2278" max="2290" width="13.42578125" style="1" hidden="1"/>
    <col min="2291" max="2291" width="16.85546875" style="1" hidden="1"/>
    <col min="2292" max="2292" width="12.42578125" style="1" hidden="1"/>
    <col min="2293" max="2293" width="13.5703125" style="1" hidden="1"/>
    <col min="2294" max="2297" width="12.42578125" style="1" hidden="1"/>
    <col min="2298" max="2299" width="13.140625" style="1" hidden="1"/>
    <col min="2300" max="2334" width="14.42578125" style="1" hidden="1"/>
    <col min="2335" max="2346" width="12.42578125" style="1" hidden="1"/>
    <col min="2347" max="2347" width="17.5703125" style="1" hidden="1"/>
    <col min="2348" max="2348" width="15.140625" style="1" hidden="1"/>
    <col min="2349" max="2350" width="15.42578125" style="1" hidden="1"/>
    <col min="2351" max="2352" width="15.5703125" style="1" hidden="1"/>
    <col min="2353" max="2353" width="17" style="1" hidden="1"/>
    <col min="2354" max="2354" width="15.5703125" style="1" hidden="1"/>
    <col min="2355" max="2355" width="17.7109375" style="1" hidden="1"/>
    <col min="2356" max="2356" width="18.42578125" style="1" hidden="1"/>
    <col min="2357" max="2357" width="17.5703125" style="1" hidden="1"/>
    <col min="2358" max="2359" width="16" style="1" hidden="1"/>
    <col min="2360" max="2363" width="12.42578125" style="1" hidden="1"/>
    <col min="2364" max="2364" width="17.7109375" style="1" hidden="1"/>
    <col min="2365" max="2365" width="12.42578125" style="1" hidden="1"/>
    <col min="2366" max="2366" width="13.7109375" style="1" hidden="1"/>
    <col min="2367" max="2367" width="15.5703125" style="1" hidden="1"/>
    <col min="2368" max="2371" width="13.7109375" style="1" hidden="1"/>
    <col min="2372" max="2373" width="12.42578125" style="1" hidden="1"/>
    <col min="2374" max="2374" width="14.85546875" style="1" hidden="1"/>
    <col min="2375" max="2375" width="12.42578125" style="1" hidden="1"/>
    <col min="2376" max="2377" width="13.42578125" style="1" hidden="1"/>
    <col min="2378" max="2378" width="17" style="1" hidden="1"/>
    <col min="2379" max="2380" width="12.42578125" style="1" hidden="1"/>
    <col min="2381" max="2381" width="16.42578125" style="1" hidden="1"/>
    <col min="2382" max="2382" width="12.42578125" style="1" hidden="1"/>
    <col min="2383" max="2383" width="13.42578125" style="1" hidden="1"/>
    <col min="2384" max="2384" width="12.42578125" style="1" hidden="1"/>
    <col min="2385" max="2386" width="11.7109375" style="1" hidden="1"/>
    <col min="2387" max="2387" width="11.42578125" style="1" hidden="1"/>
    <col min="2388" max="2388" width="11.7109375" style="1" hidden="1"/>
    <col min="2389" max="2389" width="11.42578125" style="1" hidden="1"/>
    <col min="2390" max="2391" width="15.42578125" style="1" hidden="1"/>
    <col min="2392" max="2392" width="16.140625" style="1" hidden="1"/>
    <col min="2393" max="2393" width="16.5703125" style="1" hidden="1"/>
    <col min="2394" max="2394" width="16.7109375" style="1" hidden="1"/>
    <col min="2395" max="2395" width="15.42578125" style="1" hidden="1"/>
    <col min="2396" max="2396" width="14.85546875" style="1" hidden="1"/>
    <col min="2397" max="2397" width="17.140625" style="1" hidden="1"/>
    <col min="2398" max="2398" width="16.7109375" style="1" hidden="1"/>
    <col min="2399" max="2399" width="16.5703125" style="1" hidden="1"/>
    <col min="2400" max="2400" width="16.28515625" style="1" hidden="1"/>
    <col min="2401" max="2401" width="14.85546875" style="1" hidden="1"/>
    <col min="2402" max="2402" width="16.140625" style="1" hidden="1"/>
    <col min="2403" max="2403" width="16" style="1" hidden="1"/>
    <col min="2404" max="2404" width="15.5703125" style="1" hidden="1"/>
    <col min="2405" max="2405" width="16.28515625" style="1" hidden="1"/>
    <col min="2406" max="2406" width="17.140625" style="1" hidden="1"/>
    <col min="2407" max="2407" width="16.28515625" style="1" hidden="1"/>
    <col min="2408" max="2408" width="15.7109375" style="1" hidden="1"/>
    <col min="2409" max="2409" width="15.42578125" style="1" hidden="1"/>
    <col min="2410" max="2512" width="9.140625" style="1" hidden="1"/>
    <col min="2513" max="2513" width="19.85546875" style="1" hidden="1"/>
    <col min="2514" max="2514" width="22" style="1" hidden="1"/>
    <col min="2515" max="2515" width="18.42578125" style="1" hidden="1"/>
    <col min="2516" max="2517" width="16.42578125" style="1" hidden="1"/>
    <col min="2518" max="2518" width="18.85546875" style="1" hidden="1"/>
    <col min="2519" max="2520" width="15.5703125" style="1" hidden="1"/>
    <col min="2521" max="2521" width="11.28515625" style="1" hidden="1"/>
    <col min="2522" max="2522" width="12.7109375" style="1" hidden="1"/>
    <col min="2523" max="2527" width="14.7109375" style="1" hidden="1"/>
    <col min="2528" max="2531" width="13.85546875" style="1" hidden="1"/>
    <col min="2532" max="2532" width="14.28515625" style="1" hidden="1"/>
    <col min="2533" max="2533" width="13.85546875" style="1" hidden="1"/>
    <col min="2534" max="2546" width="13.42578125" style="1" hidden="1"/>
    <col min="2547" max="2547" width="16.85546875" style="1" hidden="1"/>
    <col min="2548" max="2548" width="12.42578125" style="1" hidden="1"/>
    <col min="2549" max="2549" width="13.5703125" style="1" hidden="1"/>
    <col min="2550" max="2553" width="12.42578125" style="1" hidden="1"/>
    <col min="2554" max="2555" width="13.140625" style="1" hidden="1"/>
    <col min="2556" max="2590" width="14.42578125" style="1" hidden="1"/>
    <col min="2591" max="2602" width="12.42578125" style="1" hidden="1"/>
    <col min="2603" max="2603" width="17.5703125" style="1" hidden="1"/>
    <col min="2604" max="2604" width="15.140625" style="1" hidden="1"/>
    <col min="2605" max="2606" width="15.42578125" style="1" hidden="1"/>
    <col min="2607" max="2608" width="15.5703125" style="1" hidden="1"/>
    <col min="2609" max="2609" width="17" style="1" hidden="1"/>
    <col min="2610" max="2610" width="15.5703125" style="1" hidden="1"/>
    <col min="2611" max="2611" width="17.7109375" style="1" hidden="1"/>
    <col min="2612" max="2612" width="18.42578125" style="1" hidden="1"/>
    <col min="2613" max="2613" width="17.5703125" style="1" hidden="1"/>
    <col min="2614" max="2615" width="16" style="1" hidden="1"/>
    <col min="2616" max="2619" width="12.42578125" style="1" hidden="1"/>
    <col min="2620" max="2620" width="17.7109375" style="1" hidden="1"/>
    <col min="2621" max="2621" width="12.42578125" style="1" hidden="1"/>
    <col min="2622" max="2622" width="13.7109375" style="1" hidden="1"/>
    <col min="2623" max="2623" width="15.5703125" style="1" hidden="1"/>
    <col min="2624" max="2627" width="13.7109375" style="1" hidden="1"/>
    <col min="2628" max="2629" width="12.42578125" style="1" hidden="1"/>
    <col min="2630" max="2630" width="14.85546875" style="1" hidden="1"/>
    <col min="2631" max="2631" width="12.42578125" style="1" hidden="1"/>
    <col min="2632" max="2633" width="13.42578125" style="1" hidden="1"/>
    <col min="2634" max="2634" width="17" style="1" hidden="1"/>
    <col min="2635" max="2636" width="12.42578125" style="1" hidden="1"/>
    <col min="2637" max="2637" width="16.42578125" style="1" hidden="1"/>
    <col min="2638" max="2638" width="12.42578125" style="1" hidden="1"/>
    <col min="2639" max="2639" width="13.42578125" style="1" hidden="1"/>
    <col min="2640" max="2640" width="12.42578125" style="1" hidden="1"/>
    <col min="2641" max="2642" width="11.7109375" style="1" hidden="1"/>
    <col min="2643" max="2643" width="11.42578125" style="1" hidden="1"/>
    <col min="2644" max="2644" width="11.7109375" style="1" hidden="1"/>
    <col min="2645" max="2645" width="11.42578125" style="1" hidden="1"/>
    <col min="2646" max="2647" width="15.42578125" style="1" hidden="1"/>
    <col min="2648" max="2648" width="16.140625" style="1" hidden="1"/>
    <col min="2649" max="2649" width="16.5703125" style="1" hidden="1"/>
    <col min="2650" max="2650" width="16.7109375" style="1" hidden="1"/>
    <col min="2651" max="2651" width="15.42578125" style="1" hidden="1"/>
    <col min="2652" max="2652" width="14.85546875" style="1" hidden="1"/>
    <col min="2653" max="2653" width="17.140625" style="1" hidden="1"/>
    <col min="2654" max="2654" width="16.7109375" style="1" hidden="1"/>
    <col min="2655" max="2655" width="16.5703125" style="1" hidden="1"/>
    <col min="2656" max="2656" width="16.28515625" style="1" hidden="1"/>
    <col min="2657" max="2657" width="14.85546875" style="1" hidden="1"/>
    <col min="2658" max="2658" width="16.140625" style="1" hidden="1"/>
    <col min="2659" max="2659" width="16" style="1" hidden="1"/>
    <col min="2660" max="2660" width="15.5703125" style="1" hidden="1"/>
    <col min="2661" max="2661" width="16.28515625" style="1" hidden="1"/>
    <col min="2662" max="2662" width="17.140625" style="1" hidden="1"/>
    <col min="2663" max="2663" width="16.28515625" style="1" hidden="1"/>
    <col min="2664" max="2664" width="15.7109375" style="1" hidden="1"/>
    <col min="2665" max="2665" width="15.42578125" style="1" hidden="1"/>
    <col min="2666" max="2768" width="9.140625" style="1" hidden="1"/>
    <col min="2769" max="2769" width="19.85546875" style="1" hidden="1"/>
    <col min="2770" max="2770" width="22" style="1" hidden="1"/>
    <col min="2771" max="2771" width="18.42578125" style="1" hidden="1"/>
    <col min="2772" max="2773" width="16.42578125" style="1" hidden="1"/>
    <col min="2774" max="2774" width="18.85546875" style="1" hidden="1"/>
    <col min="2775" max="2776" width="15.5703125" style="1" hidden="1"/>
    <col min="2777" max="2777" width="11.28515625" style="1" hidden="1"/>
    <col min="2778" max="2778" width="12.7109375" style="1" hidden="1"/>
    <col min="2779" max="2783" width="14.7109375" style="1" hidden="1"/>
    <col min="2784" max="2787" width="13.85546875" style="1" hidden="1"/>
    <col min="2788" max="2788" width="14.28515625" style="1" hidden="1"/>
    <col min="2789" max="2789" width="13.85546875" style="1" hidden="1"/>
    <col min="2790" max="2802" width="13.42578125" style="1" hidden="1"/>
    <col min="2803" max="2803" width="16.85546875" style="1" hidden="1"/>
    <col min="2804" max="2804" width="12.42578125" style="1" hidden="1"/>
    <col min="2805" max="2805" width="13.5703125" style="1" hidden="1"/>
    <col min="2806" max="2809" width="12.42578125" style="1" hidden="1"/>
    <col min="2810" max="2811" width="13.140625" style="1" hidden="1"/>
    <col min="2812" max="2846" width="14.42578125" style="1" hidden="1"/>
    <col min="2847" max="2858" width="12.42578125" style="1" hidden="1"/>
    <col min="2859" max="2859" width="17.5703125" style="1" hidden="1"/>
    <col min="2860" max="2860" width="15.140625" style="1" hidden="1"/>
    <col min="2861" max="2862" width="15.42578125" style="1" hidden="1"/>
    <col min="2863" max="2864" width="15.5703125" style="1" hidden="1"/>
    <col min="2865" max="2865" width="17" style="1" hidden="1"/>
    <col min="2866" max="2866" width="15.5703125" style="1" hidden="1"/>
    <col min="2867" max="2867" width="17.7109375" style="1" hidden="1"/>
    <col min="2868" max="2868" width="18.42578125" style="1" hidden="1"/>
    <col min="2869" max="2869" width="17.5703125" style="1" hidden="1"/>
    <col min="2870" max="2871" width="16" style="1" hidden="1"/>
    <col min="2872" max="2875" width="12.42578125" style="1" hidden="1"/>
    <col min="2876" max="2876" width="17.7109375" style="1" hidden="1"/>
    <col min="2877" max="2877" width="12.42578125" style="1" hidden="1"/>
    <col min="2878" max="2878" width="13.7109375" style="1" hidden="1"/>
    <col min="2879" max="2879" width="15.5703125" style="1" hidden="1"/>
    <col min="2880" max="2883" width="13.7109375" style="1" hidden="1"/>
    <col min="2884" max="2885" width="12.42578125" style="1" hidden="1"/>
    <col min="2886" max="2886" width="14.85546875" style="1" hidden="1"/>
    <col min="2887" max="2887" width="12.42578125" style="1" hidden="1"/>
    <col min="2888" max="2889" width="13.42578125" style="1" hidden="1"/>
    <col min="2890" max="2890" width="17" style="1" hidden="1"/>
    <col min="2891" max="2892" width="12.42578125" style="1" hidden="1"/>
    <col min="2893" max="2893" width="16.42578125" style="1" hidden="1"/>
    <col min="2894" max="2894" width="12.42578125" style="1" hidden="1"/>
    <col min="2895" max="2895" width="13.42578125" style="1" hidden="1"/>
    <col min="2896" max="2896" width="12.42578125" style="1" hidden="1"/>
    <col min="2897" max="2898" width="11.7109375" style="1" hidden="1"/>
    <col min="2899" max="2899" width="11.42578125" style="1" hidden="1"/>
    <col min="2900" max="2900" width="11.7109375" style="1" hidden="1"/>
    <col min="2901" max="2901" width="11.42578125" style="1" hidden="1"/>
    <col min="2902" max="2903" width="15.42578125" style="1" hidden="1"/>
    <col min="2904" max="2904" width="16.140625" style="1" hidden="1"/>
    <col min="2905" max="2905" width="16.5703125" style="1" hidden="1"/>
    <col min="2906" max="2906" width="16.7109375" style="1" hidden="1"/>
    <col min="2907" max="2907" width="15.42578125" style="1" hidden="1"/>
    <col min="2908" max="2908" width="14.85546875" style="1" hidden="1"/>
    <col min="2909" max="2909" width="17.140625" style="1" hidden="1"/>
    <col min="2910" max="2910" width="16.7109375" style="1" hidden="1"/>
    <col min="2911" max="2911" width="16.5703125" style="1" hidden="1"/>
    <col min="2912" max="2912" width="16.28515625" style="1" hidden="1"/>
    <col min="2913" max="2913" width="14.85546875" style="1" hidden="1"/>
    <col min="2914" max="2914" width="16.140625" style="1" hidden="1"/>
    <col min="2915" max="2915" width="16" style="1" hidden="1"/>
    <col min="2916" max="2916" width="15.5703125" style="1" hidden="1"/>
    <col min="2917" max="2917" width="16.28515625" style="1" hidden="1"/>
    <col min="2918" max="2918" width="17.140625" style="1" hidden="1"/>
    <col min="2919" max="2919" width="16.28515625" style="1" hidden="1"/>
    <col min="2920" max="2920" width="15.7109375" style="1" hidden="1"/>
    <col min="2921" max="2921" width="15.42578125" style="1" hidden="1"/>
    <col min="2922" max="3024" width="9.140625" style="1" hidden="1"/>
    <col min="3025" max="3025" width="19.85546875" style="1" hidden="1"/>
    <col min="3026" max="3026" width="22" style="1" hidden="1"/>
    <col min="3027" max="3027" width="18.42578125" style="1" hidden="1"/>
    <col min="3028" max="3029" width="16.42578125" style="1" hidden="1"/>
    <col min="3030" max="3030" width="18.85546875" style="1" hidden="1"/>
    <col min="3031" max="3032" width="15.5703125" style="1" hidden="1"/>
    <col min="3033" max="3033" width="11.28515625" style="1" hidden="1"/>
    <col min="3034" max="3034" width="12.7109375" style="1" hidden="1"/>
    <col min="3035" max="3039" width="14.7109375" style="1" hidden="1"/>
    <col min="3040" max="3043" width="13.85546875" style="1" hidden="1"/>
    <col min="3044" max="3044" width="14.28515625" style="1" hidden="1"/>
    <col min="3045" max="3045" width="13.85546875" style="1" hidden="1"/>
    <col min="3046" max="3058" width="13.42578125" style="1" hidden="1"/>
    <col min="3059" max="3059" width="16.85546875" style="1" hidden="1"/>
    <col min="3060" max="3060" width="12.42578125" style="1" hidden="1"/>
    <col min="3061" max="3061" width="13.5703125" style="1" hidden="1"/>
    <col min="3062" max="3065" width="12.42578125" style="1" hidden="1"/>
    <col min="3066" max="3067" width="13.140625" style="1" hidden="1"/>
    <col min="3068" max="3102" width="14.42578125" style="1" hidden="1"/>
    <col min="3103" max="3114" width="12.42578125" style="1" hidden="1"/>
    <col min="3115" max="3115" width="17.5703125" style="1" hidden="1"/>
    <col min="3116" max="3116" width="15.140625" style="1" hidden="1"/>
    <col min="3117" max="3118" width="15.42578125" style="1" hidden="1"/>
    <col min="3119" max="3120" width="15.5703125" style="1" hidden="1"/>
    <col min="3121" max="3121" width="17" style="1" hidden="1"/>
    <col min="3122" max="3122" width="15.5703125" style="1" hidden="1"/>
    <col min="3123" max="3123" width="17.7109375" style="1" hidden="1"/>
    <col min="3124" max="3124" width="18.42578125" style="1" hidden="1"/>
    <col min="3125" max="3125" width="17.5703125" style="1" hidden="1"/>
    <col min="3126" max="3127" width="16" style="1" hidden="1"/>
    <col min="3128" max="3131" width="12.42578125" style="1" hidden="1"/>
    <col min="3132" max="3132" width="17.7109375" style="1" hidden="1"/>
    <col min="3133" max="3133" width="12.42578125" style="1" hidden="1"/>
    <col min="3134" max="3134" width="13.7109375" style="1" hidden="1"/>
    <col min="3135" max="3135" width="15.5703125" style="1" hidden="1"/>
    <col min="3136" max="3139" width="13.7109375" style="1" hidden="1"/>
    <col min="3140" max="3141" width="12.42578125" style="1" hidden="1"/>
    <col min="3142" max="3142" width="14.85546875" style="1" hidden="1"/>
    <col min="3143" max="3143" width="12.42578125" style="1" hidden="1"/>
    <col min="3144" max="3145" width="13.42578125" style="1" hidden="1"/>
    <col min="3146" max="3146" width="17" style="1" hidden="1"/>
    <col min="3147" max="3148" width="12.42578125" style="1" hidden="1"/>
    <col min="3149" max="3149" width="16.42578125" style="1" hidden="1"/>
    <col min="3150" max="3150" width="12.42578125" style="1" hidden="1"/>
    <col min="3151" max="3151" width="13.42578125" style="1" hidden="1"/>
    <col min="3152" max="3152" width="12.42578125" style="1" hidden="1"/>
    <col min="3153" max="3154" width="11.7109375" style="1" hidden="1"/>
    <col min="3155" max="3155" width="11.42578125" style="1" hidden="1"/>
    <col min="3156" max="3156" width="11.7109375" style="1" hidden="1"/>
    <col min="3157" max="3157" width="11.42578125" style="1" hidden="1"/>
    <col min="3158" max="3159" width="15.42578125" style="1" hidden="1"/>
    <col min="3160" max="3160" width="16.140625" style="1" hidden="1"/>
    <col min="3161" max="3161" width="16.5703125" style="1" hidden="1"/>
    <col min="3162" max="3162" width="16.7109375" style="1" hidden="1"/>
    <col min="3163" max="3163" width="15.42578125" style="1" hidden="1"/>
    <col min="3164" max="3164" width="14.85546875" style="1" hidden="1"/>
    <col min="3165" max="3165" width="17.140625" style="1" hidden="1"/>
    <col min="3166" max="3166" width="16.7109375" style="1" hidden="1"/>
    <col min="3167" max="3167" width="16.5703125" style="1" hidden="1"/>
    <col min="3168" max="3168" width="16.28515625" style="1" hidden="1"/>
    <col min="3169" max="3169" width="14.85546875" style="1" hidden="1"/>
    <col min="3170" max="3170" width="16.140625" style="1" hidden="1"/>
    <col min="3171" max="3171" width="16" style="1" hidden="1"/>
    <col min="3172" max="3172" width="15.5703125" style="1" hidden="1"/>
    <col min="3173" max="3173" width="16.28515625" style="1" hidden="1"/>
    <col min="3174" max="3174" width="17.140625" style="1" hidden="1"/>
    <col min="3175" max="3175" width="16.28515625" style="1" hidden="1"/>
    <col min="3176" max="3176" width="15.7109375" style="1" hidden="1"/>
    <col min="3177" max="3177" width="15.42578125" style="1" hidden="1"/>
    <col min="3178" max="3280" width="9.140625" style="1" hidden="1"/>
    <col min="3281" max="3281" width="19.85546875" style="1" hidden="1"/>
    <col min="3282" max="3282" width="22" style="1" hidden="1"/>
    <col min="3283" max="3283" width="18.42578125" style="1" hidden="1"/>
    <col min="3284" max="3285" width="16.42578125" style="1" hidden="1"/>
    <col min="3286" max="3286" width="18.85546875" style="1" hidden="1"/>
    <col min="3287" max="3288" width="15.5703125" style="1" hidden="1"/>
    <col min="3289" max="3289" width="11.28515625" style="1" hidden="1"/>
    <col min="3290" max="3290" width="12.7109375" style="1" hidden="1"/>
    <col min="3291" max="3295" width="14.7109375" style="1" hidden="1"/>
    <col min="3296" max="3299" width="13.85546875" style="1" hidden="1"/>
    <col min="3300" max="3300" width="14.28515625" style="1" hidden="1"/>
    <col min="3301" max="3301" width="13.85546875" style="1" hidden="1"/>
    <col min="3302" max="3314" width="13.42578125" style="1" hidden="1"/>
    <col min="3315" max="3315" width="16.85546875" style="1" hidden="1"/>
    <col min="3316" max="3316" width="12.42578125" style="1" hidden="1"/>
    <col min="3317" max="3317" width="13.5703125" style="1" hidden="1"/>
    <col min="3318" max="3321" width="12.42578125" style="1" hidden="1"/>
    <col min="3322" max="3323" width="13.140625" style="1" hidden="1"/>
    <col min="3324" max="3358" width="14.42578125" style="1" hidden="1"/>
    <col min="3359" max="3370" width="12.42578125" style="1" hidden="1"/>
    <col min="3371" max="3371" width="17.5703125" style="1" hidden="1"/>
    <col min="3372" max="3372" width="15.140625" style="1" hidden="1"/>
    <col min="3373" max="3374" width="15.42578125" style="1" hidden="1"/>
    <col min="3375" max="3376" width="15.5703125" style="1" hidden="1"/>
    <col min="3377" max="3377" width="17" style="1" hidden="1"/>
    <col min="3378" max="3378" width="15.5703125" style="1" hidden="1"/>
    <col min="3379" max="3379" width="17.7109375" style="1" hidden="1"/>
    <col min="3380" max="3380" width="18.42578125" style="1" hidden="1"/>
    <col min="3381" max="3381" width="17.5703125" style="1" hidden="1"/>
    <col min="3382" max="3383" width="16" style="1" hidden="1"/>
    <col min="3384" max="3387" width="12.42578125" style="1" hidden="1"/>
    <col min="3388" max="3388" width="17.7109375" style="1" hidden="1"/>
    <col min="3389" max="3389" width="12.42578125" style="1" hidden="1"/>
    <col min="3390" max="3390" width="13.7109375" style="1" hidden="1"/>
    <col min="3391" max="3391" width="15.5703125" style="1" hidden="1"/>
    <col min="3392" max="3395" width="13.7109375" style="1" hidden="1"/>
    <col min="3396" max="3397" width="12.42578125" style="1" hidden="1"/>
    <col min="3398" max="3398" width="14.85546875" style="1" hidden="1"/>
    <col min="3399" max="3399" width="12.42578125" style="1" hidden="1"/>
    <col min="3400" max="3401" width="13.42578125" style="1" hidden="1"/>
    <col min="3402" max="3402" width="17" style="1" hidden="1"/>
    <col min="3403" max="3404" width="12.42578125" style="1" hidden="1"/>
    <col min="3405" max="3405" width="16.42578125" style="1" hidden="1"/>
    <col min="3406" max="3406" width="12.42578125" style="1" hidden="1"/>
    <col min="3407" max="3407" width="13.42578125" style="1" hidden="1"/>
    <col min="3408" max="3408" width="12.42578125" style="1" hidden="1"/>
    <col min="3409" max="3410" width="11.7109375" style="1" hidden="1"/>
    <col min="3411" max="3411" width="11.42578125" style="1" hidden="1"/>
    <col min="3412" max="3412" width="11.7109375" style="1" hidden="1"/>
    <col min="3413" max="3413" width="11.42578125" style="1" hidden="1"/>
    <col min="3414" max="3415" width="15.42578125" style="1" hidden="1"/>
    <col min="3416" max="3416" width="16.140625" style="1" hidden="1"/>
    <col min="3417" max="3417" width="16.5703125" style="1" hidden="1"/>
    <col min="3418" max="3418" width="16.7109375" style="1" hidden="1"/>
    <col min="3419" max="3419" width="15.42578125" style="1" hidden="1"/>
    <col min="3420" max="3420" width="14.85546875" style="1" hidden="1"/>
    <col min="3421" max="3421" width="17.140625" style="1" hidden="1"/>
    <col min="3422" max="3422" width="16.7109375" style="1" hidden="1"/>
    <col min="3423" max="3423" width="16.5703125" style="1" hidden="1"/>
    <col min="3424" max="3424" width="16.28515625" style="1" hidden="1"/>
    <col min="3425" max="3425" width="14.85546875" style="1" hidden="1"/>
    <col min="3426" max="3426" width="16.140625" style="1" hidden="1"/>
    <col min="3427" max="3427" width="16" style="1" hidden="1"/>
    <col min="3428" max="3428" width="15.5703125" style="1" hidden="1"/>
    <col min="3429" max="3429" width="16.28515625" style="1" hidden="1"/>
    <col min="3430" max="3430" width="17.140625" style="1" hidden="1"/>
    <col min="3431" max="3431" width="16.28515625" style="1" hidden="1"/>
    <col min="3432" max="3432" width="15.7109375" style="1" hidden="1"/>
    <col min="3433" max="3433" width="15.42578125" style="1" hidden="1"/>
    <col min="3434" max="3536" width="9.140625" style="1" hidden="1"/>
    <col min="3537" max="3537" width="19.85546875" style="1" hidden="1"/>
    <col min="3538" max="3538" width="22" style="1" hidden="1"/>
    <col min="3539" max="3539" width="18.42578125" style="1" hidden="1"/>
    <col min="3540" max="3541" width="16.42578125" style="1" hidden="1"/>
    <col min="3542" max="3542" width="18.85546875" style="1" hidden="1"/>
    <col min="3543" max="3544" width="15.5703125" style="1" hidden="1"/>
    <col min="3545" max="3545" width="11.28515625" style="1" hidden="1"/>
    <col min="3546" max="3546" width="12.7109375" style="1" hidden="1"/>
    <col min="3547" max="3551" width="14.7109375" style="1" hidden="1"/>
    <col min="3552" max="3555" width="13.85546875" style="1" hidden="1"/>
    <col min="3556" max="3556" width="14.28515625" style="1" hidden="1"/>
    <col min="3557" max="3557" width="13.85546875" style="1" hidden="1"/>
    <col min="3558" max="3570" width="13.42578125" style="1" hidden="1"/>
    <col min="3571" max="3571" width="16.85546875" style="1" hidden="1"/>
    <col min="3572" max="3572" width="12.42578125" style="1" hidden="1"/>
    <col min="3573" max="3573" width="13.5703125" style="1" hidden="1"/>
    <col min="3574" max="3577" width="12.42578125" style="1" hidden="1"/>
    <col min="3578" max="3579" width="13.140625" style="1" hidden="1"/>
    <col min="3580" max="3614" width="14.42578125" style="1" hidden="1"/>
    <col min="3615" max="3626" width="12.42578125" style="1" hidden="1"/>
    <col min="3627" max="3627" width="17.5703125" style="1" hidden="1"/>
    <col min="3628" max="3628" width="15.140625" style="1" hidden="1"/>
    <col min="3629" max="3630" width="15.42578125" style="1" hidden="1"/>
    <col min="3631" max="3632" width="15.5703125" style="1" hidden="1"/>
    <col min="3633" max="3633" width="17" style="1" hidden="1"/>
    <col min="3634" max="3634" width="15.5703125" style="1" hidden="1"/>
    <col min="3635" max="3635" width="17.7109375" style="1" hidden="1"/>
    <col min="3636" max="3636" width="18.42578125" style="1" hidden="1"/>
    <col min="3637" max="3637" width="17.5703125" style="1" hidden="1"/>
    <col min="3638" max="3639" width="16" style="1" hidden="1"/>
    <col min="3640" max="3643" width="12.42578125" style="1" hidden="1"/>
    <col min="3644" max="3644" width="17.7109375" style="1" hidden="1"/>
    <col min="3645" max="3645" width="12.42578125" style="1" hidden="1"/>
    <col min="3646" max="3646" width="13.7109375" style="1" hidden="1"/>
    <col min="3647" max="3647" width="15.5703125" style="1" hidden="1"/>
    <col min="3648" max="3651" width="13.7109375" style="1" hidden="1"/>
    <col min="3652" max="3653" width="12.42578125" style="1" hidden="1"/>
    <col min="3654" max="3654" width="14.85546875" style="1" hidden="1"/>
    <col min="3655" max="3655" width="12.42578125" style="1" hidden="1"/>
    <col min="3656" max="3657" width="13.42578125" style="1" hidden="1"/>
    <col min="3658" max="3658" width="17" style="1" hidden="1"/>
    <col min="3659" max="3660" width="12.42578125" style="1" hidden="1"/>
    <col min="3661" max="3661" width="16.42578125" style="1" hidden="1"/>
    <col min="3662" max="3662" width="12.42578125" style="1" hidden="1"/>
    <col min="3663" max="3663" width="13.42578125" style="1" hidden="1"/>
    <col min="3664" max="3664" width="12.42578125" style="1" hidden="1"/>
    <col min="3665" max="3666" width="11.7109375" style="1" hidden="1"/>
    <col min="3667" max="3667" width="11.42578125" style="1" hidden="1"/>
    <col min="3668" max="3668" width="11.7109375" style="1" hidden="1"/>
    <col min="3669" max="3669" width="11.42578125" style="1" hidden="1"/>
    <col min="3670" max="3671" width="15.42578125" style="1" hidden="1"/>
    <col min="3672" max="3672" width="16.140625" style="1" hidden="1"/>
    <col min="3673" max="3673" width="16.5703125" style="1" hidden="1"/>
    <col min="3674" max="3674" width="16.7109375" style="1" hidden="1"/>
    <col min="3675" max="3675" width="15.42578125" style="1" hidden="1"/>
    <col min="3676" max="3676" width="14.85546875" style="1" hidden="1"/>
    <col min="3677" max="3677" width="17.140625" style="1" hidden="1"/>
    <col min="3678" max="3678" width="16.7109375" style="1" hidden="1"/>
    <col min="3679" max="3679" width="16.5703125" style="1" hidden="1"/>
    <col min="3680" max="3680" width="16.28515625" style="1" hidden="1"/>
    <col min="3681" max="3681" width="14.85546875" style="1" hidden="1"/>
    <col min="3682" max="3682" width="16.140625" style="1" hidden="1"/>
    <col min="3683" max="3683" width="16" style="1" hidden="1"/>
    <col min="3684" max="3684" width="15.5703125" style="1" hidden="1"/>
    <col min="3685" max="3685" width="16.28515625" style="1" hidden="1"/>
    <col min="3686" max="3686" width="17.140625" style="1" hidden="1"/>
    <col min="3687" max="3687" width="16.28515625" style="1" hidden="1"/>
    <col min="3688" max="3688" width="15.7109375" style="1" hidden="1"/>
    <col min="3689" max="3689" width="15.42578125" style="1" hidden="1"/>
    <col min="3690" max="3792" width="9.140625" style="1" hidden="1"/>
    <col min="3793" max="3793" width="19.85546875" style="1" hidden="1"/>
    <col min="3794" max="3794" width="22" style="1" hidden="1"/>
    <col min="3795" max="3795" width="18.42578125" style="1" hidden="1"/>
    <col min="3796" max="3797" width="16.42578125" style="1" hidden="1"/>
    <col min="3798" max="3798" width="18.85546875" style="1" hidden="1"/>
    <col min="3799" max="3800" width="15.5703125" style="1" hidden="1"/>
    <col min="3801" max="3801" width="11.28515625" style="1" hidden="1"/>
    <col min="3802" max="3802" width="12.7109375" style="1" hidden="1"/>
    <col min="3803" max="3807" width="14.7109375" style="1" hidden="1"/>
    <col min="3808" max="3811" width="13.85546875" style="1" hidden="1"/>
    <col min="3812" max="3812" width="14.28515625" style="1" hidden="1"/>
    <col min="3813" max="3813" width="13.85546875" style="1" hidden="1"/>
    <col min="3814" max="3826" width="13.42578125" style="1" hidden="1"/>
    <col min="3827" max="3827" width="16.85546875" style="1" hidden="1"/>
    <col min="3828" max="3828" width="12.42578125" style="1" hidden="1"/>
    <col min="3829" max="3829" width="13.5703125" style="1" hidden="1"/>
    <col min="3830" max="3833" width="12.42578125" style="1" hidden="1"/>
    <col min="3834" max="3835" width="13.140625" style="1" hidden="1"/>
    <col min="3836" max="3870" width="14.42578125" style="1" hidden="1"/>
    <col min="3871" max="3882" width="12.42578125" style="1" hidden="1"/>
    <col min="3883" max="3883" width="17.5703125" style="1" hidden="1"/>
    <col min="3884" max="3884" width="15.140625" style="1" hidden="1"/>
    <col min="3885" max="3886" width="15.42578125" style="1" hidden="1"/>
    <col min="3887" max="3888" width="15.5703125" style="1" hidden="1"/>
    <col min="3889" max="3889" width="17" style="1" hidden="1"/>
    <col min="3890" max="3890" width="15.5703125" style="1" hidden="1"/>
    <col min="3891" max="3891" width="17.7109375" style="1" hidden="1"/>
    <col min="3892" max="3892" width="18.42578125" style="1" hidden="1"/>
    <col min="3893" max="3893" width="17.5703125" style="1" hidden="1"/>
    <col min="3894" max="3895" width="16" style="1" hidden="1"/>
    <col min="3896" max="3899" width="12.42578125" style="1" hidden="1"/>
    <col min="3900" max="3900" width="17.7109375" style="1" hidden="1"/>
    <col min="3901" max="3901" width="12.42578125" style="1" hidden="1"/>
    <col min="3902" max="3902" width="13.7109375" style="1" hidden="1"/>
    <col min="3903" max="3903" width="15.5703125" style="1" hidden="1"/>
    <col min="3904" max="3907" width="13.7109375" style="1" hidden="1"/>
    <col min="3908" max="3909" width="12.42578125" style="1" hidden="1"/>
    <col min="3910" max="3910" width="14.85546875" style="1" hidden="1"/>
    <col min="3911" max="3911" width="12.42578125" style="1" hidden="1"/>
    <col min="3912" max="3913" width="13.42578125" style="1" hidden="1"/>
    <col min="3914" max="3914" width="17" style="1" hidden="1"/>
    <col min="3915" max="3916" width="12.42578125" style="1" hidden="1"/>
    <col min="3917" max="3917" width="16.42578125" style="1" hidden="1"/>
    <col min="3918" max="3918" width="12.42578125" style="1" hidden="1"/>
    <col min="3919" max="3919" width="13.42578125" style="1" hidden="1"/>
    <col min="3920" max="3920" width="12.42578125" style="1" hidden="1"/>
    <col min="3921" max="3922" width="11.7109375" style="1" hidden="1"/>
    <col min="3923" max="3923" width="11.42578125" style="1" hidden="1"/>
    <col min="3924" max="3924" width="11.7109375" style="1" hidden="1"/>
    <col min="3925" max="3925" width="11.42578125" style="1" hidden="1"/>
    <col min="3926" max="3927" width="15.42578125" style="1" hidden="1"/>
    <col min="3928" max="3928" width="16.140625" style="1" hidden="1"/>
    <col min="3929" max="3929" width="16.5703125" style="1" hidden="1"/>
    <col min="3930" max="3930" width="16.7109375" style="1" hidden="1"/>
    <col min="3931" max="3931" width="15.42578125" style="1" hidden="1"/>
    <col min="3932" max="3932" width="14.85546875" style="1" hidden="1"/>
    <col min="3933" max="3933" width="17.140625" style="1" hidden="1"/>
    <col min="3934" max="3934" width="16.7109375" style="1" hidden="1"/>
    <col min="3935" max="3935" width="16.5703125" style="1" hidden="1"/>
    <col min="3936" max="3936" width="16.28515625" style="1" hidden="1"/>
    <col min="3937" max="3937" width="14.85546875" style="1" hidden="1"/>
    <col min="3938" max="3938" width="16.140625" style="1" hidden="1"/>
    <col min="3939" max="3939" width="16" style="1" hidden="1"/>
    <col min="3940" max="3940" width="15.5703125" style="1" hidden="1"/>
    <col min="3941" max="3941" width="16.28515625" style="1" hidden="1"/>
    <col min="3942" max="3942" width="17.140625" style="1" hidden="1"/>
    <col min="3943" max="3943" width="16.28515625" style="1" hidden="1"/>
    <col min="3944" max="3944" width="15.7109375" style="1" hidden="1"/>
    <col min="3945" max="3945" width="15.42578125" style="1" hidden="1"/>
    <col min="3946" max="4048" width="9.140625" style="1" hidden="1"/>
    <col min="4049" max="4049" width="19.85546875" style="1" hidden="1"/>
    <col min="4050" max="4050" width="22" style="1" hidden="1"/>
    <col min="4051" max="4051" width="18.42578125" style="1" hidden="1"/>
    <col min="4052" max="4053" width="16.42578125" style="1" hidden="1"/>
    <col min="4054" max="4054" width="18.85546875" style="1" hidden="1"/>
    <col min="4055" max="4056" width="15.5703125" style="1" hidden="1"/>
    <col min="4057" max="4057" width="11.28515625" style="1" hidden="1"/>
    <col min="4058" max="4058" width="12.7109375" style="1" hidden="1"/>
    <col min="4059" max="4063" width="14.7109375" style="1" hidden="1"/>
    <col min="4064" max="4067" width="13.85546875" style="1" hidden="1"/>
    <col min="4068" max="4068" width="14.28515625" style="1" hidden="1"/>
    <col min="4069" max="4069" width="13.85546875" style="1" hidden="1"/>
    <col min="4070" max="4082" width="13.42578125" style="1" hidden="1"/>
    <col min="4083" max="4083" width="16.85546875" style="1" hidden="1"/>
    <col min="4084" max="4084" width="12.42578125" style="1" hidden="1"/>
    <col min="4085" max="4085" width="13.5703125" style="1" hidden="1"/>
    <col min="4086" max="4089" width="12.42578125" style="1" hidden="1"/>
    <col min="4090" max="4091" width="13.140625" style="1" hidden="1"/>
    <col min="4092" max="4126" width="14.42578125" style="1" hidden="1"/>
    <col min="4127" max="4138" width="12.42578125" style="1" hidden="1"/>
    <col min="4139" max="4139" width="17.5703125" style="1" hidden="1"/>
    <col min="4140" max="4140" width="15.140625" style="1" hidden="1"/>
    <col min="4141" max="4142" width="15.42578125" style="1" hidden="1"/>
    <col min="4143" max="4144" width="15.5703125" style="1" hidden="1"/>
    <col min="4145" max="4145" width="17" style="1" hidden="1"/>
    <col min="4146" max="4146" width="15.5703125" style="1" hidden="1"/>
    <col min="4147" max="4147" width="17.7109375" style="1" hidden="1"/>
    <col min="4148" max="4148" width="18.42578125" style="1" hidden="1"/>
    <col min="4149" max="4149" width="17.5703125" style="1" hidden="1"/>
    <col min="4150" max="4151" width="16" style="1" hidden="1"/>
    <col min="4152" max="4155" width="12.42578125" style="1" hidden="1"/>
    <col min="4156" max="4156" width="17.7109375" style="1" hidden="1"/>
    <col min="4157" max="4157" width="12.42578125" style="1" hidden="1"/>
    <col min="4158" max="4158" width="13.7109375" style="1" hidden="1"/>
    <col min="4159" max="4159" width="15.5703125" style="1" hidden="1"/>
    <col min="4160" max="4163" width="13.7109375" style="1" hidden="1"/>
    <col min="4164" max="4165" width="12.42578125" style="1" hidden="1"/>
    <col min="4166" max="4166" width="14.85546875" style="1" hidden="1"/>
    <col min="4167" max="4167" width="12.42578125" style="1" hidden="1"/>
    <col min="4168" max="4169" width="13.42578125" style="1" hidden="1"/>
    <col min="4170" max="4170" width="17" style="1" hidden="1"/>
    <col min="4171" max="4172" width="12.42578125" style="1" hidden="1"/>
    <col min="4173" max="4173" width="16.42578125" style="1" hidden="1"/>
    <col min="4174" max="4174" width="12.42578125" style="1" hidden="1"/>
    <col min="4175" max="4175" width="13.42578125" style="1" hidden="1"/>
    <col min="4176" max="4176" width="12.42578125" style="1" hidden="1"/>
    <col min="4177" max="4178" width="11.7109375" style="1" hidden="1"/>
    <col min="4179" max="4179" width="11.42578125" style="1" hidden="1"/>
    <col min="4180" max="4180" width="11.7109375" style="1" hidden="1"/>
    <col min="4181" max="4181" width="11.42578125" style="1" hidden="1"/>
    <col min="4182" max="4183" width="15.42578125" style="1" hidden="1"/>
    <col min="4184" max="4184" width="16.140625" style="1" hidden="1"/>
    <col min="4185" max="4185" width="16.5703125" style="1" hidden="1"/>
    <col min="4186" max="4186" width="16.7109375" style="1" hidden="1"/>
    <col min="4187" max="4187" width="15.42578125" style="1" hidden="1"/>
    <col min="4188" max="4188" width="14.85546875" style="1" hidden="1"/>
    <col min="4189" max="4189" width="17.140625" style="1" hidden="1"/>
    <col min="4190" max="4190" width="16.7109375" style="1" hidden="1"/>
    <col min="4191" max="4191" width="16.5703125" style="1" hidden="1"/>
    <col min="4192" max="4192" width="16.28515625" style="1" hidden="1"/>
    <col min="4193" max="4193" width="14.85546875" style="1" hidden="1"/>
    <col min="4194" max="4194" width="16.140625" style="1" hidden="1"/>
    <col min="4195" max="4195" width="16" style="1" hidden="1"/>
    <col min="4196" max="4196" width="15.5703125" style="1" hidden="1"/>
    <col min="4197" max="4197" width="16.28515625" style="1" hidden="1"/>
    <col min="4198" max="4198" width="17.140625" style="1" hidden="1"/>
    <col min="4199" max="4199" width="16.28515625" style="1" hidden="1"/>
    <col min="4200" max="4200" width="15.7109375" style="1" hidden="1"/>
    <col min="4201" max="4201" width="15.42578125" style="1" hidden="1"/>
    <col min="4202" max="4304" width="9.140625" style="1" hidden="1"/>
    <col min="4305" max="4305" width="19.85546875" style="1" hidden="1"/>
    <col min="4306" max="4306" width="22" style="1" hidden="1"/>
    <col min="4307" max="4307" width="18.42578125" style="1" hidden="1"/>
    <col min="4308" max="4309" width="16.42578125" style="1" hidden="1"/>
    <col min="4310" max="4310" width="18.85546875" style="1" hidden="1"/>
    <col min="4311" max="4312" width="15.5703125" style="1" hidden="1"/>
    <col min="4313" max="4313" width="11.28515625" style="1" hidden="1"/>
    <col min="4314" max="4314" width="12.7109375" style="1" hidden="1"/>
    <col min="4315" max="4319" width="14.7109375" style="1" hidden="1"/>
    <col min="4320" max="4323" width="13.85546875" style="1" hidden="1"/>
    <col min="4324" max="4324" width="14.28515625" style="1" hidden="1"/>
    <col min="4325" max="4325" width="13.85546875" style="1" hidden="1"/>
    <col min="4326" max="4338" width="13.42578125" style="1" hidden="1"/>
    <col min="4339" max="4339" width="16.85546875" style="1" hidden="1"/>
    <col min="4340" max="4340" width="12.42578125" style="1" hidden="1"/>
    <col min="4341" max="4341" width="13.5703125" style="1" hidden="1"/>
    <col min="4342" max="4345" width="12.42578125" style="1" hidden="1"/>
    <col min="4346" max="4347" width="13.140625" style="1" hidden="1"/>
    <col min="4348" max="4382" width="14.42578125" style="1" hidden="1"/>
    <col min="4383" max="4394" width="12.42578125" style="1" hidden="1"/>
    <col min="4395" max="4395" width="17.5703125" style="1" hidden="1"/>
    <col min="4396" max="4396" width="15.140625" style="1" hidden="1"/>
    <col min="4397" max="4398" width="15.42578125" style="1" hidden="1"/>
    <col min="4399" max="4400" width="15.5703125" style="1" hidden="1"/>
    <col min="4401" max="4401" width="17" style="1" hidden="1"/>
    <col min="4402" max="4402" width="15.5703125" style="1" hidden="1"/>
    <col min="4403" max="4403" width="17.7109375" style="1" hidden="1"/>
    <col min="4404" max="4404" width="18.42578125" style="1" hidden="1"/>
    <col min="4405" max="4405" width="17.5703125" style="1" hidden="1"/>
    <col min="4406" max="4407" width="16" style="1" hidden="1"/>
    <col min="4408" max="4411" width="12.42578125" style="1" hidden="1"/>
    <col min="4412" max="4412" width="17.7109375" style="1" hidden="1"/>
    <col min="4413" max="4413" width="12.42578125" style="1" hidden="1"/>
    <col min="4414" max="4414" width="13.7109375" style="1" hidden="1"/>
    <col min="4415" max="4415" width="15.5703125" style="1" hidden="1"/>
    <col min="4416" max="4419" width="13.7109375" style="1" hidden="1"/>
    <col min="4420" max="4421" width="12.42578125" style="1" hidden="1"/>
    <col min="4422" max="4422" width="14.85546875" style="1" hidden="1"/>
    <col min="4423" max="4423" width="12.42578125" style="1" hidden="1"/>
    <col min="4424" max="4425" width="13.42578125" style="1" hidden="1"/>
    <col min="4426" max="4426" width="17" style="1" hidden="1"/>
    <col min="4427" max="4428" width="12.42578125" style="1" hidden="1"/>
    <col min="4429" max="4429" width="16.42578125" style="1" hidden="1"/>
    <col min="4430" max="4430" width="12.42578125" style="1" hidden="1"/>
    <col min="4431" max="4431" width="13.42578125" style="1" hidden="1"/>
    <col min="4432" max="4432" width="12.42578125" style="1" hidden="1"/>
    <col min="4433" max="4434" width="11.7109375" style="1" hidden="1"/>
    <col min="4435" max="4435" width="11.42578125" style="1" hidden="1"/>
    <col min="4436" max="4436" width="11.7109375" style="1" hidden="1"/>
    <col min="4437" max="4437" width="11.42578125" style="1" hidden="1"/>
    <col min="4438" max="4439" width="15.42578125" style="1" hidden="1"/>
    <col min="4440" max="4440" width="16.140625" style="1" hidden="1"/>
    <col min="4441" max="4441" width="16.5703125" style="1" hidden="1"/>
    <col min="4442" max="4442" width="16.7109375" style="1" hidden="1"/>
    <col min="4443" max="4443" width="15.42578125" style="1" hidden="1"/>
    <col min="4444" max="4444" width="14.85546875" style="1" hidden="1"/>
    <col min="4445" max="4445" width="17.140625" style="1" hidden="1"/>
    <col min="4446" max="4446" width="16.7109375" style="1" hidden="1"/>
    <col min="4447" max="4447" width="16.5703125" style="1" hidden="1"/>
    <col min="4448" max="4448" width="16.28515625" style="1" hidden="1"/>
    <col min="4449" max="4449" width="14.85546875" style="1" hidden="1"/>
    <col min="4450" max="4450" width="16.140625" style="1" hidden="1"/>
    <col min="4451" max="4451" width="16" style="1" hidden="1"/>
    <col min="4452" max="4452" width="15.5703125" style="1" hidden="1"/>
    <col min="4453" max="4453" width="16.28515625" style="1" hidden="1"/>
    <col min="4454" max="4454" width="17.140625" style="1" hidden="1"/>
    <col min="4455" max="4455" width="16.28515625" style="1" hidden="1"/>
    <col min="4456" max="4456" width="15.7109375" style="1" hidden="1"/>
    <col min="4457" max="4457" width="15.42578125" style="1" hidden="1"/>
    <col min="4458" max="4560" width="9.140625" style="1" hidden="1"/>
    <col min="4561" max="4561" width="19.85546875" style="1" hidden="1"/>
    <col min="4562" max="4562" width="22" style="1" hidden="1"/>
    <col min="4563" max="4563" width="18.42578125" style="1" hidden="1"/>
    <col min="4564" max="4565" width="16.42578125" style="1" hidden="1"/>
    <col min="4566" max="4566" width="18.85546875" style="1" hidden="1"/>
    <col min="4567" max="4568" width="15.5703125" style="1" hidden="1"/>
    <col min="4569" max="4569" width="11.28515625" style="1" hidden="1"/>
    <col min="4570" max="4570" width="12.7109375" style="1" hidden="1"/>
    <col min="4571" max="4575" width="14.7109375" style="1" hidden="1"/>
    <col min="4576" max="4579" width="13.85546875" style="1" hidden="1"/>
    <col min="4580" max="4580" width="14.28515625" style="1" hidden="1"/>
    <col min="4581" max="4581" width="13.85546875" style="1" hidden="1"/>
    <col min="4582" max="4594" width="13.42578125" style="1" hidden="1"/>
    <col min="4595" max="4595" width="16.85546875" style="1" hidden="1"/>
    <col min="4596" max="4596" width="12.42578125" style="1" hidden="1"/>
    <col min="4597" max="4597" width="13.5703125" style="1" hidden="1"/>
    <col min="4598" max="4601" width="12.42578125" style="1" hidden="1"/>
    <col min="4602" max="4603" width="13.140625" style="1" hidden="1"/>
    <col min="4604" max="4638" width="14.42578125" style="1" hidden="1"/>
    <col min="4639" max="4650" width="12.42578125" style="1" hidden="1"/>
    <col min="4651" max="4651" width="17.5703125" style="1" hidden="1"/>
    <col min="4652" max="4652" width="15.140625" style="1" hidden="1"/>
    <col min="4653" max="4654" width="15.42578125" style="1" hidden="1"/>
    <col min="4655" max="4656" width="15.5703125" style="1" hidden="1"/>
    <col min="4657" max="4657" width="17" style="1" hidden="1"/>
    <col min="4658" max="4658" width="15.5703125" style="1" hidden="1"/>
    <col min="4659" max="4659" width="17.7109375" style="1" hidden="1"/>
    <col min="4660" max="4660" width="18.42578125" style="1" hidden="1"/>
    <col min="4661" max="4661" width="17.5703125" style="1" hidden="1"/>
    <col min="4662" max="4663" width="16" style="1" hidden="1"/>
    <col min="4664" max="4667" width="12.42578125" style="1" hidden="1"/>
    <col min="4668" max="4668" width="17.7109375" style="1" hidden="1"/>
    <col min="4669" max="4669" width="12.42578125" style="1" hidden="1"/>
    <col min="4670" max="4670" width="13.7109375" style="1" hidden="1"/>
    <col min="4671" max="4671" width="15.5703125" style="1" hidden="1"/>
    <col min="4672" max="4675" width="13.7109375" style="1" hidden="1"/>
    <col min="4676" max="4677" width="12.42578125" style="1" hidden="1"/>
    <col min="4678" max="4678" width="14.85546875" style="1" hidden="1"/>
    <col min="4679" max="4679" width="12.42578125" style="1" hidden="1"/>
    <col min="4680" max="4681" width="13.42578125" style="1" hidden="1"/>
    <col min="4682" max="4682" width="17" style="1" hidden="1"/>
    <col min="4683" max="4684" width="12.42578125" style="1" hidden="1"/>
    <col min="4685" max="4685" width="16.42578125" style="1" hidden="1"/>
    <col min="4686" max="4686" width="12.42578125" style="1" hidden="1"/>
    <col min="4687" max="4687" width="13.42578125" style="1" hidden="1"/>
    <col min="4688" max="4688" width="12.42578125" style="1" hidden="1"/>
    <col min="4689" max="4690" width="11.7109375" style="1" hidden="1"/>
    <col min="4691" max="4691" width="11.42578125" style="1" hidden="1"/>
    <col min="4692" max="4692" width="11.7109375" style="1" hidden="1"/>
    <col min="4693" max="4693" width="11.42578125" style="1" hidden="1"/>
    <col min="4694" max="4695" width="15.42578125" style="1" hidden="1"/>
    <col min="4696" max="4696" width="16.140625" style="1" hidden="1"/>
    <col min="4697" max="4697" width="16.5703125" style="1" hidden="1"/>
    <col min="4698" max="4698" width="16.7109375" style="1" hidden="1"/>
    <col min="4699" max="4699" width="15.42578125" style="1" hidden="1"/>
    <col min="4700" max="4700" width="14.85546875" style="1" hidden="1"/>
    <col min="4701" max="4701" width="17.140625" style="1" hidden="1"/>
    <col min="4702" max="4702" width="16.7109375" style="1" hidden="1"/>
    <col min="4703" max="4703" width="16.5703125" style="1" hidden="1"/>
    <col min="4704" max="4704" width="16.28515625" style="1" hidden="1"/>
    <col min="4705" max="4705" width="14.85546875" style="1" hidden="1"/>
    <col min="4706" max="4706" width="16.140625" style="1" hidden="1"/>
    <col min="4707" max="4707" width="16" style="1" hidden="1"/>
    <col min="4708" max="4708" width="15.5703125" style="1" hidden="1"/>
    <col min="4709" max="4709" width="16.28515625" style="1" hidden="1"/>
    <col min="4710" max="4710" width="17.140625" style="1" hidden="1"/>
    <col min="4711" max="4711" width="16.28515625" style="1" hidden="1"/>
    <col min="4712" max="4712" width="15.7109375" style="1" hidden="1"/>
    <col min="4713" max="4713" width="15.42578125" style="1" hidden="1"/>
    <col min="4714" max="4816" width="9.140625" style="1" hidden="1"/>
    <col min="4817" max="4817" width="19.85546875" style="1" hidden="1"/>
    <col min="4818" max="4818" width="22" style="1" hidden="1"/>
    <col min="4819" max="4819" width="18.42578125" style="1" hidden="1"/>
    <col min="4820" max="4821" width="16.42578125" style="1" hidden="1"/>
    <col min="4822" max="4822" width="18.85546875" style="1" hidden="1"/>
    <col min="4823" max="4824" width="15.5703125" style="1" hidden="1"/>
    <col min="4825" max="4825" width="11.28515625" style="1" hidden="1"/>
    <col min="4826" max="4826" width="12.7109375" style="1" hidden="1"/>
    <col min="4827" max="4831" width="14.7109375" style="1" hidden="1"/>
    <col min="4832" max="4835" width="13.85546875" style="1" hidden="1"/>
    <col min="4836" max="4836" width="14.28515625" style="1" hidden="1"/>
    <col min="4837" max="4837" width="13.85546875" style="1" hidden="1"/>
    <col min="4838" max="4850" width="13.42578125" style="1" hidden="1"/>
    <col min="4851" max="4851" width="16.85546875" style="1" hidden="1"/>
    <col min="4852" max="4852" width="12.42578125" style="1" hidden="1"/>
    <col min="4853" max="4853" width="13.5703125" style="1" hidden="1"/>
    <col min="4854" max="4857" width="12.42578125" style="1" hidden="1"/>
    <col min="4858" max="4859" width="13.140625" style="1" hidden="1"/>
    <col min="4860" max="4894" width="14.42578125" style="1" hidden="1"/>
    <col min="4895" max="4906" width="12.42578125" style="1" hidden="1"/>
    <col min="4907" max="4907" width="17.5703125" style="1" hidden="1"/>
    <col min="4908" max="4908" width="15.140625" style="1" hidden="1"/>
    <col min="4909" max="4910" width="15.42578125" style="1" hidden="1"/>
    <col min="4911" max="4912" width="15.5703125" style="1" hidden="1"/>
    <col min="4913" max="4913" width="17" style="1" hidden="1"/>
    <col min="4914" max="4914" width="15.5703125" style="1" hidden="1"/>
    <col min="4915" max="4915" width="17.7109375" style="1" hidden="1"/>
    <col min="4916" max="4916" width="18.42578125" style="1" hidden="1"/>
    <col min="4917" max="4917" width="17.5703125" style="1" hidden="1"/>
    <col min="4918" max="4919" width="16" style="1" hidden="1"/>
    <col min="4920" max="4923" width="12.42578125" style="1" hidden="1"/>
    <col min="4924" max="4924" width="17.7109375" style="1" hidden="1"/>
    <col min="4925" max="4925" width="12.42578125" style="1" hidden="1"/>
    <col min="4926" max="4926" width="13.7109375" style="1" hidden="1"/>
    <col min="4927" max="4927" width="15.5703125" style="1" hidden="1"/>
    <col min="4928" max="4931" width="13.7109375" style="1" hidden="1"/>
    <col min="4932" max="4933" width="12.42578125" style="1" hidden="1"/>
    <col min="4934" max="4934" width="14.85546875" style="1" hidden="1"/>
    <col min="4935" max="4935" width="12.42578125" style="1" hidden="1"/>
    <col min="4936" max="4937" width="13.42578125" style="1" hidden="1"/>
    <col min="4938" max="4938" width="17" style="1" hidden="1"/>
    <col min="4939" max="4940" width="12.42578125" style="1" hidden="1"/>
    <col min="4941" max="4941" width="16.42578125" style="1" hidden="1"/>
    <col min="4942" max="4942" width="12.42578125" style="1" hidden="1"/>
    <col min="4943" max="4943" width="13.42578125" style="1" hidden="1"/>
    <col min="4944" max="4944" width="12.42578125" style="1" hidden="1"/>
    <col min="4945" max="4946" width="11.7109375" style="1" hidden="1"/>
    <col min="4947" max="4947" width="11.42578125" style="1" hidden="1"/>
    <col min="4948" max="4948" width="11.7109375" style="1" hidden="1"/>
    <col min="4949" max="4949" width="11.42578125" style="1" hidden="1"/>
    <col min="4950" max="4951" width="15.42578125" style="1" hidden="1"/>
    <col min="4952" max="4952" width="16.140625" style="1" hidden="1"/>
    <col min="4953" max="4953" width="16.5703125" style="1" hidden="1"/>
    <col min="4954" max="4954" width="16.7109375" style="1" hidden="1"/>
    <col min="4955" max="4955" width="15.42578125" style="1" hidden="1"/>
    <col min="4956" max="4956" width="14.85546875" style="1" hidden="1"/>
    <col min="4957" max="4957" width="17.140625" style="1" hidden="1"/>
    <col min="4958" max="4958" width="16.7109375" style="1" hidden="1"/>
    <col min="4959" max="4959" width="16.5703125" style="1" hidden="1"/>
    <col min="4960" max="4960" width="16.28515625" style="1" hidden="1"/>
    <col min="4961" max="4961" width="14.85546875" style="1" hidden="1"/>
    <col min="4962" max="4962" width="16.140625" style="1" hidden="1"/>
    <col min="4963" max="4963" width="16" style="1" hidden="1"/>
    <col min="4964" max="4964" width="15.5703125" style="1" hidden="1"/>
    <col min="4965" max="4965" width="16.28515625" style="1" hidden="1"/>
    <col min="4966" max="4966" width="17.140625" style="1" hidden="1"/>
    <col min="4967" max="4967" width="16.28515625" style="1" hidden="1"/>
    <col min="4968" max="4968" width="15.7109375" style="1" hidden="1"/>
    <col min="4969" max="4969" width="15.42578125" style="1" hidden="1"/>
    <col min="4970" max="5072" width="9.140625" style="1" hidden="1"/>
    <col min="5073" max="5073" width="19.85546875" style="1" hidden="1"/>
    <col min="5074" max="5074" width="22" style="1" hidden="1"/>
    <col min="5075" max="5075" width="18.42578125" style="1" hidden="1"/>
    <col min="5076" max="5077" width="16.42578125" style="1" hidden="1"/>
    <col min="5078" max="5078" width="18.85546875" style="1" hidden="1"/>
    <col min="5079" max="5080" width="15.5703125" style="1" hidden="1"/>
    <col min="5081" max="5081" width="11.28515625" style="1" hidden="1"/>
    <col min="5082" max="5082" width="12.7109375" style="1" hidden="1"/>
    <col min="5083" max="5087" width="14.7109375" style="1" hidden="1"/>
    <col min="5088" max="5091" width="13.85546875" style="1" hidden="1"/>
    <col min="5092" max="5092" width="14.28515625" style="1" hidden="1"/>
    <col min="5093" max="5093" width="13.85546875" style="1" hidden="1"/>
    <col min="5094" max="5106" width="13.42578125" style="1" hidden="1"/>
    <col min="5107" max="5107" width="16.85546875" style="1" hidden="1"/>
    <col min="5108" max="5108" width="12.42578125" style="1" hidden="1"/>
    <col min="5109" max="5109" width="13.5703125" style="1" hidden="1"/>
    <col min="5110" max="5113" width="12.42578125" style="1" hidden="1"/>
    <col min="5114" max="5115" width="13.140625" style="1" hidden="1"/>
    <col min="5116" max="5150" width="14.42578125" style="1" hidden="1"/>
    <col min="5151" max="5162" width="12.42578125" style="1" hidden="1"/>
    <col min="5163" max="5163" width="17.5703125" style="1" hidden="1"/>
    <col min="5164" max="5164" width="15.140625" style="1" hidden="1"/>
    <col min="5165" max="5166" width="15.42578125" style="1" hidden="1"/>
    <col min="5167" max="5168" width="15.5703125" style="1" hidden="1"/>
    <col min="5169" max="5169" width="17" style="1" hidden="1"/>
    <col min="5170" max="5170" width="15.5703125" style="1" hidden="1"/>
    <col min="5171" max="5171" width="17.7109375" style="1" hidden="1"/>
    <col min="5172" max="5172" width="18.42578125" style="1" hidden="1"/>
    <col min="5173" max="5173" width="17.5703125" style="1" hidden="1"/>
    <col min="5174" max="5175" width="16" style="1" hidden="1"/>
    <col min="5176" max="5179" width="12.42578125" style="1" hidden="1"/>
    <col min="5180" max="5180" width="17.7109375" style="1" hidden="1"/>
    <col min="5181" max="5181" width="12.42578125" style="1" hidden="1"/>
    <col min="5182" max="5182" width="13.7109375" style="1" hidden="1"/>
    <col min="5183" max="5183" width="15.5703125" style="1" hidden="1"/>
    <col min="5184" max="5187" width="13.7109375" style="1" hidden="1"/>
    <col min="5188" max="5189" width="12.42578125" style="1" hidden="1"/>
    <col min="5190" max="5190" width="14.85546875" style="1" hidden="1"/>
    <col min="5191" max="5191" width="12.42578125" style="1" hidden="1"/>
    <col min="5192" max="5193" width="13.42578125" style="1" hidden="1"/>
    <col min="5194" max="5194" width="17" style="1" hidden="1"/>
    <col min="5195" max="5196" width="12.42578125" style="1" hidden="1"/>
    <col min="5197" max="5197" width="16.42578125" style="1" hidden="1"/>
    <col min="5198" max="5198" width="12.42578125" style="1" hidden="1"/>
    <col min="5199" max="5199" width="13.42578125" style="1" hidden="1"/>
    <col min="5200" max="5200" width="12.42578125" style="1" hidden="1"/>
    <col min="5201" max="5202" width="11.7109375" style="1" hidden="1"/>
    <col min="5203" max="5203" width="11.42578125" style="1" hidden="1"/>
    <col min="5204" max="5204" width="11.7109375" style="1" hidden="1"/>
    <col min="5205" max="5205" width="11.42578125" style="1" hidden="1"/>
    <col min="5206" max="5207" width="15.42578125" style="1" hidden="1"/>
    <col min="5208" max="5208" width="16.140625" style="1" hidden="1"/>
    <col min="5209" max="5209" width="16.5703125" style="1" hidden="1"/>
    <col min="5210" max="5210" width="16.7109375" style="1" hidden="1"/>
    <col min="5211" max="5211" width="15.42578125" style="1" hidden="1"/>
    <col min="5212" max="5212" width="14.85546875" style="1" hidden="1"/>
    <col min="5213" max="5213" width="17.140625" style="1" hidden="1"/>
    <col min="5214" max="5214" width="16.7109375" style="1" hidden="1"/>
    <col min="5215" max="5215" width="16.5703125" style="1" hidden="1"/>
    <col min="5216" max="5216" width="16.28515625" style="1" hidden="1"/>
    <col min="5217" max="5217" width="14.85546875" style="1" hidden="1"/>
    <col min="5218" max="5218" width="16.140625" style="1" hidden="1"/>
    <col min="5219" max="5219" width="16" style="1" hidden="1"/>
    <col min="5220" max="5220" width="15.5703125" style="1" hidden="1"/>
    <col min="5221" max="5221" width="16.28515625" style="1" hidden="1"/>
    <col min="5222" max="5222" width="17.140625" style="1" hidden="1"/>
    <col min="5223" max="5223" width="16.28515625" style="1" hidden="1"/>
    <col min="5224" max="5224" width="15.7109375" style="1" hidden="1"/>
    <col min="5225" max="5225" width="15.42578125" style="1" hidden="1"/>
    <col min="5226" max="5328" width="9.140625" style="1" hidden="1"/>
    <col min="5329" max="5329" width="19.85546875" style="1" hidden="1"/>
    <col min="5330" max="5330" width="22" style="1" hidden="1"/>
    <col min="5331" max="5331" width="18.42578125" style="1" hidden="1"/>
    <col min="5332" max="5333" width="16.42578125" style="1" hidden="1"/>
    <col min="5334" max="5334" width="18.85546875" style="1" hidden="1"/>
    <col min="5335" max="5336" width="15.5703125" style="1" hidden="1"/>
    <col min="5337" max="5337" width="11.28515625" style="1" hidden="1"/>
    <col min="5338" max="5338" width="12.7109375" style="1" hidden="1"/>
    <col min="5339" max="5343" width="14.7109375" style="1" hidden="1"/>
    <col min="5344" max="5347" width="13.85546875" style="1" hidden="1"/>
    <col min="5348" max="5348" width="14.28515625" style="1" hidden="1"/>
    <col min="5349" max="5349" width="13.85546875" style="1" hidden="1"/>
    <col min="5350" max="5362" width="13.42578125" style="1" hidden="1"/>
    <col min="5363" max="5363" width="16.85546875" style="1" hidden="1"/>
    <col min="5364" max="5364" width="12.42578125" style="1" hidden="1"/>
    <col min="5365" max="5365" width="13.5703125" style="1" hidden="1"/>
    <col min="5366" max="5369" width="12.42578125" style="1" hidden="1"/>
    <col min="5370" max="5371" width="13.140625" style="1" hidden="1"/>
    <col min="5372" max="5406" width="14.42578125" style="1" hidden="1"/>
    <col min="5407" max="5418" width="12.42578125" style="1" hidden="1"/>
    <col min="5419" max="5419" width="17.5703125" style="1" hidden="1"/>
    <col min="5420" max="5420" width="15.140625" style="1" hidden="1"/>
    <col min="5421" max="5422" width="15.42578125" style="1" hidden="1"/>
    <col min="5423" max="5424" width="15.5703125" style="1" hidden="1"/>
    <col min="5425" max="5425" width="17" style="1" hidden="1"/>
    <col min="5426" max="5426" width="15.5703125" style="1" hidden="1"/>
    <col min="5427" max="5427" width="17.7109375" style="1" hidden="1"/>
    <col min="5428" max="5428" width="18.42578125" style="1" hidden="1"/>
    <col min="5429" max="5429" width="17.5703125" style="1" hidden="1"/>
    <col min="5430" max="5431" width="16" style="1" hidden="1"/>
    <col min="5432" max="5435" width="12.42578125" style="1" hidden="1"/>
    <col min="5436" max="5436" width="17.7109375" style="1" hidden="1"/>
    <col min="5437" max="5437" width="12.42578125" style="1" hidden="1"/>
    <col min="5438" max="5438" width="13.7109375" style="1" hidden="1"/>
    <col min="5439" max="5439" width="15.5703125" style="1" hidden="1"/>
    <col min="5440" max="5443" width="13.7109375" style="1" hidden="1"/>
    <col min="5444" max="5445" width="12.42578125" style="1" hidden="1"/>
    <col min="5446" max="5446" width="14.85546875" style="1" hidden="1"/>
    <col min="5447" max="5447" width="12.42578125" style="1" hidden="1"/>
    <col min="5448" max="5449" width="13.42578125" style="1" hidden="1"/>
    <col min="5450" max="5450" width="17" style="1" hidden="1"/>
    <col min="5451" max="5452" width="12.42578125" style="1" hidden="1"/>
    <col min="5453" max="5453" width="16.42578125" style="1" hidden="1"/>
    <col min="5454" max="5454" width="12.42578125" style="1" hidden="1"/>
    <col min="5455" max="5455" width="13.42578125" style="1" hidden="1"/>
    <col min="5456" max="5456" width="12.42578125" style="1" hidden="1"/>
    <col min="5457" max="5458" width="11.7109375" style="1" hidden="1"/>
    <col min="5459" max="5459" width="11.42578125" style="1" hidden="1"/>
    <col min="5460" max="5460" width="11.7109375" style="1" hidden="1"/>
    <col min="5461" max="5461" width="11.42578125" style="1" hidden="1"/>
    <col min="5462" max="5463" width="15.42578125" style="1" hidden="1"/>
    <col min="5464" max="5464" width="16.140625" style="1" hidden="1"/>
    <col min="5465" max="5465" width="16.5703125" style="1" hidden="1"/>
    <col min="5466" max="5466" width="16.7109375" style="1" hidden="1"/>
    <col min="5467" max="5467" width="15.42578125" style="1" hidden="1"/>
    <col min="5468" max="5468" width="14.85546875" style="1" hidden="1"/>
    <col min="5469" max="5469" width="17.140625" style="1" hidden="1"/>
    <col min="5470" max="5470" width="16.7109375" style="1" hidden="1"/>
    <col min="5471" max="5471" width="16.5703125" style="1" hidden="1"/>
    <col min="5472" max="5472" width="16.28515625" style="1" hidden="1"/>
    <col min="5473" max="5473" width="14.85546875" style="1" hidden="1"/>
    <col min="5474" max="5474" width="16.140625" style="1" hidden="1"/>
    <col min="5475" max="5475" width="16" style="1" hidden="1"/>
    <col min="5476" max="5476" width="15.5703125" style="1" hidden="1"/>
    <col min="5477" max="5477" width="16.28515625" style="1" hidden="1"/>
    <col min="5478" max="5478" width="17.140625" style="1" hidden="1"/>
    <col min="5479" max="5479" width="16.28515625" style="1" hidden="1"/>
    <col min="5480" max="5480" width="15.7109375" style="1" hidden="1"/>
    <col min="5481" max="5481" width="15.42578125" style="1" hidden="1"/>
    <col min="5482" max="5584" width="9.140625" style="1" hidden="1"/>
    <col min="5585" max="5585" width="19.85546875" style="1" hidden="1"/>
    <col min="5586" max="5586" width="22" style="1" hidden="1"/>
    <col min="5587" max="5587" width="18.42578125" style="1" hidden="1"/>
    <col min="5588" max="5589" width="16.42578125" style="1" hidden="1"/>
    <col min="5590" max="5590" width="18.85546875" style="1" hidden="1"/>
    <col min="5591" max="5592" width="15.5703125" style="1" hidden="1"/>
    <col min="5593" max="5593" width="11.28515625" style="1" hidden="1"/>
    <col min="5594" max="5594" width="12.7109375" style="1" hidden="1"/>
    <col min="5595" max="5599" width="14.7109375" style="1" hidden="1"/>
    <col min="5600" max="5603" width="13.85546875" style="1" hidden="1"/>
    <col min="5604" max="5604" width="14.28515625" style="1" hidden="1"/>
    <col min="5605" max="5605" width="13.85546875" style="1" hidden="1"/>
    <col min="5606" max="5618" width="13.42578125" style="1" hidden="1"/>
    <col min="5619" max="5619" width="16.85546875" style="1" hidden="1"/>
    <col min="5620" max="5620" width="12.42578125" style="1" hidden="1"/>
    <col min="5621" max="5621" width="13.5703125" style="1" hidden="1"/>
    <col min="5622" max="5625" width="12.42578125" style="1" hidden="1"/>
    <col min="5626" max="5627" width="13.140625" style="1" hidden="1"/>
    <col min="5628" max="5662" width="14.42578125" style="1" hidden="1"/>
    <col min="5663" max="5674" width="12.42578125" style="1" hidden="1"/>
    <col min="5675" max="5675" width="17.5703125" style="1" hidden="1"/>
    <col min="5676" max="5676" width="15.140625" style="1" hidden="1"/>
    <col min="5677" max="5678" width="15.42578125" style="1" hidden="1"/>
    <col min="5679" max="5680" width="15.5703125" style="1" hidden="1"/>
    <col min="5681" max="5681" width="17" style="1" hidden="1"/>
    <col min="5682" max="5682" width="15.5703125" style="1" hidden="1"/>
    <col min="5683" max="5683" width="17.7109375" style="1" hidden="1"/>
    <col min="5684" max="5684" width="18.42578125" style="1" hidden="1"/>
    <col min="5685" max="5685" width="17.5703125" style="1" hidden="1"/>
    <col min="5686" max="5687" width="16" style="1" hidden="1"/>
    <col min="5688" max="5691" width="12.42578125" style="1" hidden="1"/>
    <col min="5692" max="5692" width="17.7109375" style="1" hidden="1"/>
    <col min="5693" max="5693" width="12.42578125" style="1" hidden="1"/>
    <col min="5694" max="5694" width="13.7109375" style="1" hidden="1"/>
    <col min="5695" max="5695" width="15.5703125" style="1" hidden="1"/>
    <col min="5696" max="5699" width="13.7109375" style="1" hidden="1"/>
    <col min="5700" max="5701" width="12.42578125" style="1" hidden="1"/>
    <col min="5702" max="5702" width="14.85546875" style="1" hidden="1"/>
    <col min="5703" max="5703" width="12.42578125" style="1" hidden="1"/>
    <col min="5704" max="5705" width="13.42578125" style="1" hidden="1"/>
    <col min="5706" max="5706" width="17" style="1" hidden="1"/>
    <col min="5707" max="5708" width="12.42578125" style="1" hidden="1"/>
    <col min="5709" max="5709" width="16.42578125" style="1" hidden="1"/>
    <col min="5710" max="5710" width="12.42578125" style="1" hidden="1"/>
    <col min="5711" max="5711" width="13.42578125" style="1" hidden="1"/>
    <col min="5712" max="5712" width="12.42578125" style="1" hidden="1"/>
    <col min="5713" max="5714" width="11.7109375" style="1" hidden="1"/>
    <col min="5715" max="5715" width="11.42578125" style="1" hidden="1"/>
    <col min="5716" max="5716" width="11.7109375" style="1" hidden="1"/>
    <col min="5717" max="5717" width="11.42578125" style="1" hidden="1"/>
    <col min="5718" max="5719" width="15.42578125" style="1" hidden="1"/>
    <col min="5720" max="5720" width="16.140625" style="1" hidden="1"/>
    <col min="5721" max="5721" width="16.5703125" style="1" hidden="1"/>
    <col min="5722" max="5722" width="16.7109375" style="1" hidden="1"/>
    <col min="5723" max="5723" width="15.42578125" style="1" hidden="1"/>
    <col min="5724" max="5724" width="14.85546875" style="1" hidden="1"/>
    <col min="5725" max="5725" width="17.140625" style="1" hidden="1"/>
    <col min="5726" max="5726" width="16.7109375" style="1" hidden="1"/>
    <col min="5727" max="5727" width="16.5703125" style="1" hidden="1"/>
    <col min="5728" max="5728" width="16.28515625" style="1" hidden="1"/>
    <col min="5729" max="5729" width="14.85546875" style="1" hidden="1"/>
    <col min="5730" max="5730" width="16.140625" style="1" hidden="1"/>
    <col min="5731" max="5731" width="16" style="1" hidden="1"/>
    <col min="5732" max="5732" width="15.5703125" style="1" hidden="1"/>
    <col min="5733" max="5733" width="16.28515625" style="1" hidden="1"/>
    <col min="5734" max="5734" width="17.140625" style="1" hidden="1"/>
    <col min="5735" max="5735" width="16.28515625" style="1" hidden="1"/>
    <col min="5736" max="5736" width="15.7109375" style="1" hidden="1"/>
    <col min="5737" max="5737" width="15.42578125" style="1" hidden="1"/>
    <col min="5738" max="5840" width="9.140625" style="1" hidden="1"/>
    <col min="5841" max="5841" width="19.85546875" style="1" hidden="1"/>
    <col min="5842" max="5842" width="22" style="1" hidden="1"/>
    <col min="5843" max="5843" width="18.42578125" style="1" hidden="1"/>
    <col min="5844" max="5845" width="16.42578125" style="1" hidden="1"/>
    <col min="5846" max="5846" width="18.85546875" style="1" hidden="1"/>
    <col min="5847" max="5848" width="15.5703125" style="1" hidden="1"/>
    <col min="5849" max="5849" width="11.28515625" style="1" hidden="1"/>
    <col min="5850" max="5850" width="12.7109375" style="1" hidden="1"/>
    <col min="5851" max="5855" width="14.7109375" style="1" hidden="1"/>
    <col min="5856" max="5859" width="13.85546875" style="1" hidden="1"/>
    <col min="5860" max="5860" width="14.28515625" style="1" hidden="1"/>
    <col min="5861" max="5861" width="13.85546875" style="1" hidden="1"/>
    <col min="5862" max="5874" width="13.42578125" style="1" hidden="1"/>
    <col min="5875" max="5875" width="16.85546875" style="1" hidden="1"/>
    <col min="5876" max="5876" width="12.42578125" style="1" hidden="1"/>
    <col min="5877" max="5877" width="13.5703125" style="1" hidden="1"/>
    <col min="5878" max="5881" width="12.42578125" style="1" hidden="1"/>
    <col min="5882" max="5883" width="13.140625" style="1" hidden="1"/>
    <col min="5884" max="5918" width="14.42578125" style="1" hidden="1"/>
    <col min="5919" max="5930" width="12.42578125" style="1" hidden="1"/>
    <col min="5931" max="5931" width="17.5703125" style="1" hidden="1"/>
    <col min="5932" max="5932" width="15.140625" style="1" hidden="1"/>
    <col min="5933" max="5934" width="15.42578125" style="1" hidden="1"/>
    <col min="5935" max="5936" width="15.5703125" style="1" hidden="1"/>
    <col min="5937" max="5937" width="17" style="1" hidden="1"/>
    <col min="5938" max="5938" width="15.5703125" style="1" hidden="1"/>
    <col min="5939" max="5939" width="17.7109375" style="1" hidden="1"/>
    <col min="5940" max="5940" width="18.42578125" style="1" hidden="1"/>
    <col min="5941" max="5941" width="17.5703125" style="1" hidden="1"/>
    <col min="5942" max="5943" width="16" style="1" hidden="1"/>
    <col min="5944" max="5947" width="12.42578125" style="1" hidden="1"/>
    <col min="5948" max="5948" width="17.7109375" style="1" hidden="1"/>
    <col min="5949" max="5949" width="12.42578125" style="1" hidden="1"/>
    <col min="5950" max="5950" width="13.7109375" style="1" hidden="1"/>
    <col min="5951" max="5951" width="15.5703125" style="1" hidden="1"/>
    <col min="5952" max="5955" width="13.7109375" style="1" hidden="1"/>
    <col min="5956" max="5957" width="12.42578125" style="1" hidden="1"/>
    <col min="5958" max="5958" width="14.85546875" style="1" hidden="1"/>
    <col min="5959" max="5959" width="12.42578125" style="1" hidden="1"/>
    <col min="5960" max="5961" width="13.42578125" style="1" hidden="1"/>
    <col min="5962" max="5962" width="17" style="1" hidden="1"/>
    <col min="5963" max="5964" width="12.42578125" style="1" hidden="1"/>
    <col min="5965" max="5965" width="16.42578125" style="1" hidden="1"/>
    <col min="5966" max="5966" width="12.42578125" style="1" hidden="1"/>
    <col min="5967" max="5967" width="13.42578125" style="1" hidden="1"/>
    <col min="5968" max="5968" width="12.42578125" style="1" hidden="1"/>
    <col min="5969" max="5970" width="11.7109375" style="1" hidden="1"/>
    <col min="5971" max="5971" width="11.42578125" style="1" hidden="1"/>
    <col min="5972" max="5972" width="11.7109375" style="1" hidden="1"/>
    <col min="5973" max="5973" width="11.42578125" style="1" hidden="1"/>
    <col min="5974" max="5975" width="15.42578125" style="1" hidden="1"/>
    <col min="5976" max="5976" width="16.140625" style="1" hidden="1"/>
    <col min="5977" max="5977" width="16.5703125" style="1" hidden="1"/>
    <col min="5978" max="5978" width="16.7109375" style="1" hidden="1"/>
    <col min="5979" max="5979" width="15.42578125" style="1" hidden="1"/>
    <col min="5980" max="5980" width="14.85546875" style="1" hidden="1"/>
    <col min="5981" max="5981" width="17.140625" style="1" hidden="1"/>
    <col min="5982" max="5982" width="16.7109375" style="1" hidden="1"/>
    <col min="5983" max="5983" width="16.5703125" style="1" hidden="1"/>
    <col min="5984" max="5984" width="16.28515625" style="1" hidden="1"/>
    <col min="5985" max="5985" width="14.85546875" style="1" hidden="1"/>
    <col min="5986" max="5986" width="16.140625" style="1" hidden="1"/>
    <col min="5987" max="5987" width="16" style="1" hidden="1"/>
    <col min="5988" max="5988" width="15.5703125" style="1" hidden="1"/>
    <col min="5989" max="5989" width="16.28515625" style="1" hidden="1"/>
    <col min="5990" max="5990" width="17.140625" style="1" hidden="1"/>
    <col min="5991" max="5991" width="16.28515625" style="1" hidden="1"/>
    <col min="5992" max="5992" width="15.7109375" style="1" hidden="1"/>
    <col min="5993" max="5993" width="15.42578125" style="1" hidden="1"/>
    <col min="5994" max="6096" width="9.140625" style="1" hidden="1"/>
    <col min="6097" max="6097" width="19.85546875" style="1" hidden="1"/>
    <col min="6098" max="6098" width="22" style="1" hidden="1"/>
    <col min="6099" max="6099" width="18.42578125" style="1" hidden="1"/>
    <col min="6100" max="6101" width="16.42578125" style="1" hidden="1"/>
    <col min="6102" max="6102" width="18.85546875" style="1" hidden="1"/>
    <col min="6103" max="6104" width="15.5703125" style="1" hidden="1"/>
    <col min="6105" max="6105" width="11.28515625" style="1" hidden="1"/>
    <col min="6106" max="6106" width="12.7109375" style="1" hidden="1"/>
    <col min="6107" max="6111" width="14.7109375" style="1" hidden="1"/>
    <col min="6112" max="6115" width="13.85546875" style="1" hidden="1"/>
    <col min="6116" max="6116" width="14.28515625" style="1" hidden="1"/>
    <col min="6117" max="6117" width="13.85546875" style="1" hidden="1"/>
    <col min="6118" max="6130" width="13.42578125" style="1" hidden="1"/>
    <col min="6131" max="6131" width="16.85546875" style="1" hidden="1"/>
    <col min="6132" max="6132" width="12.42578125" style="1" hidden="1"/>
    <col min="6133" max="6133" width="13.5703125" style="1" hidden="1"/>
    <col min="6134" max="6137" width="12.42578125" style="1" hidden="1"/>
    <col min="6138" max="6139" width="13.140625" style="1" hidden="1"/>
    <col min="6140" max="6174" width="14.42578125" style="1" hidden="1"/>
    <col min="6175" max="6186" width="12.42578125" style="1" hidden="1"/>
    <col min="6187" max="6187" width="17.5703125" style="1" hidden="1"/>
    <col min="6188" max="6188" width="15.140625" style="1" hidden="1"/>
    <col min="6189" max="6190" width="15.42578125" style="1" hidden="1"/>
    <col min="6191" max="6192" width="15.5703125" style="1" hidden="1"/>
    <col min="6193" max="6193" width="17" style="1" hidden="1"/>
    <col min="6194" max="6194" width="15.5703125" style="1" hidden="1"/>
    <col min="6195" max="6195" width="17.7109375" style="1" hidden="1"/>
    <col min="6196" max="6196" width="18.42578125" style="1" hidden="1"/>
    <col min="6197" max="6197" width="17.5703125" style="1" hidden="1"/>
    <col min="6198" max="6199" width="16" style="1" hidden="1"/>
    <col min="6200" max="6203" width="12.42578125" style="1" hidden="1"/>
    <col min="6204" max="6204" width="17.7109375" style="1" hidden="1"/>
    <col min="6205" max="6205" width="12.42578125" style="1" hidden="1"/>
    <col min="6206" max="6206" width="13.7109375" style="1" hidden="1"/>
    <col min="6207" max="6207" width="15.5703125" style="1" hidden="1"/>
    <col min="6208" max="6211" width="13.7109375" style="1" hidden="1"/>
    <col min="6212" max="6213" width="12.42578125" style="1" hidden="1"/>
    <col min="6214" max="6214" width="14.85546875" style="1" hidden="1"/>
    <col min="6215" max="6215" width="12.42578125" style="1" hidden="1"/>
    <col min="6216" max="6217" width="13.42578125" style="1" hidden="1"/>
    <col min="6218" max="6218" width="17" style="1" hidden="1"/>
    <col min="6219" max="6220" width="12.42578125" style="1" hidden="1"/>
    <col min="6221" max="6221" width="16.42578125" style="1" hidden="1"/>
    <col min="6222" max="6222" width="12.42578125" style="1" hidden="1"/>
    <col min="6223" max="6223" width="13.42578125" style="1" hidden="1"/>
    <col min="6224" max="6224" width="12.42578125" style="1" hidden="1"/>
    <col min="6225" max="6226" width="11.7109375" style="1" hidden="1"/>
    <col min="6227" max="6227" width="11.42578125" style="1" hidden="1"/>
    <col min="6228" max="6228" width="11.7109375" style="1" hidden="1"/>
    <col min="6229" max="6229" width="11.42578125" style="1" hidden="1"/>
    <col min="6230" max="6231" width="15.42578125" style="1" hidden="1"/>
    <col min="6232" max="6232" width="16.140625" style="1" hidden="1"/>
    <col min="6233" max="6233" width="16.5703125" style="1" hidden="1"/>
    <col min="6234" max="6234" width="16.7109375" style="1" hidden="1"/>
    <col min="6235" max="6235" width="15.42578125" style="1" hidden="1"/>
    <col min="6236" max="6236" width="14.85546875" style="1" hidden="1"/>
    <col min="6237" max="6237" width="17.140625" style="1" hidden="1"/>
    <col min="6238" max="6238" width="16.7109375" style="1" hidden="1"/>
    <col min="6239" max="6239" width="16.5703125" style="1" hidden="1"/>
    <col min="6240" max="6240" width="16.28515625" style="1" hidden="1"/>
    <col min="6241" max="6241" width="14.85546875" style="1" hidden="1"/>
    <col min="6242" max="6242" width="16.140625" style="1" hidden="1"/>
    <col min="6243" max="6243" width="16" style="1" hidden="1"/>
    <col min="6244" max="6244" width="15.5703125" style="1" hidden="1"/>
    <col min="6245" max="6245" width="16.28515625" style="1" hidden="1"/>
    <col min="6246" max="6246" width="17.140625" style="1" hidden="1"/>
    <col min="6247" max="6247" width="16.28515625" style="1" hidden="1"/>
    <col min="6248" max="6248" width="15.7109375" style="1" hidden="1"/>
    <col min="6249" max="6249" width="15.42578125" style="1" hidden="1"/>
    <col min="6250" max="6352" width="9.140625" style="1" hidden="1"/>
    <col min="6353" max="6353" width="19.85546875" style="1" hidden="1"/>
    <col min="6354" max="6354" width="22" style="1" hidden="1"/>
    <col min="6355" max="6355" width="18.42578125" style="1" hidden="1"/>
    <col min="6356" max="6357" width="16.42578125" style="1" hidden="1"/>
    <col min="6358" max="6358" width="18.85546875" style="1" hidden="1"/>
    <col min="6359" max="6360" width="15.5703125" style="1" hidden="1"/>
    <col min="6361" max="6361" width="11.28515625" style="1" hidden="1"/>
    <col min="6362" max="6362" width="12.7109375" style="1" hidden="1"/>
    <col min="6363" max="6367" width="14.7109375" style="1" hidden="1"/>
    <col min="6368" max="6371" width="13.85546875" style="1" hidden="1"/>
    <col min="6372" max="6372" width="14.28515625" style="1" hidden="1"/>
    <col min="6373" max="6373" width="13.85546875" style="1" hidden="1"/>
    <col min="6374" max="6386" width="13.42578125" style="1" hidden="1"/>
    <col min="6387" max="6387" width="16.85546875" style="1" hidden="1"/>
    <col min="6388" max="6388" width="12.42578125" style="1" hidden="1"/>
    <col min="6389" max="6389" width="13.5703125" style="1" hidden="1"/>
    <col min="6390" max="6393" width="12.42578125" style="1" hidden="1"/>
    <col min="6394" max="6395" width="13.140625" style="1" hidden="1"/>
    <col min="6396" max="6430" width="14.42578125" style="1" hidden="1"/>
    <col min="6431" max="6442" width="12.42578125" style="1" hidden="1"/>
    <col min="6443" max="6443" width="17.5703125" style="1" hidden="1"/>
    <col min="6444" max="6444" width="15.140625" style="1" hidden="1"/>
    <col min="6445" max="6446" width="15.42578125" style="1" hidden="1"/>
    <col min="6447" max="6448" width="15.5703125" style="1" hidden="1"/>
    <col min="6449" max="6449" width="17" style="1" hidden="1"/>
    <col min="6450" max="6450" width="15.5703125" style="1" hidden="1"/>
    <col min="6451" max="6451" width="17.7109375" style="1" hidden="1"/>
    <col min="6452" max="6452" width="18.42578125" style="1" hidden="1"/>
    <col min="6453" max="6453" width="17.5703125" style="1" hidden="1"/>
    <col min="6454" max="6455" width="16" style="1" hidden="1"/>
    <col min="6456" max="6459" width="12.42578125" style="1" hidden="1"/>
    <col min="6460" max="6460" width="17.7109375" style="1" hidden="1"/>
    <col min="6461" max="6461" width="12.42578125" style="1" hidden="1"/>
    <col min="6462" max="6462" width="13.7109375" style="1" hidden="1"/>
    <col min="6463" max="6463" width="15.5703125" style="1" hidden="1"/>
    <col min="6464" max="6467" width="13.7109375" style="1" hidden="1"/>
    <col min="6468" max="6469" width="12.42578125" style="1" hidden="1"/>
    <col min="6470" max="6470" width="14.85546875" style="1" hidden="1"/>
    <col min="6471" max="6471" width="12.42578125" style="1" hidden="1"/>
    <col min="6472" max="6473" width="13.42578125" style="1" hidden="1"/>
    <col min="6474" max="6474" width="17" style="1" hidden="1"/>
    <col min="6475" max="6476" width="12.42578125" style="1" hidden="1"/>
    <col min="6477" max="6477" width="16.42578125" style="1" hidden="1"/>
    <col min="6478" max="6478" width="12.42578125" style="1" hidden="1"/>
    <col min="6479" max="6479" width="13.42578125" style="1" hidden="1"/>
    <col min="6480" max="6480" width="12.42578125" style="1" hidden="1"/>
    <col min="6481" max="6482" width="11.7109375" style="1" hidden="1"/>
    <col min="6483" max="6483" width="11.42578125" style="1" hidden="1"/>
    <col min="6484" max="6484" width="11.7109375" style="1" hidden="1"/>
    <col min="6485" max="6485" width="11.42578125" style="1" hidden="1"/>
    <col min="6486" max="6487" width="15.42578125" style="1" hidden="1"/>
    <col min="6488" max="6488" width="16.140625" style="1" hidden="1"/>
    <col min="6489" max="6489" width="16.5703125" style="1" hidden="1"/>
    <col min="6490" max="6490" width="16.7109375" style="1" hidden="1"/>
    <col min="6491" max="6491" width="15.42578125" style="1" hidden="1"/>
    <col min="6492" max="6492" width="14.85546875" style="1" hidden="1"/>
    <col min="6493" max="6493" width="17.140625" style="1" hidden="1"/>
    <col min="6494" max="6494" width="16.7109375" style="1" hidden="1"/>
    <col min="6495" max="6495" width="16.5703125" style="1" hidden="1"/>
    <col min="6496" max="6496" width="16.28515625" style="1" hidden="1"/>
    <col min="6497" max="6497" width="14.85546875" style="1" hidden="1"/>
    <col min="6498" max="6498" width="16.140625" style="1" hidden="1"/>
    <col min="6499" max="6499" width="16" style="1" hidden="1"/>
    <col min="6500" max="6500" width="15.5703125" style="1" hidden="1"/>
    <col min="6501" max="6501" width="16.28515625" style="1" hidden="1"/>
    <col min="6502" max="6502" width="17.140625" style="1" hidden="1"/>
    <col min="6503" max="6503" width="16.28515625" style="1" hidden="1"/>
    <col min="6504" max="6504" width="15.7109375" style="1" hidden="1"/>
    <col min="6505" max="6505" width="15.42578125" style="1" hidden="1"/>
    <col min="6506" max="6608" width="9.140625" style="1" hidden="1"/>
    <col min="6609" max="6609" width="19.85546875" style="1" hidden="1"/>
    <col min="6610" max="6610" width="22" style="1" hidden="1"/>
    <col min="6611" max="6611" width="18.42578125" style="1" hidden="1"/>
    <col min="6612" max="6613" width="16.42578125" style="1" hidden="1"/>
    <col min="6614" max="6614" width="18.85546875" style="1" hidden="1"/>
    <col min="6615" max="6616" width="15.5703125" style="1" hidden="1"/>
    <col min="6617" max="6617" width="11.28515625" style="1" hidden="1"/>
    <col min="6618" max="6618" width="12.7109375" style="1" hidden="1"/>
    <col min="6619" max="6623" width="14.7109375" style="1" hidden="1"/>
    <col min="6624" max="6627" width="13.85546875" style="1" hidden="1"/>
    <col min="6628" max="6628" width="14.28515625" style="1" hidden="1"/>
    <col min="6629" max="6629" width="13.85546875" style="1" hidden="1"/>
    <col min="6630" max="6642" width="13.42578125" style="1" hidden="1"/>
    <col min="6643" max="6643" width="16.85546875" style="1" hidden="1"/>
    <col min="6644" max="6644" width="12.42578125" style="1" hidden="1"/>
    <col min="6645" max="6645" width="13.5703125" style="1" hidden="1"/>
    <col min="6646" max="6649" width="12.42578125" style="1" hidden="1"/>
    <col min="6650" max="6651" width="13.140625" style="1" hidden="1"/>
    <col min="6652" max="6686" width="14.42578125" style="1" hidden="1"/>
    <col min="6687" max="6698" width="12.42578125" style="1" hidden="1"/>
    <col min="6699" max="6699" width="17.5703125" style="1" hidden="1"/>
    <col min="6700" max="6700" width="15.140625" style="1" hidden="1"/>
    <col min="6701" max="6702" width="15.42578125" style="1" hidden="1"/>
    <col min="6703" max="6704" width="15.5703125" style="1" hidden="1"/>
    <col min="6705" max="6705" width="17" style="1" hidden="1"/>
    <col min="6706" max="6706" width="15.5703125" style="1" hidden="1"/>
    <col min="6707" max="6707" width="17.7109375" style="1" hidden="1"/>
    <col min="6708" max="6708" width="18.42578125" style="1" hidden="1"/>
    <col min="6709" max="6709" width="17.5703125" style="1" hidden="1"/>
    <col min="6710" max="6711" width="16" style="1" hidden="1"/>
    <col min="6712" max="6715" width="12.42578125" style="1" hidden="1"/>
    <col min="6716" max="6716" width="17.7109375" style="1" hidden="1"/>
    <col min="6717" max="6717" width="12.42578125" style="1" hidden="1"/>
    <col min="6718" max="6718" width="13.7109375" style="1" hidden="1"/>
    <col min="6719" max="6719" width="15.5703125" style="1" hidden="1"/>
    <col min="6720" max="6723" width="13.7109375" style="1" hidden="1"/>
    <col min="6724" max="6725" width="12.42578125" style="1" hidden="1"/>
    <col min="6726" max="6726" width="14.85546875" style="1" hidden="1"/>
    <col min="6727" max="6727" width="12.42578125" style="1" hidden="1"/>
    <col min="6728" max="6729" width="13.42578125" style="1" hidden="1"/>
    <col min="6730" max="6730" width="17" style="1" hidden="1"/>
    <col min="6731" max="6732" width="12.42578125" style="1" hidden="1"/>
    <col min="6733" max="6733" width="16.42578125" style="1" hidden="1"/>
    <col min="6734" max="6734" width="12.42578125" style="1" hidden="1"/>
    <col min="6735" max="6735" width="13.42578125" style="1" hidden="1"/>
    <col min="6736" max="6736" width="12.42578125" style="1" hidden="1"/>
    <col min="6737" max="6738" width="11.7109375" style="1" hidden="1"/>
    <col min="6739" max="6739" width="11.42578125" style="1" hidden="1"/>
    <col min="6740" max="6740" width="11.7109375" style="1" hidden="1"/>
    <col min="6741" max="6741" width="11.42578125" style="1" hidden="1"/>
    <col min="6742" max="6743" width="15.42578125" style="1" hidden="1"/>
    <col min="6744" max="6744" width="16.140625" style="1" hidden="1"/>
    <col min="6745" max="6745" width="16.5703125" style="1" hidden="1"/>
    <col min="6746" max="6746" width="16.7109375" style="1" hidden="1"/>
    <col min="6747" max="6747" width="15.42578125" style="1" hidden="1"/>
    <col min="6748" max="6748" width="14.85546875" style="1" hidden="1"/>
    <col min="6749" max="6749" width="17.140625" style="1" hidden="1"/>
    <col min="6750" max="6750" width="16.7109375" style="1" hidden="1"/>
    <col min="6751" max="6751" width="16.5703125" style="1" hidden="1"/>
    <col min="6752" max="6752" width="16.28515625" style="1" hidden="1"/>
    <col min="6753" max="6753" width="14.85546875" style="1" hidden="1"/>
    <col min="6754" max="6754" width="16.140625" style="1" hidden="1"/>
    <col min="6755" max="6755" width="16" style="1" hidden="1"/>
    <col min="6756" max="6756" width="15.5703125" style="1" hidden="1"/>
    <col min="6757" max="6757" width="16.28515625" style="1" hidden="1"/>
    <col min="6758" max="6758" width="17.140625" style="1" hidden="1"/>
    <col min="6759" max="6759" width="16.28515625" style="1" hidden="1"/>
    <col min="6760" max="6760" width="15.7109375" style="1" hidden="1"/>
    <col min="6761" max="6761" width="15.42578125" style="1" hidden="1"/>
    <col min="6762" max="6864" width="9.140625" style="1" hidden="1"/>
    <col min="6865" max="6865" width="19.85546875" style="1" hidden="1"/>
    <col min="6866" max="6866" width="22" style="1" hidden="1"/>
    <col min="6867" max="6867" width="18.42578125" style="1" hidden="1"/>
    <col min="6868" max="6869" width="16.42578125" style="1" hidden="1"/>
    <col min="6870" max="6870" width="18.85546875" style="1" hidden="1"/>
    <col min="6871" max="6872" width="15.5703125" style="1" hidden="1"/>
    <col min="6873" max="6873" width="11.28515625" style="1" hidden="1"/>
    <col min="6874" max="6874" width="12.7109375" style="1" hidden="1"/>
    <col min="6875" max="6879" width="14.7109375" style="1" hidden="1"/>
    <col min="6880" max="6883" width="13.85546875" style="1" hidden="1"/>
    <col min="6884" max="6884" width="14.28515625" style="1" hidden="1"/>
    <col min="6885" max="6885" width="13.85546875" style="1" hidden="1"/>
    <col min="6886" max="6898" width="13.42578125" style="1" hidden="1"/>
    <col min="6899" max="6899" width="16.85546875" style="1" hidden="1"/>
    <col min="6900" max="6900" width="12.42578125" style="1" hidden="1"/>
    <col min="6901" max="6901" width="13.5703125" style="1" hidden="1"/>
    <col min="6902" max="6905" width="12.42578125" style="1" hidden="1"/>
    <col min="6906" max="6907" width="13.140625" style="1" hidden="1"/>
    <col min="6908" max="6942" width="14.42578125" style="1" hidden="1"/>
    <col min="6943" max="6954" width="12.42578125" style="1" hidden="1"/>
    <col min="6955" max="6955" width="17.5703125" style="1" hidden="1"/>
    <col min="6956" max="6956" width="15.140625" style="1" hidden="1"/>
    <col min="6957" max="6958" width="15.42578125" style="1" hidden="1"/>
    <col min="6959" max="6960" width="15.5703125" style="1" hidden="1"/>
    <col min="6961" max="6961" width="17" style="1" hidden="1"/>
    <col min="6962" max="6962" width="15.5703125" style="1" hidden="1"/>
    <col min="6963" max="6963" width="17.7109375" style="1" hidden="1"/>
    <col min="6964" max="6964" width="18.42578125" style="1" hidden="1"/>
    <col min="6965" max="6965" width="17.5703125" style="1" hidden="1"/>
    <col min="6966" max="6967" width="16" style="1" hidden="1"/>
    <col min="6968" max="6971" width="12.42578125" style="1" hidden="1"/>
    <col min="6972" max="6972" width="17.7109375" style="1" hidden="1"/>
    <col min="6973" max="6973" width="12.42578125" style="1" hidden="1"/>
    <col min="6974" max="6974" width="13.7109375" style="1" hidden="1"/>
    <col min="6975" max="6975" width="15.5703125" style="1" hidden="1"/>
    <col min="6976" max="6979" width="13.7109375" style="1" hidden="1"/>
    <col min="6980" max="6981" width="12.42578125" style="1" hidden="1"/>
    <col min="6982" max="6982" width="14.85546875" style="1" hidden="1"/>
    <col min="6983" max="6983" width="12.42578125" style="1" hidden="1"/>
    <col min="6984" max="6985" width="13.42578125" style="1" hidden="1"/>
    <col min="6986" max="6986" width="17" style="1" hidden="1"/>
    <col min="6987" max="6988" width="12.42578125" style="1" hidden="1"/>
    <col min="6989" max="6989" width="16.42578125" style="1" hidden="1"/>
    <col min="6990" max="6990" width="12.42578125" style="1" hidden="1"/>
    <col min="6991" max="6991" width="13.42578125" style="1" hidden="1"/>
    <col min="6992" max="6992" width="12.42578125" style="1" hidden="1"/>
    <col min="6993" max="6994" width="11.7109375" style="1" hidden="1"/>
    <col min="6995" max="6995" width="11.42578125" style="1" hidden="1"/>
    <col min="6996" max="6996" width="11.7109375" style="1" hidden="1"/>
    <col min="6997" max="6997" width="11.42578125" style="1" hidden="1"/>
    <col min="6998" max="6999" width="15.42578125" style="1" hidden="1"/>
    <col min="7000" max="7000" width="16.140625" style="1" hidden="1"/>
    <col min="7001" max="7001" width="16.5703125" style="1" hidden="1"/>
    <col min="7002" max="7002" width="16.7109375" style="1" hidden="1"/>
    <col min="7003" max="7003" width="15.42578125" style="1" hidden="1"/>
    <col min="7004" max="7004" width="14.85546875" style="1" hidden="1"/>
    <col min="7005" max="7005" width="17.140625" style="1" hidden="1"/>
    <col min="7006" max="7006" width="16.7109375" style="1" hidden="1"/>
    <col min="7007" max="7007" width="16.5703125" style="1" hidden="1"/>
    <col min="7008" max="7008" width="16.28515625" style="1" hidden="1"/>
    <col min="7009" max="7009" width="14.85546875" style="1" hidden="1"/>
    <col min="7010" max="7010" width="16.140625" style="1" hidden="1"/>
    <col min="7011" max="7011" width="16" style="1" hidden="1"/>
    <col min="7012" max="7012" width="15.5703125" style="1" hidden="1"/>
    <col min="7013" max="7013" width="16.28515625" style="1" hidden="1"/>
    <col min="7014" max="7014" width="17.140625" style="1" hidden="1"/>
    <col min="7015" max="7015" width="16.28515625" style="1" hidden="1"/>
    <col min="7016" max="7016" width="15.7109375" style="1" hidden="1"/>
    <col min="7017" max="7017" width="15.42578125" style="1" hidden="1"/>
    <col min="7018" max="7120" width="9.140625" style="1" hidden="1"/>
    <col min="7121" max="7121" width="19.85546875" style="1" hidden="1"/>
    <col min="7122" max="7122" width="22" style="1" hidden="1"/>
    <col min="7123" max="7123" width="18.42578125" style="1" hidden="1"/>
    <col min="7124" max="7125" width="16.42578125" style="1" hidden="1"/>
    <col min="7126" max="7126" width="18.85546875" style="1" hidden="1"/>
    <col min="7127" max="7128" width="15.5703125" style="1" hidden="1"/>
    <col min="7129" max="7129" width="11.28515625" style="1" hidden="1"/>
    <col min="7130" max="7130" width="12.7109375" style="1" hidden="1"/>
    <col min="7131" max="7135" width="14.7109375" style="1" hidden="1"/>
    <col min="7136" max="7139" width="13.85546875" style="1" hidden="1"/>
    <col min="7140" max="7140" width="14.28515625" style="1" hidden="1"/>
    <col min="7141" max="7141" width="13.85546875" style="1" hidden="1"/>
    <col min="7142" max="7154" width="13.42578125" style="1" hidden="1"/>
    <col min="7155" max="7155" width="16.85546875" style="1" hidden="1"/>
    <col min="7156" max="7156" width="12.42578125" style="1" hidden="1"/>
    <col min="7157" max="7157" width="13.5703125" style="1" hidden="1"/>
    <col min="7158" max="7161" width="12.42578125" style="1" hidden="1"/>
    <col min="7162" max="7163" width="13.140625" style="1" hidden="1"/>
    <col min="7164" max="7198" width="14.42578125" style="1" hidden="1"/>
    <col min="7199" max="7210" width="12.42578125" style="1" hidden="1"/>
    <col min="7211" max="7211" width="17.5703125" style="1" hidden="1"/>
    <col min="7212" max="7212" width="15.140625" style="1" hidden="1"/>
    <col min="7213" max="7214" width="15.42578125" style="1" hidden="1"/>
    <col min="7215" max="7216" width="15.5703125" style="1" hidden="1"/>
    <col min="7217" max="7217" width="17" style="1" hidden="1"/>
    <col min="7218" max="7218" width="15.5703125" style="1" hidden="1"/>
    <col min="7219" max="7219" width="17.7109375" style="1" hidden="1"/>
    <col min="7220" max="7220" width="18.42578125" style="1" hidden="1"/>
    <col min="7221" max="7221" width="17.5703125" style="1" hidden="1"/>
    <col min="7222" max="7223" width="16" style="1" hidden="1"/>
    <col min="7224" max="7227" width="12.42578125" style="1" hidden="1"/>
    <col min="7228" max="7228" width="17.7109375" style="1" hidden="1"/>
    <col min="7229" max="7229" width="12.42578125" style="1" hidden="1"/>
    <col min="7230" max="7230" width="13.7109375" style="1" hidden="1"/>
    <col min="7231" max="7231" width="15.5703125" style="1" hidden="1"/>
    <col min="7232" max="7235" width="13.7109375" style="1" hidden="1"/>
    <col min="7236" max="7237" width="12.42578125" style="1" hidden="1"/>
    <col min="7238" max="7238" width="14.85546875" style="1" hidden="1"/>
    <col min="7239" max="7239" width="12.42578125" style="1" hidden="1"/>
    <col min="7240" max="7241" width="13.42578125" style="1" hidden="1"/>
    <col min="7242" max="7242" width="17" style="1" hidden="1"/>
    <col min="7243" max="7244" width="12.42578125" style="1" hidden="1"/>
    <col min="7245" max="7245" width="16.42578125" style="1" hidden="1"/>
    <col min="7246" max="7246" width="12.42578125" style="1" hidden="1"/>
    <col min="7247" max="7247" width="13.42578125" style="1" hidden="1"/>
    <col min="7248" max="7248" width="12.42578125" style="1" hidden="1"/>
    <col min="7249" max="7250" width="11.7109375" style="1" hidden="1"/>
    <col min="7251" max="7251" width="11.42578125" style="1" hidden="1"/>
    <col min="7252" max="7252" width="11.7109375" style="1" hidden="1"/>
    <col min="7253" max="7253" width="11.42578125" style="1" hidden="1"/>
    <col min="7254" max="7255" width="15.42578125" style="1" hidden="1"/>
    <col min="7256" max="7256" width="16.140625" style="1" hidden="1"/>
    <col min="7257" max="7257" width="16.5703125" style="1" hidden="1"/>
    <col min="7258" max="7258" width="16.7109375" style="1" hidden="1"/>
    <col min="7259" max="7259" width="15.42578125" style="1" hidden="1"/>
    <col min="7260" max="7260" width="14.85546875" style="1" hidden="1"/>
    <col min="7261" max="7261" width="17.140625" style="1" hidden="1"/>
    <col min="7262" max="7262" width="16.7109375" style="1" hidden="1"/>
    <col min="7263" max="7263" width="16.5703125" style="1" hidden="1"/>
    <col min="7264" max="7264" width="16.28515625" style="1" hidden="1"/>
    <col min="7265" max="7265" width="14.85546875" style="1" hidden="1"/>
    <col min="7266" max="7266" width="16.140625" style="1" hidden="1"/>
    <col min="7267" max="7267" width="16" style="1" hidden="1"/>
    <col min="7268" max="7268" width="15.5703125" style="1" hidden="1"/>
    <col min="7269" max="7269" width="16.28515625" style="1" hidden="1"/>
    <col min="7270" max="7270" width="17.140625" style="1" hidden="1"/>
    <col min="7271" max="7271" width="16.28515625" style="1" hidden="1"/>
    <col min="7272" max="7272" width="15.7109375" style="1" hidden="1"/>
    <col min="7273" max="7273" width="15.42578125" style="1" hidden="1"/>
    <col min="7274" max="7376" width="9.140625" style="1" hidden="1"/>
    <col min="7377" max="7377" width="19.85546875" style="1" hidden="1"/>
    <col min="7378" max="7378" width="22" style="1" hidden="1"/>
    <col min="7379" max="7379" width="18.42578125" style="1" hidden="1"/>
    <col min="7380" max="7381" width="16.42578125" style="1" hidden="1"/>
    <col min="7382" max="7382" width="18.85546875" style="1" hidden="1"/>
    <col min="7383" max="7384" width="15.5703125" style="1" hidden="1"/>
    <col min="7385" max="7385" width="11.28515625" style="1" hidden="1"/>
    <col min="7386" max="7386" width="12.7109375" style="1" hidden="1"/>
    <col min="7387" max="7391" width="14.7109375" style="1" hidden="1"/>
    <col min="7392" max="7395" width="13.85546875" style="1" hidden="1"/>
    <col min="7396" max="7396" width="14.28515625" style="1" hidden="1"/>
    <col min="7397" max="7397" width="13.85546875" style="1" hidden="1"/>
    <col min="7398" max="7410" width="13.42578125" style="1" hidden="1"/>
    <col min="7411" max="7411" width="16.85546875" style="1" hidden="1"/>
    <col min="7412" max="7412" width="12.42578125" style="1" hidden="1"/>
    <col min="7413" max="7413" width="13.5703125" style="1" hidden="1"/>
    <col min="7414" max="7417" width="12.42578125" style="1" hidden="1"/>
    <col min="7418" max="7419" width="13.140625" style="1" hidden="1"/>
    <col min="7420" max="7454" width="14.42578125" style="1" hidden="1"/>
    <col min="7455" max="7466" width="12.42578125" style="1" hidden="1"/>
    <col min="7467" max="7467" width="17.5703125" style="1" hidden="1"/>
    <col min="7468" max="7468" width="15.140625" style="1" hidden="1"/>
    <col min="7469" max="7470" width="15.42578125" style="1" hidden="1"/>
    <col min="7471" max="7472" width="15.5703125" style="1" hidden="1"/>
    <col min="7473" max="7473" width="17" style="1" hidden="1"/>
    <col min="7474" max="7474" width="15.5703125" style="1" hidden="1"/>
    <col min="7475" max="7475" width="17.7109375" style="1" hidden="1"/>
    <col min="7476" max="7476" width="18.42578125" style="1" hidden="1"/>
    <col min="7477" max="7477" width="17.5703125" style="1" hidden="1"/>
    <col min="7478" max="7479" width="16" style="1" hidden="1"/>
    <col min="7480" max="7483" width="12.42578125" style="1" hidden="1"/>
    <col min="7484" max="7484" width="17.7109375" style="1" hidden="1"/>
    <col min="7485" max="7485" width="12.42578125" style="1" hidden="1"/>
    <col min="7486" max="7486" width="13.7109375" style="1" hidden="1"/>
    <col min="7487" max="7487" width="15.5703125" style="1" hidden="1"/>
    <col min="7488" max="7491" width="13.7109375" style="1" hidden="1"/>
    <col min="7492" max="7493" width="12.42578125" style="1" hidden="1"/>
    <col min="7494" max="7494" width="14.85546875" style="1" hidden="1"/>
    <col min="7495" max="7495" width="12.42578125" style="1" hidden="1"/>
    <col min="7496" max="7497" width="13.42578125" style="1" hidden="1"/>
    <col min="7498" max="7498" width="17" style="1" hidden="1"/>
    <col min="7499" max="7500" width="12.42578125" style="1" hidden="1"/>
    <col min="7501" max="7501" width="16.42578125" style="1" hidden="1"/>
    <col min="7502" max="7502" width="12.42578125" style="1" hidden="1"/>
    <col min="7503" max="7503" width="13.42578125" style="1" hidden="1"/>
    <col min="7504" max="7504" width="12.42578125" style="1" hidden="1"/>
    <col min="7505" max="7506" width="11.7109375" style="1" hidden="1"/>
    <col min="7507" max="7507" width="11.42578125" style="1" hidden="1"/>
    <col min="7508" max="7508" width="11.7109375" style="1" hidden="1"/>
    <col min="7509" max="7509" width="11.42578125" style="1" hidden="1"/>
    <col min="7510" max="7511" width="15.42578125" style="1" hidden="1"/>
    <col min="7512" max="7512" width="16.140625" style="1" hidden="1"/>
    <col min="7513" max="7513" width="16.5703125" style="1" hidden="1"/>
    <col min="7514" max="7514" width="16.7109375" style="1" hidden="1"/>
    <col min="7515" max="7515" width="15.42578125" style="1" hidden="1"/>
    <col min="7516" max="7516" width="14.85546875" style="1" hidden="1"/>
    <col min="7517" max="7517" width="17.140625" style="1" hidden="1"/>
    <col min="7518" max="7518" width="16.7109375" style="1" hidden="1"/>
    <col min="7519" max="7519" width="16.5703125" style="1" hidden="1"/>
    <col min="7520" max="7520" width="16.28515625" style="1" hidden="1"/>
    <col min="7521" max="7521" width="14.85546875" style="1" hidden="1"/>
    <col min="7522" max="7522" width="16.140625" style="1" hidden="1"/>
    <col min="7523" max="7523" width="16" style="1" hidden="1"/>
    <col min="7524" max="7524" width="15.5703125" style="1" hidden="1"/>
    <col min="7525" max="7525" width="16.28515625" style="1" hidden="1"/>
    <col min="7526" max="7526" width="17.140625" style="1" hidden="1"/>
    <col min="7527" max="7527" width="16.28515625" style="1" hidden="1"/>
    <col min="7528" max="7528" width="15.7109375" style="1" hidden="1"/>
    <col min="7529" max="7529" width="15.42578125" style="1" hidden="1"/>
    <col min="7530" max="7632" width="9.140625" style="1" hidden="1"/>
    <col min="7633" max="7633" width="19.85546875" style="1" hidden="1"/>
    <col min="7634" max="7634" width="22" style="1" hidden="1"/>
    <col min="7635" max="7635" width="18.42578125" style="1" hidden="1"/>
    <col min="7636" max="7637" width="16.42578125" style="1" hidden="1"/>
    <col min="7638" max="7638" width="18.85546875" style="1" hidden="1"/>
    <col min="7639" max="7640" width="15.5703125" style="1" hidden="1"/>
    <col min="7641" max="7641" width="11.28515625" style="1" hidden="1"/>
    <col min="7642" max="7642" width="12.7109375" style="1" hidden="1"/>
    <col min="7643" max="7647" width="14.7109375" style="1" hidden="1"/>
    <col min="7648" max="7651" width="13.85546875" style="1" hidden="1"/>
    <col min="7652" max="7652" width="14.28515625" style="1" hidden="1"/>
    <col min="7653" max="7653" width="13.85546875" style="1" hidden="1"/>
    <col min="7654" max="7666" width="13.42578125" style="1" hidden="1"/>
    <col min="7667" max="7667" width="16.85546875" style="1" hidden="1"/>
    <col min="7668" max="7668" width="12.42578125" style="1" hidden="1"/>
    <col min="7669" max="7669" width="13.5703125" style="1" hidden="1"/>
    <col min="7670" max="7673" width="12.42578125" style="1" hidden="1"/>
    <col min="7674" max="7675" width="13.140625" style="1" hidden="1"/>
    <col min="7676" max="7710" width="14.42578125" style="1" hidden="1"/>
    <col min="7711" max="7722" width="12.42578125" style="1" hidden="1"/>
    <col min="7723" max="7723" width="17.5703125" style="1" hidden="1"/>
    <col min="7724" max="7724" width="15.140625" style="1" hidden="1"/>
    <col min="7725" max="7726" width="15.42578125" style="1" hidden="1"/>
    <col min="7727" max="7728" width="15.5703125" style="1" hidden="1"/>
    <col min="7729" max="7729" width="17" style="1" hidden="1"/>
    <col min="7730" max="7730" width="15.5703125" style="1" hidden="1"/>
    <col min="7731" max="7731" width="17.7109375" style="1" hidden="1"/>
    <col min="7732" max="7732" width="18.42578125" style="1" hidden="1"/>
    <col min="7733" max="7733" width="17.5703125" style="1" hidden="1"/>
    <col min="7734" max="7735" width="16" style="1" hidden="1"/>
    <col min="7736" max="7739" width="12.42578125" style="1" hidden="1"/>
    <col min="7740" max="7740" width="17.7109375" style="1" hidden="1"/>
    <col min="7741" max="7741" width="12.42578125" style="1" hidden="1"/>
    <col min="7742" max="7742" width="13.7109375" style="1" hidden="1"/>
    <col min="7743" max="7743" width="15.5703125" style="1" hidden="1"/>
    <col min="7744" max="7747" width="13.7109375" style="1" hidden="1"/>
    <col min="7748" max="7749" width="12.42578125" style="1" hidden="1"/>
    <col min="7750" max="7750" width="14.85546875" style="1" hidden="1"/>
    <col min="7751" max="7751" width="12.42578125" style="1" hidden="1"/>
    <col min="7752" max="7753" width="13.42578125" style="1" hidden="1"/>
    <col min="7754" max="7754" width="17" style="1" hidden="1"/>
    <col min="7755" max="7756" width="12.42578125" style="1" hidden="1"/>
    <col min="7757" max="7757" width="16.42578125" style="1" hidden="1"/>
    <col min="7758" max="7758" width="12.42578125" style="1" hidden="1"/>
    <col min="7759" max="7759" width="13.42578125" style="1" hidden="1"/>
    <col min="7760" max="7760" width="12.42578125" style="1" hidden="1"/>
    <col min="7761" max="7762" width="11.7109375" style="1" hidden="1"/>
    <col min="7763" max="7763" width="11.42578125" style="1" hidden="1"/>
    <col min="7764" max="7764" width="11.7109375" style="1" hidden="1"/>
    <col min="7765" max="7765" width="11.42578125" style="1" hidden="1"/>
    <col min="7766" max="7767" width="15.42578125" style="1" hidden="1"/>
    <col min="7768" max="7768" width="16.140625" style="1" hidden="1"/>
    <col min="7769" max="7769" width="16.5703125" style="1" hidden="1"/>
    <col min="7770" max="7770" width="16.7109375" style="1" hidden="1"/>
    <col min="7771" max="7771" width="15.42578125" style="1" hidden="1"/>
    <col min="7772" max="7772" width="14.85546875" style="1" hidden="1"/>
    <col min="7773" max="7773" width="17.140625" style="1" hidden="1"/>
    <col min="7774" max="7774" width="16.7109375" style="1" hidden="1"/>
    <col min="7775" max="7775" width="16.5703125" style="1" hidden="1"/>
    <col min="7776" max="7776" width="16.28515625" style="1" hidden="1"/>
    <col min="7777" max="7777" width="14.85546875" style="1" hidden="1"/>
    <col min="7778" max="7778" width="16.140625" style="1" hidden="1"/>
    <col min="7779" max="7779" width="16" style="1" hidden="1"/>
    <col min="7780" max="7780" width="15.5703125" style="1" hidden="1"/>
    <col min="7781" max="7781" width="16.28515625" style="1" hidden="1"/>
    <col min="7782" max="7782" width="17.140625" style="1" hidden="1"/>
    <col min="7783" max="7783" width="16.28515625" style="1" hidden="1"/>
    <col min="7784" max="7784" width="15.7109375" style="1" hidden="1"/>
    <col min="7785" max="7785" width="15.42578125" style="1" hidden="1"/>
    <col min="7786" max="7888" width="9.140625" style="1" hidden="1"/>
    <col min="7889" max="7889" width="19.85546875" style="1" hidden="1"/>
    <col min="7890" max="7890" width="22" style="1" hidden="1"/>
    <col min="7891" max="7891" width="18.42578125" style="1" hidden="1"/>
    <col min="7892" max="7893" width="16.42578125" style="1" hidden="1"/>
    <col min="7894" max="7894" width="18.85546875" style="1" hidden="1"/>
    <col min="7895" max="7896" width="15.5703125" style="1" hidden="1"/>
    <col min="7897" max="7897" width="11.28515625" style="1" hidden="1"/>
    <col min="7898" max="7898" width="12.7109375" style="1" hidden="1"/>
    <col min="7899" max="7903" width="14.7109375" style="1" hidden="1"/>
    <col min="7904" max="7907" width="13.85546875" style="1" hidden="1"/>
    <col min="7908" max="7908" width="14.28515625" style="1" hidden="1"/>
    <col min="7909" max="7909" width="13.85546875" style="1" hidden="1"/>
    <col min="7910" max="7922" width="13.42578125" style="1" hidden="1"/>
    <col min="7923" max="7923" width="16.85546875" style="1" hidden="1"/>
    <col min="7924" max="7924" width="12.42578125" style="1" hidden="1"/>
    <col min="7925" max="7925" width="13.5703125" style="1" hidden="1"/>
    <col min="7926" max="7929" width="12.42578125" style="1" hidden="1"/>
    <col min="7930" max="7931" width="13.140625" style="1" hidden="1"/>
    <col min="7932" max="7966" width="14.42578125" style="1" hidden="1"/>
    <col min="7967" max="7978" width="12.42578125" style="1" hidden="1"/>
    <col min="7979" max="7979" width="17.5703125" style="1" hidden="1"/>
    <col min="7980" max="7980" width="15.140625" style="1" hidden="1"/>
    <col min="7981" max="7982" width="15.42578125" style="1" hidden="1"/>
    <col min="7983" max="7984" width="15.5703125" style="1" hidden="1"/>
    <col min="7985" max="7985" width="17" style="1" hidden="1"/>
    <col min="7986" max="7986" width="15.5703125" style="1" hidden="1"/>
    <col min="7987" max="7987" width="17.7109375" style="1" hidden="1"/>
    <col min="7988" max="7988" width="18.42578125" style="1" hidden="1"/>
    <col min="7989" max="7989" width="17.5703125" style="1" hidden="1"/>
    <col min="7990" max="7991" width="16" style="1" hidden="1"/>
    <col min="7992" max="7995" width="12.42578125" style="1" hidden="1"/>
    <col min="7996" max="7996" width="17.7109375" style="1" hidden="1"/>
    <col min="7997" max="7997" width="12.42578125" style="1" hidden="1"/>
    <col min="7998" max="7998" width="13.7109375" style="1" hidden="1"/>
    <col min="7999" max="7999" width="15.5703125" style="1" hidden="1"/>
    <col min="8000" max="8003" width="13.7109375" style="1" hidden="1"/>
    <col min="8004" max="8005" width="12.42578125" style="1" hidden="1"/>
    <col min="8006" max="8006" width="14.85546875" style="1" hidden="1"/>
    <col min="8007" max="8007" width="12.42578125" style="1" hidden="1"/>
    <col min="8008" max="8009" width="13.42578125" style="1" hidden="1"/>
    <col min="8010" max="8010" width="17" style="1" hidden="1"/>
    <col min="8011" max="8012" width="12.42578125" style="1" hidden="1"/>
    <col min="8013" max="8013" width="16.42578125" style="1" hidden="1"/>
    <col min="8014" max="8014" width="12.42578125" style="1" hidden="1"/>
    <col min="8015" max="8015" width="13.42578125" style="1" hidden="1"/>
    <col min="8016" max="8016" width="12.42578125" style="1" hidden="1"/>
    <col min="8017" max="8018" width="11.7109375" style="1" hidden="1"/>
    <col min="8019" max="8019" width="11.42578125" style="1" hidden="1"/>
    <col min="8020" max="8020" width="11.7109375" style="1" hidden="1"/>
    <col min="8021" max="8021" width="11.42578125" style="1" hidden="1"/>
    <col min="8022" max="8023" width="15.42578125" style="1" hidden="1"/>
    <col min="8024" max="8024" width="16.140625" style="1" hidden="1"/>
    <col min="8025" max="8025" width="16.5703125" style="1" hidden="1"/>
    <col min="8026" max="8026" width="16.7109375" style="1" hidden="1"/>
    <col min="8027" max="8027" width="15.42578125" style="1" hidden="1"/>
    <col min="8028" max="8028" width="14.85546875" style="1" hidden="1"/>
    <col min="8029" max="8029" width="17.140625" style="1" hidden="1"/>
    <col min="8030" max="8030" width="16.7109375" style="1" hidden="1"/>
    <col min="8031" max="8031" width="16.5703125" style="1" hidden="1"/>
    <col min="8032" max="8032" width="16.28515625" style="1" hidden="1"/>
    <col min="8033" max="8033" width="14.85546875" style="1" hidden="1"/>
    <col min="8034" max="8034" width="16.140625" style="1" hidden="1"/>
    <col min="8035" max="8035" width="16" style="1" hidden="1"/>
    <col min="8036" max="8036" width="15.5703125" style="1" hidden="1"/>
    <col min="8037" max="8037" width="16.28515625" style="1" hidden="1"/>
    <col min="8038" max="8038" width="17.140625" style="1" hidden="1"/>
    <col min="8039" max="8039" width="16.28515625" style="1" hidden="1"/>
    <col min="8040" max="8040" width="15.7109375" style="1" hidden="1"/>
    <col min="8041" max="8041" width="15.42578125" style="1" hidden="1"/>
    <col min="8042" max="8144" width="9.140625" style="1" hidden="1"/>
    <col min="8145" max="8145" width="19.85546875" style="1" hidden="1"/>
    <col min="8146" max="8146" width="22" style="1" hidden="1"/>
    <col min="8147" max="8147" width="18.42578125" style="1" hidden="1"/>
    <col min="8148" max="8149" width="16.42578125" style="1" hidden="1"/>
    <col min="8150" max="8150" width="18.85546875" style="1" hidden="1"/>
    <col min="8151" max="8152" width="15.5703125" style="1" hidden="1"/>
    <col min="8153" max="8153" width="11.28515625" style="1" hidden="1"/>
    <col min="8154" max="8154" width="12.7109375" style="1" hidden="1"/>
    <col min="8155" max="8159" width="14.7109375" style="1" hidden="1"/>
    <col min="8160" max="8163" width="13.85546875" style="1" hidden="1"/>
    <col min="8164" max="8164" width="14.28515625" style="1" hidden="1"/>
    <col min="8165" max="8165" width="13.85546875" style="1" hidden="1"/>
    <col min="8166" max="8178" width="13.42578125" style="1" hidden="1"/>
    <col min="8179" max="8179" width="16.85546875" style="1" hidden="1"/>
    <col min="8180" max="8180" width="12.42578125" style="1" hidden="1"/>
    <col min="8181" max="8181" width="13.5703125" style="1" hidden="1"/>
    <col min="8182" max="8185" width="12.42578125" style="1" hidden="1"/>
    <col min="8186" max="8187" width="13.140625" style="1" hidden="1"/>
    <col min="8188" max="8222" width="14.42578125" style="1" hidden="1"/>
    <col min="8223" max="8234" width="12.42578125" style="1" hidden="1"/>
    <col min="8235" max="8235" width="17.5703125" style="1" hidden="1"/>
    <col min="8236" max="8236" width="15.140625" style="1" hidden="1"/>
    <col min="8237" max="8238" width="15.42578125" style="1" hidden="1"/>
    <col min="8239" max="8240" width="15.5703125" style="1" hidden="1"/>
    <col min="8241" max="8241" width="17" style="1" hidden="1"/>
    <col min="8242" max="8242" width="15.5703125" style="1" hidden="1"/>
    <col min="8243" max="8243" width="17.7109375" style="1" hidden="1"/>
    <col min="8244" max="8244" width="18.42578125" style="1" hidden="1"/>
    <col min="8245" max="8245" width="17.5703125" style="1" hidden="1"/>
    <col min="8246" max="8247" width="16" style="1" hidden="1"/>
    <col min="8248" max="8251" width="12.42578125" style="1" hidden="1"/>
    <col min="8252" max="8252" width="17.7109375" style="1" hidden="1"/>
    <col min="8253" max="8253" width="12.42578125" style="1" hidden="1"/>
    <col min="8254" max="8254" width="13.7109375" style="1" hidden="1"/>
    <col min="8255" max="8255" width="15.5703125" style="1" hidden="1"/>
    <col min="8256" max="8259" width="13.7109375" style="1" hidden="1"/>
    <col min="8260" max="8261" width="12.42578125" style="1" hidden="1"/>
    <col min="8262" max="8262" width="14.85546875" style="1" hidden="1"/>
    <col min="8263" max="8263" width="12.42578125" style="1" hidden="1"/>
    <col min="8264" max="8265" width="13.42578125" style="1" hidden="1"/>
    <col min="8266" max="8266" width="17" style="1" hidden="1"/>
    <col min="8267" max="8268" width="12.42578125" style="1" hidden="1"/>
    <col min="8269" max="8269" width="16.42578125" style="1" hidden="1"/>
    <col min="8270" max="8270" width="12.42578125" style="1" hidden="1"/>
    <col min="8271" max="8271" width="13.42578125" style="1" hidden="1"/>
    <col min="8272" max="8272" width="12.42578125" style="1" hidden="1"/>
    <col min="8273" max="8274" width="11.7109375" style="1" hidden="1"/>
    <col min="8275" max="8275" width="11.42578125" style="1" hidden="1"/>
    <col min="8276" max="8276" width="11.7109375" style="1" hidden="1"/>
    <col min="8277" max="8277" width="11.42578125" style="1" hidden="1"/>
    <col min="8278" max="8279" width="15.42578125" style="1" hidden="1"/>
    <col min="8280" max="8280" width="16.140625" style="1" hidden="1"/>
    <col min="8281" max="8281" width="16.5703125" style="1" hidden="1"/>
    <col min="8282" max="8282" width="16.7109375" style="1" hidden="1"/>
    <col min="8283" max="8283" width="15.42578125" style="1" hidden="1"/>
    <col min="8284" max="8284" width="14.85546875" style="1" hidden="1"/>
    <col min="8285" max="8285" width="17.140625" style="1" hidden="1"/>
    <col min="8286" max="8286" width="16.7109375" style="1" hidden="1"/>
    <col min="8287" max="8287" width="16.5703125" style="1" hidden="1"/>
    <col min="8288" max="8288" width="16.28515625" style="1" hidden="1"/>
    <col min="8289" max="8289" width="14.85546875" style="1" hidden="1"/>
    <col min="8290" max="8290" width="16.140625" style="1" hidden="1"/>
    <col min="8291" max="8291" width="16" style="1" hidden="1"/>
    <col min="8292" max="8292" width="15.5703125" style="1" hidden="1"/>
    <col min="8293" max="8293" width="16.28515625" style="1" hidden="1"/>
    <col min="8294" max="8294" width="17.140625" style="1" hidden="1"/>
    <col min="8295" max="8295" width="16.28515625" style="1" hidden="1"/>
    <col min="8296" max="8296" width="15.7109375" style="1" hidden="1"/>
    <col min="8297" max="8297" width="15.42578125" style="1" hidden="1"/>
    <col min="8298" max="8400" width="9.140625" style="1" hidden="1"/>
    <col min="8401" max="8401" width="19.85546875" style="1" hidden="1"/>
    <col min="8402" max="8402" width="22" style="1" hidden="1"/>
    <col min="8403" max="8403" width="18.42578125" style="1" hidden="1"/>
    <col min="8404" max="8405" width="16.42578125" style="1" hidden="1"/>
    <col min="8406" max="8406" width="18.85546875" style="1" hidden="1"/>
    <col min="8407" max="8408" width="15.5703125" style="1" hidden="1"/>
    <col min="8409" max="8409" width="11.28515625" style="1" hidden="1"/>
    <col min="8410" max="8410" width="12.7109375" style="1" hidden="1"/>
    <col min="8411" max="8415" width="14.7109375" style="1" hidden="1"/>
    <col min="8416" max="8419" width="13.85546875" style="1" hidden="1"/>
    <col min="8420" max="8420" width="14.28515625" style="1" hidden="1"/>
    <col min="8421" max="8421" width="13.85546875" style="1" hidden="1"/>
    <col min="8422" max="8434" width="13.42578125" style="1" hidden="1"/>
    <col min="8435" max="8435" width="16.85546875" style="1" hidden="1"/>
    <col min="8436" max="8436" width="12.42578125" style="1" hidden="1"/>
    <col min="8437" max="8437" width="13.5703125" style="1" hidden="1"/>
    <col min="8438" max="8441" width="12.42578125" style="1" hidden="1"/>
    <col min="8442" max="8443" width="13.140625" style="1" hidden="1"/>
    <col min="8444" max="8478" width="14.42578125" style="1" hidden="1"/>
    <col min="8479" max="8490" width="12.42578125" style="1" hidden="1"/>
    <col min="8491" max="8491" width="17.5703125" style="1" hidden="1"/>
    <col min="8492" max="8492" width="15.140625" style="1" hidden="1"/>
    <col min="8493" max="8494" width="15.42578125" style="1" hidden="1"/>
    <col min="8495" max="8496" width="15.5703125" style="1" hidden="1"/>
    <col min="8497" max="8497" width="17" style="1" hidden="1"/>
    <col min="8498" max="8498" width="15.5703125" style="1" hidden="1"/>
    <col min="8499" max="8499" width="17.7109375" style="1" hidden="1"/>
    <col min="8500" max="8500" width="18.42578125" style="1" hidden="1"/>
    <col min="8501" max="8501" width="17.5703125" style="1" hidden="1"/>
    <col min="8502" max="8503" width="16" style="1" hidden="1"/>
    <col min="8504" max="8507" width="12.42578125" style="1" hidden="1"/>
    <col min="8508" max="8508" width="17.7109375" style="1" hidden="1"/>
    <col min="8509" max="8509" width="12.42578125" style="1" hidden="1"/>
    <col min="8510" max="8510" width="13.7109375" style="1" hidden="1"/>
    <col min="8511" max="8511" width="15.5703125" style="1" hidden="1"/>
    <col min="8512" max="8515" width="13.7109375" style="1" hidden="1"/>
    <col min="8516" max="8517" width="12.42578125" style="1" hidden="1"/>
    <col min="8518" max="8518" width="14.85546875" style="1" hidden="1"/>
    <col min="8519" max="8519" width="12.42578125" style="1" hidden="1"/>
    <col min="8520" max="8521" width="13.42578125" style="1" hidden="1"/>
    <col min="8522" max="8522" width="17" style="1" hidden="1"/>
    <col min="8523" max="8524" width="12.42578125" style="1" hidden="1"/>
    <col min="8525" max="8525" width="16.42578125" style="1" hidden="1"/>
    <col min="8526" max="8526" width="12.42578125" style="1" hidden="1"/>
    <col min="8527" max="8527" width="13.42578125" style="1" hidden="1"/>
    <col min="8528" max="8528" width="12.42578125" style="1" hidden="1"/>
    <col min="8529" max="8530" width="11.7109375" style="1" hidden="1"/>
    <col min="8531" max="8531" width="11.42578125" style="1" hidden="1"/>
    <col min="8532" max="8532" width="11.7109375" style="1" hidden="1"/>
    <col min="8533" max="8533" width="11.42578125" style="1" hidden="1"/>
    <col min="8534" max="8535" width="15.42578125" style="1" hidden="1"/>
    <col min="8536" max="8536" width="16.140625" style="1" hidden="1"/>
    <col min="8537" max="8537" width="16.5703125" style="1" hidden="1"/>
    <col min="8538" max="8538" width="16.7109375" style="1" hidden="1"/>
    <col min="8539" max="8539" width="15.42578125" style="1" hidden="1"/>
    <col min="8540" max="8540" width="14.85546875" style="1" hidden="1"/>
    <col min="8541" max="8541" width="17.140625" style="1" hidden="1"/>
    <col min="8542" max="8542" width="16.7109375" style="1" hidden="1"/>
    <col min="8543" max="8543" width="16.5703125" style="1" hidden="1"/>
    <col min="8544" max="8544" width="16.28515625" style="1" hidden="1"/>
    <col min="8545" max="8545" width="14.85546875" style="1" hidden="1"/>
    <col min="8546" max="8546" width="16.140625" style="1" hidden="1"/>
    <col min="8547" max="8547" width="16" style="1" hidden="1"/>
    <col min="8548" max="8548" width="15.5703125" style="1" hidden="1"/>
    <col min="8549" max="8549" width="16.28515625" style="1" hidden="1"/>
    <col min="8550" max="8550" width="17.140625" style="1" hidden="1"/>
    <col min="8551" max="8551" width="16.28515625" style="1" hidden="1"/>
    <col min="8552" max="8552" width="15.7109375" style="1" hidden="1"/>
    <col min="8553" max="8553" width="15.42578125" style="1" hidden="1"/>
    <col min="8554" max="8656" width="9.140625" style="1" hidden="1"/>
    <col min="8657" max="8657" width="19.85546875" style="1" hidden="1"/>
    <col min="8658" max="8658" width="22" style="1" hidden="1"/>
    <col min="8659" max="8659" width="18.42578125" style="1" hidden="1"/>
    <col min="8660" max="8661" width="16.42578125" style="1" hidden="1"/>
    <col min="8662" max="8662" width="18.85546875" style="1" hidden="1"/>
    <col min="8663" max="8664" width="15.5703125" style="1" hidden="1"/>
    <col min="8665" max="8665" width="11.28515625" style="1" hidden="1"/>
    <col min="8666" max="8666" width="12.7109375" style="1" hidden="1"/>
    <col min="8667" max="8671" width="14.7109375" style="1" hidden="1"/>
    <col min="8672" max="8675" width="13.85546875" style="1" hidden="1"/>
    <col min="8676" max="8676" width="14.28515625" style="1" hidden="1"/>
    <col min="8677" max="8677" width="13.85546875" style="1" hidden="1"/>
    <col min="8678" max="8690" width="13.42578125" style="1" hidden="1"/>
    <col min="8691" max="8691" width="16.85546875" style="1" hidden="1"/>
    <col min="8692" max="8692" width="12.42578125" style="1" hidden="1"/>
    <col min="8693" max="8693" width="13.5703125" style="1" hidden="1"/>
    <col min="8694" max="8697" width="12.42578125" style="1" hidden="1"/>
    <col min="8698" max="8699" width="13.140625" style="1" hidden="1"/>
    <col min="8700" max="8734" width="14.42578125" style="1" hidden="1"/>
    <col min="8735" max="8746" width="12.42578125" style="1" hidden="1"/>
    <col min="8747" max="8747" width="17.5703125" style="1" hidden="1"/>
    <col min="8748" max="8748" width="15.140625" style="1" hidden="1"/>
    <col min="8749" max="8750" width="15.42578125" style="1" hidden="1"/>
    <col min="8751" max="8752" width="15.5703125" style="1" hidden="1"/>
    <col min="8753" max="8753" width="17" style="1" hidden="1"/>
    <col min="8754" max="8754" width="15.5703125" style="1" hidden="1"/>
    <col min="8755" max="8755" width="17.7109375" style="1" hidden="1"/>
    <col min="8756" max="8756" width="18.42578125" style="1" hidden="1"/>
    <col min="8757" max="8757" width="17.5703125" style="1" hidden="1"/>
    <col min="8758" max="8759" width="16" style="1" hidden="1"/>
    <col min="8760" max="8763" width="12.42578125" style="1" hidden="1"/>
    <col min="8764" max="8764" width="17.7109375" style="1" hidden="1"/>
    <col min="8765" max="8765" width="12.42578125" style="1" hidden="1"/>
    <col min="8766" max="8766" width="13.7109375" style="1" hidden="1"/>
    <col min="8767" max="8767" width="15.5703125" style="1" hidden="1"/>
    <col min="8768" max="8771" width="13.7109375" style="1" hidden="1"/>
    <col min="8772" max="8773" width="12.42578125" style="1" hidden="1"/>
    <col min="8774" max="8774" width="14.85546875" style="1" hidden="1"/>
    <col min="8775" max="8775" width="12.42578125" style="1" hidden="1"/>
    <col min="8776" max="8777" width="13.42578125" style="1" hidden="1"/>
    <col min="8778" max="8778" width="17" style="1" hidden="1"/>
    <col min="8779" max="8780" width="12.42578125" style="1" hidden="1"/>
    <col min="8781" max="8781" width="16.42578125" style="1" hidden="1"/>
    <col min="8782" max="8782" width="12.42578125" style="1" hidden="1"/>
    <col min="8783" max="8783" width="13.42578125" style="1" hidden="1"/>
    <col min="8784" max="8784" width="12.42578125" style="1" hidden="1"/>
    <col min="8785" max="8786" width="11.7109375" style="1" hidden="1"/>
    <col min="8787" max="8787" width="11.42578125" style="1" hidden="1"/>
    <col min="8788" max="8788" width="11.7109375" style="1" hidden="1"/>
    <col min="8789" max="8789" width="11.42578125" style="1" hidden="1"/>
    <col min="8790" max="8791" width="15.42578125" style="1" hidden="1"/>
    <col min="8792" max="8792" width="16.140625" style="1" hidden="1"/>
    <col min="8793" max="8793" width="16.5703125" style="1" hidden="1"/>
    <col min="8794" max="8794" width="16.7109375" style="1" hidden="1"/>
    <col min="8795" max="8795" width="15.42578125" style="1" hidden="1"/>
    <col min="8796" max="8796" width="14.85546875" style="1" hidden="1"/>
    <col min="8797" max="8797" width="17.140625" style="1" hidden="1"/>
    <col min="8798" max="8798" width="16.7109375" style="1" hidden="1"/>
    <col min="8799" max="8799" width="16.5703125" style="1" hidden="1"/>
    <col min="8800" max="8800" width="16.28515625" style="1" hidden="1"/>
    <col min="8801" max="8801" width="14.85546875" style="1" hidden="1"/>
    <col min="8802" max="8802" width="16.140625" style="1" hidden="1"/>
    <col min="8803" max="8803" width="16" style="1" hidden="1"/>
    <col min="8804" max="8804" width="15.5703125" style="1" hidden="1"/>
    <col min="8805" max="8805" width="16.28515625" style="1" hidden="1"/>
    <col min="8806" max="8806" width="17.140625" style="1" hidden="1"/>
    <col min="8807" max="8807" width="16.28515625" style="1" hidden="1"/>
    <col min="8808" max="8808" width="15.7109375" style="1" hidden="1"/>
    <col min="8809" max="8809" width="15.42578125" style="1" hidden="1"/>
    <col min="8810" max="8912" width="9.140625" style="1" hidden="1"/>
    <col min="8913" max="8913" width="19.85546875" style="1" hidden="1"/>
    <col min="8914" max="8914" width="22" style="1" hidden="1"/>
    <col min="8915" max="8915" width="18.42578125" style="1" hidden="1"/>
    <col min="8916" max="8917" width="16.42578125" style="1" hidden="1"/>
    <col min="8918" max="8918" width="18.85546875" style="1" hidden="1"/>
    <col min="8919" max="8920" width="15.5703125" style="1" hidden="1"/>
    <col min="8921" max="8921" width="11.28515625" style="1" hidden="1"/>
    <col min="8922" max="8922" width="12.7109375" style="1" hidden="1"/>
    <col min="8923" max="8927" width="14.7109375" style="1" hidden="1"/>
    <col min="8928" max="8931" width="13.85546875" style="1" hidden="1"/>
    <col min="8932" max="8932" width="14.28515625" style="1" hidden="1"/>
    <col min="8933" max="8933" width="13.85546875" style="1" hidden="1"/>
    <col min="8934" max="8946" width="13.42578125" style="1" hidden="1"/>
    <col min="8947" max="8947" width="16.85546875" style="1" hidden="1"/>
    <col min="8948" max="8948" width="12.42578125" style="1" hidden="1"/>
    <col min="8949" max="8949" width="13.5703125" style="1" hidden="1"/>
    <col min="8950" max="8953" width="12.42578125" style="1" hidden="1"/>
    <col min="8954" max="8955" width="13.140625" style="1" hidden="1"/>
    <col min="8956" max="8990" width="14.42578125" style="1" hidden="1"/>
    <col min="8991" max="9002" width="12.42578125" style="1" hidden="1"/>
    <col min="9003" max="9003" width="17.5703125" style="1" hidden="1"/>
    <col min="9004" max="9004" width="15.140625" style="1" hidden="1"/>
    <col min="9005" max="9006" width="15.42578125" style="1" hidden="1"/>
    <col min="9007" max="9008" width="15.5703125" style="1" hidden="1"/>
    <col min="9009" max="9009" width="17" style="1" hidden="1"/>
    <col min="9010" max="9010" width="15.5703125" style="1" hidden="1"/>
    <col min="9011" max="9011" width="17.7109375" style="1" hidden="1"/>
    <col min="9012" max="9012" width="18.42578125" style="1" hidden="1"/>
    <col min="9013" max="9013" width="17.5703125" style="1" hidden="1"/>
    <col min="9014" max="9015" width="16" style="1" hidden="1"/>
    <col min="9016" max="9019" width="12.42578125" style="1" hidden="1"/>
    <col min="9020" max="9020" width="17.7109375" style="1" hidden="1"/>
    <col min="9021" max="9021" width="12.42578125" style="1" hidden="1"/>
    <col min="9022" max="9022" width="13.7109375" style="1" hidden="1"/>
    <col min="9023" max="9023" width="15.5703125" style="1" hidden="1"/>
    <col min="9024" max="9027" width="13.7109375" style="1" hidden="1"/>
    <col min="9028" max="9029" width="12.42578125" style="1" hidden="1"/>
    <col min="9030" max="9030" width="14.85546875" style="1" hidden="1"/>
    <col min="9031" max="9031" width="12.42578125" style="1" hidden="1"/>
    <col min="9032" max="9033" width="13.42578125" style="1" hidden="1"/>
    <col min="9034" max="9034" width="17" style="1" hidden="1"/>
    <col min="9035" max="9036" width="12.42578125" style="1" hidden="1"/>
    <col min="9037" max="9037" width="16.42578125" style="1" hidden="1"/>
    <col min="9038" max="9038" width="12.42578125" style="1" hidden="1"/>
    <col min="9039" max="9039" width="13.42578125" style="1" hidden="1"/>
    <col min="9040" max="9040" width="12.42578125" style="1" hidden="1"/>
    <col min="9041" max="9042" width="11.7109375" style="1" hidden="1"/>
    <col min="9043" max="9043" width="11.42578125" style="1" hidden="1"/>
    <col min="9044" max="9044" width="11.7109375" style="1" hidden="1"/>
    <col min="9045" max="9045" width="11.42578125" style="1" hidden="1"/>
    <col min="9046" max="9047" width="15.42578125" style="1" hidden="1"/>
    <col min="9048" max="9048" width="16.140625" style="1" hidden="1"/>
    <col min="9049" max="9049" width="16.5703125" style="1" hidden="1"/>
    <col min="9050" max="9050" width="16.7109375" style="1" hidden="1"/>
    <col min="9051" max="9051" width="15.42578125" style="1" hidden="1"/>
    <col min="9052" max="9052" width="14.85546875" style="1" hidden="1"/>
    <col min="9053" max="9053" width="17.140625" style="1" hidden="1"/>
    <col min="9054" max="9054" width="16.7109375" style="1" hidden="1"/>
    <col min="9055" max="9055" width="16.5703125" style="1" hidden="1"/>
    <col min="9056" max="9056" width="16.28515625" style="1" hidden="1"/>
    <col min="9057" max="9057" width="14.85546875" style="1" hidden="1"/>
    <col min="9058" max="9058" width="16.140625" style="1" hidden="1"/>
    <col min="9059" max="9059" width="16" style="1" hidden="1"/>
    <col min="9060" max="9060" width="15.5703125" style="1" hidden="1"/>
    <col min="9061" max="9061" width="16.28515625" style="1" hidden="1"/>
    <col min="9062" max="9062" width="17.140625" style="1" hidden="1"/>
    <col min="9063" max="9063" width="16.28515625" style="1" hidden="1"/>
    <col min="9064" max="9064" width="15.7109375" style="1" hidden="1"/>
    <col min="9065" max="9065" width="15.42578125" style="1" hidden="1"/>
    <col min="9066" max="9168" width="9.140625" style="1" hidden="1"/>
    <col min="9169" max="9169" width="19.85546875" style="1" hidden="1"/>
    <col min="9170" max="9170" width="22" style="1" hidden="1"/>
    <col min="9171" max="9171" width="18.42578125" style="1" hidden="1"/>
    <col min="9172" max="9173" width="16.42578125" style="1" hidden="1"/>
    <col min="9174" max="9174" width="18.85546875" style="1" hidden="1"/>
    <col min="9175" max="9176" width="15.5703125" style="1" hidden="1"/>
    <col min="9177" max="9177" width="11.28515625" style="1" hidden="1"/>
    <col min="9178" max="9178" width="12.7109375" style="1" hidden="1"/>
    <col min="9179" max="9183" width="14.7109375" style="1" hidden="1"/>
    <col min="9184" max="9187" width="13.85546875" style="1" hidden="1"/>
    <col min="9188" max="9188" width="14.28515625" style="1" hidden="1"/>
    <col min="9189" max="9189" width="13.85546875" style="1" hidden="1"/>
    <col min="9190" max="9202" width="13.42578125" style="1" hidden="1"/>
    <col min="9203" max="9203" width="16.85546875" style="1" hidden="1"/>
    <col min="9204" max="9204" width="12.42578125" style="1" hidden="1"/>
    <col min="9205" max="9205" width="13.5703125" style="1" hidden="1"/>
    <col min="9206" max="9209" width="12.42578125" style="1" hidden="1"/>
    <col min="9210" max="9211" width="13.140625" style="1" hidden="1"/>
    <col min="9212" max="9246" width="14.42578125" style="1" hidden="1"/>
    <col min="9247" max="9258" width="12.42578125" style="1" hidden="1"/>
    <col min="9259" max="9259" width="17.5703125" style="1" hidden="1"/>
    <col min="9260" max="9260" width="15.140625" style="1" hidden="1"/>
    <col min="9261" max="9262" width="15.42578125" style="1" hidden="1"/>
    <col min="9263" max="9264" width="15.5703125" style="1" hidden="1"/>
    <col min="9265" max="9265" width="17" style="1" hidden="1"/>
    <col min="9266" max="9266" width="15.5703125" style="1" hidden="1"/>
    <col min="9267" max="9267" width="17.7109375" style="1" hidden="1"/>
    <col min="9268" max="9268" width="18.42578125" style="1" hidden="1"/>
    <col min="9269" max="9269" width="17.5703125" style="1" hidden="1"/>
    <col min="9270" max="9271" width="16" style="1" hidden="1"/>
    <col min="9272" max="9275" width="12.42578125" style="1" hidden="1"/>
    <col min="9276" max="9276" width="17.7109375" style="1" hidden="1"/>
    <col min="9277" max="9277" width="12.42578125" style="1" hidden="1"/>
    <col min="9278" max="9278" width="13.7109375" style="1" hidden="1"/>
    <col min="9279" max="9279" width="15.5703125" style="1" hidden="1"/>
    <col min="9280" max="9283" width="13.7109375" style="1" hidden="1"/>
    <col min="9284" max="9285" width="12.42578125" style="1" hidden="1"/>
    <col min="9286" max="9286" width="14.85546875" style="1" hidden="1"/>
    <col min="9287" max="9287" width="12.42578125" style="1" hidden="1"/>
    <col min="9288" max="9289" width="13.42578125" style="1" hidden="1"/>
    <col min="9290" max="9290" width="17" style="1" hidden="1"/>
    <col min="9291" max="9292" width="12.42578125" style="1" hidden="1"/>
    <col min="9293" max="9293" width="16.42578125" style="1" hidden="1"/>
    <col min="9294" max="9294" width="12.42578125" style="1" hidden="1"/>
    <col min="9295" max="9295" width="13.42578125" style="1" hidden="1"/>
    <col min="9296" max="9296" width="12.42578125" style="1" hidden="1"/>
    <col min="9297" max="9298" width="11.7109375" style="1" hidden="1"/>
    <col min="9299" max="9299" width="11.42578125" style="1" hidden="1"/>
    <col min="9300" max="9300" width="11.7109375" style="1" hidden="1"/>
    <col min="9301" max="9301" width="11.42578125" style="1" hidden="1"/>
    <col min="9302" max="9303" width="15.42578125" style="1" hidden="1"/>
    <col min="9304" max="9304" width="16.140625" style="1" hidden="1"/>
    <col min="9305" max="9305" width="16.5703125" style="1" hidden="1"/>
    <col min="9306" max="9306" width="16.7109375" style="1" hidden="1"/>
    <col min="9307" max="9307" width="15.42578125" style="1" hidden="1"/>
    <col min="9308" max="9308" width="14.85546875" style="1" hidden="1"/>
    <col min="9309" max="9309" width="17.140625" style="1" hidden="1"/>
    <col min="9310" max="9310" width="16.7109375" style="1" hidden="1"/>
    <col min="9311" max="9311" width="16.5703125" style="1" hidden="1"/>
    <col min="9312" max="9312" width="16.28515625" style="1" hidden="1"/>
    <col min="9313" max="9313" width="14.85546875" style="1" hidden="1"/>
    <col min="9314" max="9314" width="16.140625" style="1" hidden="1"/>
    <col min="9315" max="9315" width="16" style="1" hidden="1"/>
    <col min="9316" max="9316" width="15.5703125" style="1" hidden="1"/>
    <col min="9317" max="9317" width="16.28515625" style="1" hidden="1"/>
    <col min="9318" max="9318" width="17.140625" style="1" hidden="1"/>
    <col min="9319" max="9319" width="16.28515625" style="1" hidden="1"/>
    <col min="9320" max="9320" width="15.7109375" style="1" hidden="1"/>
    <col min="9321" max="9321" width="15.42578125" style="1" hidden="1"/>
    <col min="9322" max="9424" width="9.140625" style="1" hidden="1"/>
    <col min="9425" max="9425" width="19.85546875" style="1" hidden="1"/>
    <col min="9426" max="9426" width="22" style="1" hidden="1"/>
    <col min="9427" max="9427" width="18.42578125" style="1" hidden="1"/>
    <col min="9428" max="9429" width="16.42578125" style="1" hidden="1"/>
    <col min="9430" max="9430" width="18.85546875" style="1" hidden="1"/>
    <col min="9431" max="9432" width="15.5703125" style="1" hidden="1"/>
    <col min="9433" max="9433" width="11.28515625" style="1" hidden="1"/>
    <col min="9434" max="9434" width="12.7109375" style="1" hidden="1"/>
    <col min="9435" max="9439" width="14.7109375" style="1" hidden="1"/>
    <col min="9440" max="9443" width="13.85546875" style="1" hidden="1"/>
    <col min="9444" max="9444" width="14.28515625" style="1" hidden="1"/>
    <col min="9445" max="9445" width="13.85546875" style="1" hidden="1"/>
    <col min="9446" max="9458" width="13.42578125" style="1" hidden="1"/>
    <col min="9459" max="9459" width="16.85546875" style="1" hidden="1"/>
    <col min="9460" max="9460" width="12.42578125" style="1" hidden="1"/>
    <col min="9461" max="9461" width="13.5703125" style="1" hidden="1"/>
    <col min="9462" max="9465" width="12.42578125" style="1" hidden="1"/>
    <col min="9466" max="9467" width="13.140625" style="1" hidden="1"/>
    <col min="9468" max="9502" width="14.42578125" style="1" hidden="1"/>
    <col min="9503" max="9514" width="12.42578125" style="1" hidden="1"/>
    <col min="9515" max="9515" width="17.5703125" style="1" hidden="1"/>
    <col min="9516" max="9516" width="15.140625" style="1" hidden="1"/>
    <col min="9517" max="9518" width="15.42578125" style="1" hidden="1"/>
    <col min="9519" max="9520" width="15.5703125" style="1" hidden="1"/>
    <col min="9521" max="9521" width="17" style="1" hidden="1"/>
    <col min="9522" max="9522" width="15.5703125" style="1" hidden="1"/>
    <col min="9523" max="9523" width="17.7109375" style="1" hidden="1"/>
    <col min="9524" max="9524" width="18.42578125" style="1" hidden="1"/>
    <col min="9525" max="9525" width="17.5703125" style="1" hidden="1"/>
    <col min="9526" max="9527" width="16" style="1" hidden="1"/>
    <col min="9528" max="9531" width="12.42578125" style="1" hidden="1"/>
    <col min="9532" max="9532" width="17.7109375" style="1" hidden="1"/>
    <col min="9533" max="9533" width="12.42578125" style="1" hidden="1"/>
    <col min="9534" max="9534" width="13.7109375" style="1" hidden="1"/>
    <col min="9535" max="9535" width="15.5703125" style="1" hidden="1"/>
    <col min="9536" max="9539" width="13.7109375" style="1" hidden="1"/>
    <col min="9540" max="9541" width="12.42578125" style="1" hidden="1"/>
    <col min="9542" max="9542" width="14.85546875" style="1" hidden="1"/>
    <col min="9543" max="9543" width="12.42578125" style="1" hidden="1"/>
    <col min="9544" max="9545" width="13.42578125" style="1" hidden="1"/>
    <col min="9546" max="9546" width="17" style="1" hidden="1"/>
    <col min="9547" max="9548" width="12.42578125" style="1" hidden="1"/>
    <col min="9549" max="9549" width="16.42578125" style="1" hidden="1"/>
    <col min="9550" max="9550" width="12.42578125" style="1" hidden="1"/>
    <col min="9551" max="9551" width="13.42578125" style="1" hidden="1"/>
    <col min="9552" max="9552" width="12.42578125" style="1" hidden="1"/>
    <col min="9553" max="9554" width="11.7109375" style="1" hidden="1"/>
    <col min="9555" max="9555" width="11.42578125" style="1" hidden="1"/>
    <col min="9556" max="9556" width="11.7109375" style="1" hidden="1"/>
    <col min="9557" max="9557" width="11.42578125" style="1" hidden="1"/>
    <col min="9558" max="9559" width="15.42578125" style="1" hidden="1"/>
    <col min="9560" max="9560" width="16.140625" style="1" hidden="1"/>
    <col min="9561" max="9561" width="16.5703125" style="1" hidden="1"/>
    <col min="9562" max="9562" width="16.7109375" style="1" hidden="1"/>
    <col min="9563" max="9563" width="15.42578125" style="1" hidden="1"/>
    <col min="9564" max="9564" width="14.85546875" style="1" hidden="1"/>
    <col min="9565" max="9565" width="17.140625" style="1" hidden="1"/>
    <col min="9566" max="9566" width="16.7109375" style="1" hidden="1"/>
    <col min="9567" max="9567" width="16.5703125" style="1" hidden="1"/>
    <col min="9568" max="9568" width="16.28515625" style="1" hidden="1"/>
    <col min="9569" max="9569" width="14.85546875" style="1" hidden="1"/>
    <col min="9570" max="9570" width="16.140625" style="1" hidden="1"/>
    <col min="9571" max="9571" width="16" style="1" hidden="1"/>
    <col min="9572" max="9572" width="15.5703125" style="1" hidden="1"/>
    <col min="9573" max="9573" width="16.28515625" style="1" hidden="1"/>
    <col min="9574" max="9574" width="17.140625" style="1" hidden="1"/>
    <col min="9575" max="9575" width="16.28515625" style="1" hidden="1"/>
    <col min="9576" max="9576" width="15.7109375" style="1" hidden="1"/>
    <col min="9577" max="9577" width="15.42578125" style="1" hidden="1"/>
    <col min="9578" max="9680" width="9.140625" style="1" hidden="1"/>
    <col min="9681" max="9681" width="19.85546875" style="1" hidden="1"/>
    <col min="9682" max="9682" width="22" style="1" hidden="1"/>
    <col min="9683" max="9683" width="18.42578125" style="1" hidden="1"/>
    <col min="9684" max="9685" width="16.42578125" style="1" hidden="1"/>
    <col min="9686" max="9686" width="18.85546875" style="1" hidden="1"/>
    <col min="9687" max="9688" width="15.5703125" style="1" hidden="1"/>
    <col min="9689" max="9689" width="11.28515625" style="1" hidden="1"/>
    <col min="9690" max="9690" width="12.7109375" style="1" hidden="1"/>
    <col min="9691" max="9695" width="14.7109375" style="1" hidden="1"/>
    <col min="9696" max="9699" width="13.85546875" style="1" hidden="1"/>
    <col min="9700" max="9700" width="14.28515625" style="1" hidden="1"/>
    <col min="9701" max="9701" width="13.85546875" style="1" hidden="1"/>
    <col min="9702" max="9714" width="13.42578125" style="1" hidden="1"/>
    <col min="9715" max="9715" width="16.85546875" style="1" hidden="1"/>
    <col min="9716" max="9716" width="12.42578125" style="1" hidden="1"/>
    <col min="9717" max="9717" width="13.5703125" style="1" hidden="1"/>
    <col min="9718" max="9721" width="12.42578125" style="1" hidden="1"/>
    <col min="9722" max="9723" width="13.140625" style="1" hidden="1"/>
    <col min="9724" max="9758" width="14.42578125" style="1" hidden="1"/>
    <col min="9759" max="9770" width="12.42578125" style="1" hidden="1"/>
    <col min="9771" max="9771" width="17.5703125" style="1" hidden="1"/>
    <col min="9772" max="9772" width="15.140625" style="1" hidden="1"/>
    <col min="9773" max="9774" width="15.42578125" style="1" hidden="1"/>
    <col min="9775" max="9776" width="15.5703125" style="1" hidden="1"/>
    <col min="9777" max="9777" width="17" style="1" hidden="1"/>
    <col min="9778" max="9778" width="15.5703125" style="1" hidden="1"/>
    <col min="9779" max="9779" width="17.7109375" style="1" hidden="1"/>
    <col min="9780" max="9780" width="18.42578125" style="1" hidden="1"/>
    <col min="9781" max="9781" width="17.5703125" style="1" hidden="1"/>
    <col min="9782" max="9783" width="16" style="1" hidden="1"/>
    <col min="9784" max="9787" width="12.42578125" style="1" hidden="1"/>
    <col min="9788" max="9788" width="17.7109375" style="1" hidden="1"/>
    <col min="9789" max="9789" width="12.42578125" style="1" hidden="1"/>
    <col min="9790" max="9790" width="13.7109375" style="1" hidden="1"/>
    <col min="9791" max="9791" width="15.5703125" style="1" hidden="1"/>
    <col min="9792" max="9795" width="13.7109375" style="1" hidden="1"/>
    <col min="9796" max="9797" width="12.42578125" style="1" hidden="1"/>
    <col min="9798" max="9798" width="14.85546875" style="1" hidden="1"/>
    <col min="9799" max="9799" width="12.42578125" style="1" hidden="1"/>
    <col min="9800" max="9801" width="13.42578125" style="1" hidden="1"/>
    <col min="9802" max="9802" width="17" style="1" hidden="1"/>
    <col min="9803" max="9804" width="12.42578125" style="1" hidden="1"/>
    <col min="9805" max="9805" width="16.42578125" style="1" hidden="1"/>
    <col min="9806" max="9806" width="12.42578125" style="1" hidden="1"/>
    <col min="9807" max="9807" width="13.42578125" style="1" hidden="1"/>
    <col min="9808" max="9808" width="12.42578125" style="1" hidden="1"/>
    <col min="9809" max="9810" width="11.7109375" style="1" hidden="1"/>
    <col min="9811" max="9811" width="11.42578125" style="1" hidden="1"/>
    <col min="9812" max="9812" width="11.7109375" style="1" hidden="1"/>
    <col min="9813" max="9813" width="11.42578125" style="1" hidden="1"/>
    <col min="9814" max="9815" width="15.42578125" style="1" hidden="1"/>
    <col min="9816" max="9816" width="16.140625" style="1" hidden="1"/>
    <col min="9817" max="9817" width="16.5703125" style="1" hidden="1"/>
    <col min="9818" max="9818" width="16.7109375" style="1" hidden="1"/>
    <col min="9819" max="9819" width="15.42578125" style="1" hidden="1"/>
    <col min="9820" max="9820" width="14.85546875" style="1" hidden="1"/>
    <col min="9821" max="9821" width="17.140625" style="1" hidden="1"/>
    <col min="9822" max="9822" width="16.7109375" style="1" hidden="1"/>
    <col min="9823" max="9823" width="16.5703125" style="1" hidden="1"/>
    <col min="9824" max="9824" width="16.28515625" style="1" hidden="1"/>
    <col min="9825" max="9825" width="14.85546875" style="1" hidden="1"/>
    <col min="9826" max="9826" width="16.140625" style="1" hidden="1"/>
    <col min="9827" max="9827" width="16" style="1" hidden="1"/>
    <col min="9828" max="9828" width="15.5703125" style="1" hidden="1"/>
    <col min="9829" max="9829" width="16.28515625" style="1" hidden="1"/>
    <col min="9830" max="9830" width="17.140625" style="1" hidden="1"/>
    <col min="9831" max="9831" width="16.28515625" style="1" hidden="1"/>
    <col min="9832" max="9832" width="15.7109375" style="1" hidden="1"/>
    <col min="9833" max="9833" width="15.42578125" style="1" hidden="1"/>
    <col min="9834" max="9936" width="9.140625" style="1" hidden="1"/>
    <col min="9937" max="9937" width="19.85546875" style="1" hidden="1"/>
    <col min="9938" max="9938" width="22" style="1" hidden="1"/>
    <col min="9939" max="9939" width="18.42578125" style="1" hidden="1"/>
    <col min="9940" max="9941" width="16.42578125" style="1" hidden="1"/>
    <col min="9942" max="9942" width="18.85546875" style="1" hidden="1"/>
    <col min="9943" max="9944" width="15.5703125" style="1" hidden="1"/>
    <col min="9945" max="9945" width="11.28515625" style="1" hidden="1"/>
    <col min="9946" max="9946" width="12.7109375" style="1" hidden="1"/>
    <col min="9947" max="9951" width="14.7109375" style="1" hidden="1"/>
    <col min="9952" max="9955" width="13.85546875" style="1" hidden="1"/>
    <col min="9956" max="9956" width="14.28515625" style="1" hidden="1"/>
    <col min="9957" max="9957" width="13.85546875" style="1" hidden="1"/>
    <col min="9958" max="9970" width="13.42578125" style="1" hidden="1"/>
    <col min="9971" max="9971" width="16.85546875" style="1" hidden="1"/>
    <col min="9972" max="9972" width="12.42578125" style="1" hidden="1"/>
    <col min="9973" max="9973" width="13.5703125" style="1" hidden="1"/>
    <col min="9974" max="9977" width="12.42578125" style="1" hidden="1"/>
    <col min="9978" max="9979" width="13.140625" style="1" hidden="1"/>
    <col min="9980" max="10014" width="14.42578125" style="1" hidden="1"/>
    <col min="10015" max="10026" width="12.42578125" style="1" hidden="1"/>
    <col min="10027" max="10027" width="17.5703125" style="1" hidden="1"/>
    <col min="10028" max="10028" width="15.140625" style="1" hidden="1"/>
    <col min="10029" max="10030" width="15.42578125" style="1" hidden="1"/>
    <col min="10031" max="10032" width="15.5703125" style="1" hidden="1"/>
    <col min="10033" max="10033" width="17" style="1" hidden="1"/>
    <col min="10034" max="10034" width="15.5703125" style="1" hidden="1"/>
    <col min="10035" max="10035" width="17.7109375" style="1" hidden="1"/>
    <col min="10036" max="10036" width="18.42578125" style="1" hidden="1"/>
    <col min="10037" max="10037" width="17.5703125" style="1" hidden="1"/>
    <col min="10038" max="10039" width="16" style="1" hidden="1"/>
    <col min="10040" max="10043" width="12.42578125" style="1" hidden="1"/>
    <col min="10044" max="10044" width="17.7109375" style="1" hidden="1"/>
    <col min="10045" max="10045" width="12.42578125" style="1" hidden="1"/>
    <col min="10046" max="10046" width="13.7109375" style="1" hidden="1"/>
    <col min="10047" max="10047" width="15.5703125" style="1" hidden="1"/>
    <col min="10048" max="10051" width="13.7109375" style="1" hidden="1"/>
    <col min="10052" max="10053" width="12.42578125" style="1" hidden="1"/>
    <col min="10054" max="10054" width="14.85546875" style="1" hidden="1"/>
    <col min="10055" max="10055" width="12.42578125" style="1" hidden="1"/>
    <col min="10056" max="10057" width="13.42578125" style="1" hidden="1"/>
    <col min="10058" max="10058" width="17" style="1" hidden="1"/>
    <col min="10059" max="10060" width="12.42578125" style="1" hidden="1"/>
    <col min="10061" max="10061" width="16.42578125" style="1" hidden="1"/>
    <col min="10062" max="10062" width="12.42578125" style="1" hidden="1"/>
    <col min="10063" max="10063" width="13.42578125" style="1" hidden="1"/>
    <col min="10064" max="10064" width="12.42578125" style="1" hidden="1"/>
    <col min="10065" max="10066" width="11.7109375" style="1" hidden="1"/>
    <col min="10067" max="10067" width="11.42578125" style="1" hidden="1"/>
    <col min="10068" max="10068" width="11.7109375" style="1" hidden="1"/>
    <col min="10069" max="10069" width="11.42578125" style="1" hidden="1"/>
    <col min="10070" max="10071" width="15.42578125" style="1" hidden="1"/>
    <col min="10072" max="10072" width="16.140625" style="1" hidden="1"/>
    <col min="10073" max="10073" width="16.5703125" style="1" hidden="1"/>
    <col min="10074" max="10074" width="16.7109375" style="1" hidden="1"/>
    <col min="10075" max="10075" width="15.42578125" style="1" hidden="1"/>
    <col min="10076" max="10076" width="14.85546875" style="1" hidden="1"/>
    <col min="10077" max="10077" width="17.140625" style="1" hidden="1"/>
    <col min="10078" max="10078" width="16.7109375" style="1" hidden="1"/>
    <col min="10079" max="10079" width="16.5703125" style="1" hidden="1"/>
    <col min="10080" max="10080" width="16.28515625" style="1" hidden="1"/>
    <col min="10081" max="10081" width="14.85546875" style="1" hidden="1"/>
    <col min="10082" max="10082" width="16.140625" style="1" hidden="1"/>
    <col min="10083" max="10083" width="16" style="1" hidden="1"/>
    <col min="10084" max="10084" width="15.5703125" style="1" hidden="1"/>
    <col min="10085" max="10085" width="16.28515625" style="1" hidden="1"/>
    <col min="10086" max="10086" width="17.140625" style="1" hidden="1"/>
    <col min="10087" max="10087" width="16.28515625" style="1" hidden="1"/>
    <col min="10088" max="10088" width="15.7109375" style="1" hidden="1"/>
    <col min="10089" max="10089" width="15.42578125" style="1" hidden="1"/>
    <col min="10090" max="10192" width="9.140625" style="1" hidden="1"/>
    <col min="10193" max="10193" width="19.85546875" style="1" hidden="1"/>
    <col min="10194" max="10194" width="22" style="1" hidden="1"/>
    <col min="10195" max="10195" width="18.42578125" style="1" hidden="1"/>
    <col min="10196" max="10197" width="16.42578125" style="1" hidden="1"/>
    <col min="10198" max="10198" width="18.85546875" style="1" hidden="1"/>
    <col min="10199" max="10200" width="15.5703125" style="1" hidden="1"/>
    <col min="10201" max="10201" width="11.28515625" style="1" hidden="1"/>
    <col min="10202" max="10202" width="12.7109375" style="1" hidden="1"/>
    <col min="10203" max="10207" width="14.7109375" style="1" hidden="1"/>
    <col min="10208" max="10211" width="13.85546875" style="1" hidden="1"/>
    <col min="10212" max="10212" width="14.28515625" style="1" hidden="1"/>
    <col min="10213" max="10213" width="13.85546875" style="1" hidden="1"/>
    <col min="10214" max="10226" width="13.42578125" style="1" hidden="1"/>
    <col min="10227" max="10227" width="16.85546875" style="1" hidden="1"/>
    <col min="10228" max="10228" width="12.42578125" style="1" hidden="1"/>
    <col min="10229" max="10229" width="13.5703125" style="1" hidden="1"/>
    <col min="10230" max="10233" width="12.42578125" style="1" hidden="1"/>
    <col min="10234" max="10235" width="13.140625" style="1" hidden="1"/>
    <col min="10236" max="10270" width="14.42578125" style="1" hidden="1"/>
    <col min="10271" max="10282" width="12.42578125" style="1" hidden="1"/>
    <col min="10283" max="10283" width="17.5703125" style="1" hidden="1"/>
    <col min="10284" max="10284" width="15.140625" style="1" hidden="1"/>
    <col min="10285" max="10286" width="15.42578125" style="1" hidden="1"/>
    <col min="10287" max="10288" width="15.5703125" style="1" hidden="1"/>
    <col min="10289" max="10289" width="17" style="1" hidden="1"/>
    <col min="10290" max="10290" width="15.5703125" style="1" hidden="1"/>
    <col min="10291" max="10291" width="17.7109375" style="1" hidden="1"/>
    <col min="10292" max="10292" width="18.42578125" style="1" hidden="1"/>
    <col min="10293" max="10293" width="17.5703125" style="1" hidden="1"/>
    <col min="10294" max="10295" width="16" style="1" hidden="1"/>
    <col min="10296" max="10299" width="12.42578125" style="1" hidden="1"/>
    <col min="10300" max="10300" width="17.7109375" style="1" hidden="1"/>
    <col min="10301" max="10301" width="12.42578125" style="1" hidden="1"/>
    <col min="10302" max="10302" width="13.7109375" style="1" hidden="1"/>
    <col min="10303" max="10303" width="15.5703125" style="1" hidden="1"/>
    <col min="10304" max="10307" width="13.7109375" style="1" hidden="1"/>
    <col min="10308" max="10309" width="12.42578125" style="1" hidden="1"/>
    <col min="10310" max="10310" width="14.85546875" style="1" hidden="1"/>
    <col min="10311" max="10311" width="12.42578125" style="1" hidden="1"/>
    <col min="10312" max="10313" width="13.42578125" style="1" hidden="1"/>
    <col min="10314" max="10314" width="17" style="1" hidden="1"/>
    <col min="10315" max="10316" width="12.42578125" style="1" hidden="1"/>
    <col min="10317" max="10317" width="16.42578125" style="1" hidden="1"/>
    <col min="10318" max="10318" width="12.42578125" style="1" hidden="1"/>
    <col min="10319" max="10319" width="13.42578125" style="1" hidden="1"/>
    <col min="10320" max="10320" width="12.42578125" style="1" hidden="1"/>
    <col min="10321" max="10322" width="11.7109375" style="1" hidden="1"/>
    <col min="10323" max="10323" width="11.42578125" style="1" hidden="1"/>
    <col min="10324" max="10324" width="11.7109375" style="1" hidden="1"/>
    <col min="10325" max="10325" width="11.42578125" style="1" hidden="1"/>
    <col min="10326" max="10327" width="15.42578125" style="1" hidden="1"/>
    <col min="10328" max="10328" width="16.140625" style="1" hidden="1"/>
    <col min="10329" max="10329" width="16.5703125" style="1" hidden="1"/>
    <col min="10330" max="10330" width="16.7109375" style="1" hidden="1"/>
    <col min="10331" max="10331" width="15.42578125" style="1" hidden="1"/>
    <col min="10332" max="10332" width="14.85546875" style="1" hidden="1"/>
    <col min="10333" max="10333" width="17.140625" style="1" hidden="1"/>
    <col min="10334" max="10334" width="16.7109375" style="1" hidden="1"/>
    <col min="10335" max="10335" width="16.5703125" style="1" hidden="1"/>
    <col min="10336" max="10336" width="16.28515625" style="1" hidden="1"/>
    <col min="10337" max="10337" width="14.85546875" style="1" hidden="1"/>
    <col min="10338" max="10338" width="16.140625" style="1" hidden="1"/>
    <col min="10339" max="10339" width="16" style="1" hidden="1"/>
    <col min="10340" max="10340" width="15.5703125" style="1" hidden="1"/>
    <col min="10341" max="10341" width="16.28515625" style="1" hidden="1"/>
    <col min="10342" max="10342" width="17.140625" style="1" hidden="1"/>
    <col min="10343" max="10343" width="16.28515625" style="1" hidden="1"/>
    <col min="10344" max="10344" width="15.7109375" style="1" hidden="1"/>
    <col min="10345" max="10345" width="15.42578125" style="1" hidden="1"/>
    <col min="10346" max="10448" width="9.140625" style="1" hidden="1"/>
    <col min="10449" max="10449" width="19.85546875" style="1" hidden="1"/>
    <col min="10450" max="10450" width="22" style="1" hidden="1"/>
    <col min="10451" max="10451" width="18.42578125" style="1" hidden="1"/>
    <col min="10452" max="10453" width="16.42578125" style="1" hidden="1"/>
    <col min="10454" max="10454" width="18.85546875" style="1" hidden="1"/>
    <col min="10455" max="10456" width="15.5703125" style="1" hidden="1"/>
    <col min="10457" max="10457" width="11.28515625" style="1" hidden="1"/>
    <col min="10458" max="10458" width="12.7109375" style="1" hidden="1"/>
    <col min="10459" max="10463" width="14.7109375" style="1" hidden="1"/>
    <col min="10464" max="10467" width="13.85546875" style="1" hidden="1"/>
    <col min="10468" max="10468" width="14.28515625" style="1" hidden="1"/>
    <col min="10469" max="10469" width="13.85546875" style="1" hidden="1"/>
    <col min="10470" max="10482" width="13.42578125" style="1" hidden="1"/>
    <col min="10483" max="10483" width="16.85546875" style="1" hidden="1"/>
    <col min="10484" max="10484" width="12.42578125" style="1" hidden="1"/>
    <col min="10485" max="10485" width="13.5703125" style="1" hidden="1"/>
    <col min="10486" max="10489" width="12.42578125" style="1" hidden="1"/>
    <col min="10490" max="10491" width="13.140625" style="1" hidden="1"/>
    <col min="10492" max="10526" width="14.42578125" style="1" hidden="1"/>
    <col min="10527" max="10538" width="12.42578125" style="1" hidden="1"/>
    <col min="10539" max="10539" width="17.5703125" style="1" hidden="1"/>
    <col min="10540" max="10540" width="15.140625" style="1" hidden="1"/>
    <col min="10541" max="10542" width="15.42578125" style="1" hidden="1"/>
    <col min="10543" max="10544" width="15.5703125" style="1" hidden="1"/>
    <col min="10545" max="10545" width="17" style="1" hidden="1"/>
    <col min="10546" max="10546" width="15.5703125" style="1" hidden="1"/>
    <col min="10547" max="10547" width="17.7109375" style="1" hidden="1"/>
    <col min="10548" max="10548" width="18.42578125" style="1" hidden="1"/>
    <col min="10549" max="10549" width="17.5703125" style="1" hidden="1"/>
    <col min="10550" max="10551" width="16" style="1" hidden="1"/>
    <col min="10552" max="10555" width="12.42578125" style="1" hidden="1"/>
    <col min="10556" max="10556" width="17.7109375" style="1" hidden="1"/>
    <col min="10557" max="10557" width="12.42578125" style="1" hidden="1"/>
    <col min="10558" max="10558" width="13.7109375" style="1" hidden="1"/>
    <col min="10559" max="10559" width="15.5703125" style="1" hidden="1"/>
    <col min="10560" max="10563" width="13.7109375" style="1" hidden="1"/>
    <col min="10564" max="10565" width="12.42578125" style="1" hidden="1"/>
    <col min="10566" max="10566" width="14.85546875" style="1" hidden="1"/>
    <col min="10567" max="10567" width="12.42578125" style="1" hidden="1"/>
    <col min="10568" max="10569" width="13.42578125" style="1" hidden="1"/>
    <col min="10570" max="10570" width="17" style="1" hidden="1"/>
    <col min="10571" max="10572" width="12.42578125" style="1" hidden="1"/>
    <col min="10573" max="10573" width="16.42578125" style="1" hidden="1"/>
    <col min="10574" max="10574" width="12.42578125" style="1" hidden="1"/>
    <col min="10575" max="10575" width="13.42578125" style="1" hidden="1"/>
    <col min="10576" max="10576" width="12.42578125" style="1" hidden="1"/>
    <col min="10577" max="10578" width="11.7109375" style="1" hidden="1"/>
    <col min="10579" max="10579" width="11.42578125" style="1" hidden="1"/>
    <col min="10580" max="10580" width="11.7109375" style="1" hidden="1"/>
    <col min="10581" max="10581" width="11.42578125" style="1" hidden="1"/>
    <col min="10582" max="10583" width="15.42578125" style="1" hidden="1"/>
    <col min="10584" max="10584" width="16.140625" style="1" hidden="1"/>
    <col min="10585" max="10585" width="16.5703125" style="1" hidden="1"/>
    <col min="10586" max="10586" width="16.7109375" style="1" hidden="1"/>
    <col min="10587" max="10587" width="15.42578125" style="1" hidden="1"/>
    <col min="10588" max="10588" width="14.85546875" style="1" hidden="1"/>
    <col min="10589" max="10589" width="17.140625" style="1" hidden="1"/>
    <col min="10590" max="10590" width="16.7109375" style="1" hidden="1"/>
    <col min="10591" max="10591" width="16.5703125" style="1" hidden="1"/>
    <col min="10592" max="10592" width="16.28515625" style="1" hidden="1"/>
    <col min="10593" max="10593" width="14.85546875" style="1" hidden="1"/>
    <col min="10594" max="10594" width="16.140625" style="1" hidden="1"/>
    <col min="10595" max="10595" width="16" style="1" hidden="1"/>
    <col min="10596" max="10596" width="15.5703125" style="1" hidden="1"/>
    <col min="10597" max="10597" width="16.28515625" style="1" hidden="1"/>
    <col min="10598" max="10598" width="17.140625" style="1" hidden="1"/>
    <col min="10599" max="10599" width="16.28515625" style="1" hidden="1"/>
    <col min="10600" max="10600" width="15.7109375" style="1" hidden="1"/>
    <col min="10601" max="10601" width="15.42578125" style="1" hidden="1"/>
    <col min="10602" max="10704" width="9.140625" style="1" hidden="1"/>
    <col min="10705" max="10705" width="19.85546875" style="1" hidden="1"/>
    <col min="10706" max="10706" width="22" style="1" hidden="1"/>
    <col min="10707" max="10707" width="18.42578125" style="1" hidden="1"/>
    <col min="10708" max="10709" width="16.42578125" style="1" hidden="1"/>
    <col min="10710" max="10710" width="18.85546875" style="1" hidden="1"/>
    <col min="10711" max="10712" width="15.5703125" style="1" hidden="1"/>
    <col min="10713" max="10713" width="11.28515625" style="1" hidden="1"/>
    <col min="10714" max="10714" width="12.7109375" style="1" hidden="1"/>
    <col min="10715" max="10719" width="14.7109375" style="1" hidden="1"/>
    <col min="10720" max="10723" width="13.85546875" style="1" hidden="1"/>
    <col min="10724" max="10724" width="14.28515625" style="1" hidden="1"/>
    <col min="10725" max="10725" width="13.85546875" style="1" hidden="1"/>
    <col min="10726" max="10738" width="13.42578125" style="1" hidden="1"/>
    <col min="10739" max="10739" width="16.85546875" style="1" hidden="1"/>
    <col min="10740" max="10740" width="12.42578125" style="1" hidden="1"/>
    <col min="10741" max="10741" width="13.5703125" style="1" hidden="1"/>
    <col min="10742" max="10745" width="12.42578125" style="1" hidden="1"/>
    <col min="10746" max="10747" width="13.140625" style="1" hidden="1"/>
    <col min="10748" max="10782" width="14.42578125" style="1" hidden="1"/>
    <col min="10783" max="10794" width="12.42578125" style="1" hidden="1"/>
    <col min="10795" max="10795" width="17.5703125" style="1" hidden="1"/>
    <col min="10796" max="10796" width="15.140625" style="1" hidden="1"/>
    <col min="10797" max="10798" width="15.42578125" style="1" hidden="1"/>
    <col min="10799" max="10800" width="15.5703125" style="1" hidden="1"/>
    <col min="10801" max="10801" width="17" style="1" hidden="1"/>
    <col min="10802" max="10802" width="15.5703125" style="1" hidden="1"/>
    <col min="10803" max="10803" width="17.7109375" style="1" hidden="1"/>
    <col min="10804" max="10804" width="18.42578125" style="1" hidden="1"/>
    <col min="10805" max="10805" width="17.5703125" style="1" hidden="1"/>
    <col min="10806" max="10807" width="16" style="1" hidden="1"/>
    <col min="10808" max="10811" width="12.42578125" style="1" hidden="1"/>
    <col min="10812" max="10812" width="17.7109375" style="1" hidden="1"/>
    <col min="10813" max="10813" width="12.42578125" style="1" hidden="1"/>
    <col min="10814" max="10814" width="13.7109375" style="1" hidden="1"/>
    <col min="10815" max="10815" width="15.5703125" style="1" hidden="1"/>
    <col min="10816" max="10819" width="13.7109375" style="1" hidden="1"/>
    <col min="10820" max="10821" width="12.42578125" style="1" hidden="1"/>
    <col min="10822" max="10822" width="14.85546875" style="1" hidden="1"/>
    <col min="10823" max="10823" width="12.42578125" style="1" hidden="1"/>
    <col min="10824" max="10825" width="13.42578125" style="1" hidden="1"/>
    <col min="10826" max="10826" width="17" style="1" hidden="1"/>
    <col min="10827" max="10828" width="12.42578125" style="1" hidden="1"/>
    <col min="10829" max="10829" width="16.42578125" style="1" hidden="1"/>
    <col min="10830" max="10830" width="12.42578125" style="1" hidden="1"/>
    <col min="10831" max="10831" width="13.42578125" style="1" hidden="1"/>
    <col min="10832" max="10832" width="12.42578125" style="1" hidden="1"/>
    <col min="10833" max="10834" width="11.7109375" style="1" hidden="1"/>
    <col min="10835" max="10835" width="11.42578125" style="1" hidden="1"/>
    <col min="10836" max="10836" width="11.7109375" style="1" hidden="1"/>
    <col min="10837" max="10837" width="11.42578125" style="1" hidden="1"/>
    <col min="10838" max="10839" width="15.42578125" style="1" hidden="1"/>
    <col min="10840" max="10840" width="16.140625" style="1" hidden="1"/>
    <col min="10841" max="10841" width="16.5703125" style="1" hidden="1"/>
    <col min="10842" max="10842" width="16.7109375" style="1" hidden="1"/>
    <col min="10843" max="10843" width="15.42578125" style="1" hidden="1"/>
    <col min="10844" max="10844" width="14.85546875" style="1" hidden="1"/>
    <col min="10845" max="10845" width="17.140625" style="1" hidden="1"/>
    <col min="10846" max="10846" width="16.7109375" style="1" hidden="1"/>
    <col min="10847" max="10847" width="16.5703125" style="1" hidden="1"/>
    <col min="10848" max="10848" width="16.28515625" style="1" hidden="1"/>
    <col min="10849" max="10849" width="14.85546875" style="1" hidden="1"/>
    <col min="10850" max="10850" width="16.140625" style="1" hidden="1"/>
    <col min="10851" max="10851" width="16" style="1" hidden="1"/>
    <col min="10852" max="10852" width="15.5703125" style="1" hidden="1"/>
    <col min="10853" max="10853" width="16.28515625" style="1" hidden="1"/>
    <col min="10854" max="10854" width="17.140625" style="1" hidden="1"/>
    <col min="10855" max="10855" width="16.28515625" style="1" hidden="1"/>
    <col min="10856" max="10856" width="15.7109375" style="1" hidden="1"/>
    <col min="10857" max="10857" width="15.42578125" style="1" hidden="1"/>
    <col min="10858" max="10960" width="9.140625" style="1" hidden="1"/>
    <col min="10961" max="10961" width="19.85546875" style="1" hidden="1"/>
    <col min="10962" max="10962" width="22" style="1" hidden="1"/>
    <col min="10963" max="10963" width="18.42578125" style="1" hidden="1"/>
    <col min="10964" max="10965" width="16.42578125" style="1" hidden="1"/>
    <col min="10966" max="10966" width="18.85546875" style="1" hidden="1"/>
    <col min="10967" max="10968" width="15.5703125" style="1" hidden="1"/>
    <col min="10969" max="10969" width="11.28515625" style="1" hidden="1"/>
    <col min="10970" max="10970" width="12.7109375" style="1" hidden="1"/>
    <col min="10971" max="10975" width="14.7109375" style="1" hidden="1"/>
    <col min="10976" max="10979" width="13.85546875" style="1" hidden="1"/>
    <col min="10980" max="10980" width="14.28515625" style="1" hidden="1"/>
    <col min="10981" max="10981" width="13.85546875" style="1" hidden="1"/>
    <col min="10982" max="10994" width="13.42578125" style="1" hidden="1"/>
    <col min="10995" max="10995" width="16.85546875" style="1" hidden="1"/>
    <col min="10996" max="10996" width="12.42578125" style="1" hidden="1"/>
    <col min="10997" max="10997" width="13.5703125" style="1" hidden="1"/>
    <col min="10998" max="11001" width="12.42578125" style="1" hidden="1"/>
    <col min="11002" max="11003" width="13.140625" style="1" hidden="1"/>
    <col min="11004" max="11038" width="14.42578125" style="1" hidden="1"/>
    <col min="11039" max="11050" width="12.42578125" style="1" hidden="1"/>
    <col min="11051" max="11051" width="17.5703125" style="1" hidden="1"/>
    <col min="11052" max="11052" width="15.140625" style="1" hidden="1"/>
    <col min="11053" max="11054" width="15.42578125" style="1" hidden="1"/>
    <col min="11055" max="11056" width="15.5703125" style="1" hidden="1"/>
    <col min="11057" max="11057" width="17" style="1" hidden="1"/>
    <col min="11058" max="11058" width="15.5703125" style="1" hidden="1"/>
    <col min="11059" max="11059" width="17.7109375" style="1" hidden="1"/>
    <col min="11060" max="11060" width="18.42578125" style="1" hidden="1"/>
    <col min="11061" max="11061" width="17.5703125" style="1" hidden="1"/>
    <col min="11062" max="11063" width="16" style="1" hidden="1"/>
    <col min="11064" max="11067" width="12.42578125" style="1" hidden="1"/>
    <col min="11068" max="11068" width="17.7109375" style="1" hidden="1"/>
    <col min="11069" max="11069" width="12.42578125" style="1" hidden="1"/>
    <col min="11070" max="11070" width="13.7109375" style="1" hidden="1"/>
    <col min="11071" max="11071" width="15.5703125" style="1" hidden="1"/>
    <col min="11072" max="11075" width="13.7109375" style="1" hidden="1"/>
    <col min="11076" max="11077" width="12.42578125" style="1" hidden="1"/>
    <col min="11078" max="11078" width="14.85546875" style="1" hidden="1"/>
    <col min="11079" max="11079" width="12.42578125" style="1" hidden="1"/>
    <col min="11080" max="11081" width="13.42578125" style="1" hidden="1"/>
    <col min="11082" max="11082" width="17" style="1" hidden="1"/>
    <col min="11083" max="11084" width="12.42578125" style="1" hidden="1"/>
    <col min="11085" max="11085" width="16.42578125" style="1" hidden="1"/>
    <col min="11086" max="11086" width="12.42578125" style="1" hidden="1"/>
    <col min="11087" max="11087" width="13.42578125" style="1" hidden="1"/>
    <col min="11088" max="11088" width="12.42578125" style="1" hidden="1"/>
    <col min="11089" max="11090" width="11.7109375" style="1" hidden="1"/>
    <col min="11091" max="11091" width="11.42578125" style="1" hidden="1"/>
    <col min="11092" max="11092" width="11.7109375" style="1" hidden="1"/>
    <col min="11093" max="11093" width="11.42578125" style="1" hidden="1"/>
    <col min="11094" max="11095" width="15.42578125" style="1" hidden="1"/>
    <col min="11096" max="11096" width="16.140625" style="1" hidden="1"/>
    <col min="11097" max="11097" width="16.5703125" style="1" hidden="1"/>
    <col min="11098" max="11098" width="16.7109375" style="1" hidden="1"/>
    <col min="11099" max="11099" width="15.42578125" style="1" hidden="1"/>
    <col min="11100" max="11100" width="14.85546875" style="1" hidden="1"/>
    <col min="11101" max="11101" width="17.140625" style="1" hidden="1"/>
    <col min="11102" max="11102" width="16.7109375" style="1" hidden="1"/>
    <col min="11103" max="11103" width="16.5703125" style="1" hidden="1"/>
    <col min="11104" max="11104" width="16.28515625" style="1" hidden="1"/>
    <col min="11105" max="11105" width="14.85546875" style="1" hidden="1"/>
    <col min="11106" max="11106" width="16.140625" style="1" hidden="1"/>
    <col min="11107" max="11107" width="16" style="1" hidden="1"/>
    <col min="11108" max="11108" width="15.5703125" style="1" hidden="1"/>
    <col min="11109" max="11109" width="16.28515625" style="1" hidden="1"/>
    <col min="11110" max="11110" width="17.140625" style="1" hidden="1"/>
    <col min="11111" max="11111" width="16.28515625" style="1" hidden="1"/>
    <col min="11112" max="11112" width="15.7109375" style="1" hidden="1"/>
    <col min="11113" max="11113" width="15.42578125" style="1" hidden="1"/>
    <col min="11114" max="11216" width="9.140625" style="1" hidden="1"/>
    <col min="11217" max="11217" width="19.85546875" style="1" hidden="1"/>
    <col min="11218" max="11218" width="22" style="1" hidden="1"/>
    <col min="11219" max="11219" width="18.42578125" style="1" hidden="1"/>
    <col min="11220" max="11221" width="16.42578125" style="1" hidden="1"/>
    <col min="11222" max="11222" width="18.85546875" style="1" hidden="1"/>
    <col min="11223" max="11224" width="15.5703125" style="1" hidden="1"/>
    <col min="11225" max="11225" width="11.28515625" style="1" hidden="1"/>
    <col min="11226" max="11226" width="12.7109375" style="1" hidden="1"/>
    <col min="11227" max="11231" width="14.7109375" style="1" hidden="1"/>
    <col min="11232" max="11235" width="13.85546875" style="1" hidden="1"/>
    <col min="11236" max="11236" width="14.28515625" style="1" hidden="1"/>
    <col min="11237" max="11237" width="13.85546875" style="1" hidden="1"/>
    <col min="11238" max="11250" width="13.42578125" style="1" hidden="1"/>
    <col min="11251" max="11251" width="16.85546875" style="1" hidden="1"/>
    <col min="11252" max="11252" width="12.42578125" style="1" hidden="1"/>
    <col min="11253" max="11253" width="13.5703125" style="1" hidden="1"/>
    <col min="11254" max="11257" width="12.42578125" style="1" hidden="1"/>
    <col min="11258" max="11259" width="13.140625" style="1" hidden="1"/>
    <col min="11260" max="11294" width="14.42578125" style="1" hidden="1"/>
    <col min="11295" max="11306" width="12.42578125" style="1" hidden="1"/>
    <col min="11307" max="11307" width="17.5703125" style="1" hidden="1"/>
    <col min="11308" max="11308" width="15.140625" style="1" hidden="1"/>
    <col min="11309" max="11310" width="15.42578125" style="1" hidden="1"/>
    <col min="11311" max="11312" width="15.5703125" style="1" hidden="1"/>
    <col min="11313" max="11313" width="17" style="1" hidden="1"/>
    <col min="11314" max="11314" width="15.5703125" style="1" hidden="1"/>
    <col min="11315" max="11315" width="17.7109375" style="1" hidden="1"/>
    <col min="11316" max="11316" width="18.42578125" style="1" hidden="1"/>
    <col min="11317" max="11317" width="17.5703125" style="1" hidden="1"/>
    <col min="11318" max="11319" width="16" style="1" hidden="1"/>
    <col min="11320" max="11323" width="12.42578125" style="1" hidden="1"/>
    <col min="11324" max="11324" width="17.7109375" style="1" hidden="1"/>
    <col min="11325" max="11325" width="12.42578125" style="1" hidden="1"/>
    <col min="11326" max="11326" width="13.7109375" style="1" hidden="1"/>
    <col min="11327" max="11327" width="15.5703125" style="1" hidden="1"/>
    <col min="11328" max="11331" width="13.7109375" style="1" hidden="1"/>
    <col min="11332" max="11333" width="12.42578125" style="1" hidden="1"/>
    <col min="11334" max="11334" width="14.85546875" style="1" hidden="1"/>
    <col min="11335" max="11335" width="12.42578125" style="1" hidden="1"/>
    <col min="11336" max="11337" width="13.42578125" style="1" hidden="1"/>
    <col min="11338" max="11338" width="17" style="1" hidden="1"/>
    <col min="11339" max="11340" width="12.42578125" style="1" hidden="1"/>
    <col min="11341" max="11341" width="16.42578125" style="1" hidden="1"/>
    <col min="11342" max="11342" width="12.42578125" style="1" hidden="1"/>
    <col min="11343" max="11343" width="13.42578125" style="1" hidden="1"/>
    <col min="11344" max="11344" width="12.42578125" style="1" hidden="1"/>
    <col min="11345" max="11346" width="11.7109375" style="1" hidden="1"/>
    <col min="11347" max="11347" width="11.42578125" style="1" hidden="1"/>
    <col min="11348" max="11348" width="11.7109375" style="1" hidden="1"/>
    <col min="11349" max="11349" width="11.42578125" style="1" hidden="1"/>
    <col min="11350" max="11351" width="15.42578125" style="1" hidden="1"/>
    <col min="11352" max="11352" width="16.140625" style="1" hidden="1"/>
    <col min="11353" max="11353" width="16.5703125" style="1" hidden="1"/>
    <col min="11354" max="11354" width="16.7109375" style="1" hidden="1"/>
    <col min="11355" max="11355" width="15.42578125" style="1" hidden="1"/>
    <col min="11356" max="11356" width="14.85546875" style="1" hidden="1"/>
    <col min="11357" max="11357" width="17.140625" style="1" hidden="1"/>
    <col min="11358" max="11358" width="16.7109375" style="1" hidden="1"/>
    <col min="11359" max="11359" width="16.5703125" style="1" hidden="1"/>
    <col min="11360" max="11360" width="16.28515625" style="1" hidden="1"/>
    <col min="11361" max="11361" width="14.85546875" style="1" hidden="1"/>
    <col min="11362" max="11362" width="16.140625" style="1" hidden="1"/>
    <col min="11363" max="11363" width="16" style="1" hidden="1"/>
    <col min="11364" max="11364" width="15.5703125" style="1" hidden="1"/>
    <col min="11365" max="11365" width="16.28515625" style="1" hidden="1"/>
    <col min="11366" max="11366" width="17.140625" style="1" hidden="1"/>
    <col min="11367" max="11367" width="16.28515625" style="1" hidden="1"/>
    <col min="11368" max="11368" width="15.7109375" style="1" hidden="1"/>
    <col min="11369" max="11369" width="15.42578125" style="1" hidden="1"/>
    <col min="11370" max="11472" width="9.140625" style="1" hidden="1"/>
    <col min="11473" max="11473" width="19.85546875" style="1" hidden="1"/>
    <col min="11474" max="11474" width="22" style="1" hidden="1"/>
    <col min="11475" max="11475" width="18.42578125" style="1" hidden="1"/>
    <col min="11476" max="11477" width="16.42578125" style="1" hidden="1"/>
    <col min="11478" max="11478" width="18.85546875" style="1" hidden="1"/>
    <col min="11479" max="11480" width="15.5703125" style="1" hidden="1"/>
    <col min="11481" max="11481" width="11.28515625" style="1" hidden="1"/>
    <col min="11482" max="11482" width="12.7109375" style="1" hidden="1"/>
    <col min="11483" max="11487" width="14.7109375" style="1" hidden="1"/>
    <col min="11488" max="11491" width="13.85546875" style="1" hidden="1"/>
    <col min="11492" max="11492" width="14.28515625" style="1" hidden="1"/>
    <col min="11493" max="11493" width="13.85546875" style="1" hidden="1"/>
    <col min="11494" max="11506" width="13.42578125" style="1" hidden="1"/>
    <col min="11507" max="11507" width="16.85546875" style="1" hidden="1"/>
    <col min="11508" max="11508" width="12.42578125" style="1" hidden="1"/>
    <col min="11509" max="11509" width="13.5703125" style="1" hidden="1"/>
    <col min="11510" max="11513" width="12.42578125" style="1" hidden="1"/>
    <col min="11514" max="11515" width="13.140625" style="1" hidden="1"/>
    <col min="11516" max="11550" width="14.42578125" style="1" hidden="1"/>
    <col min="11551" max="11562" width="12.42578125" style="1" hidden="1"/>
    <col min="11563" max="11563" width="17.5703125" style="1" hidden="1"/>
    <col min="11564" max="11564" width="15.140625" style="1" hidden="1"/>
    <col min="11565" max="11566" width="15.42578125" style="1" hidden="1"/>
    <col min="11567" max="11568" width="15.5703125" style="1" hidden="1"/>
    <col min="11569" max="11569" width="17" style="1" hidden="1"/>
    <col min="11570" max="11570" width="15.5703125" style="1" hidden="1"/>
    <col min="11571" max="11571" width="17.7109375" style="1" hidden="1"/>
    <col min="11572" max="11572" width="18.42578125" style="1" hidden="1"/>
    <col min="11573" max="11573" width="17.5703125" style="1" hidden="1"/>
    <col min="11574" max="11575" width="16" style="1" hidden="1"/>
    <col min="11576" max="11579" width="12.42578125" style="1" hidden="1"/>
    <col min="11580" max="11580" width="17.7109375" style="1" hidden="1"/>
    <col min="11581" max="11581" width="12.42578125" style="1" hidden="1"/>
    <col min="11582" max="11582" width="13.7109375" style="1" hidden="1"/>
    <col min="11583" max="11583" width="15.5703125" style="1" hidden="1"/>
    <col min="11584" max="11587" width="13.7109375" style="1" hidden="1"/>
    <col min="11588" max="11589" width="12.42578125" style="1" hidden="1"/>
    <col min="11590" max="11590" width="14.85546875" style="1" hidden="1"/>
    <col min="11591" max="11591" width="12.42578125" style="1" hidden="1"/>
    <col min="11592" max="11593" width="13.42578125" style="1" hidden="1"/>
    <col min="11594" max="11594" width="17" style="1" hidden="1"/>
    <col min="11595" max="11596" width="12.42578125" style="1" hidden="1"/>
    <col min="11597" max="11597" width="16.42578125" style="1" hidden="1"/>
    <col min="11598" max="11598" width="12.42578125" style="1" hidden="1"/>
    <col min="11599" max="11599" width="13.42578125" style="1" hidden="1"/>
    <col min="11600" max="11600" width="12.42578125" style="1" hidden="1"/>
    <col min="11601" max="11602" width="11.7109375" style="1" hidden="1"/>
    <col min="11603" max="11603" width="11.42578125" style="1" hidden="1"/>
    <col min="11604" max="11604" width="11.7109375" style="1" hidden="1"/>
    <col min="11605" max="11605" width="11.42578125" style="1" hidden="1"/>
    <col min="11606" max="11607" width="15.42578125" style="1" hidden="1"/>
    <col min="11608" max="11608" width="16.140625" style="1" hidden="1"/>
    <col min="11609" max="11609" width="16.5703125" style="1" hidden="1"/>
    <col min="11610" max="11610" width="16.7109375" style="1" hidden="1"/>
    <col min="11611" max="11611" width="15.42578125" style="1" hidden="1"/>
    <col min="11612" max="11612" width="14.85546875" style="1" hidden="1"/>
    <col min="11613" max="11613" width="17.140625" style="1" hidden="1"/>
    <col min="11614" max="11614" width="16.7109375" style="1" hidden="1"/>
    <col min="11615" max="11615" width="16.5703125" style="1" hidden="1"/>
    <col min="11616" max="11616" width="16.28515625" style="1" hidden="1"/>
    <col min="11617" max="11617" width="14.85546875" style="1" hidden="1"/>
    <col min="11618" max="11618" width="16.140625" style="1" hidden="1"/>
    <col min="11619" max="11619" width="16" style="1" hidden="1"/>
    <col min="11620" max="11620" width="15.5703125" style="1" hidden="1"/>
    <col min="11621" max="11621" width="16.28515625" style="1" hidden="1"/>
    <col min="11622" max="11622" width="17.140625" style="1" hidden="1"/>
    <col min="11623" max="11623" width="16.28515625" style="1" hidden="1"/>
    <col min="11624" max="11624" width="15.7109375" style="1" hidden="1"/>
    <col min="11625" max="11625" width="15.42578125" style="1" hidden="1"/>
    <col min="11626" max="11728" width="9.140625" style="1" hidden="1"/>
    <col min="11729" max="11729" width="19.85546875" style="1" hidden="1"/>
    <col min="11730" max="11730" width="22" style="1" hidden="1"/>
    <col min="11731" max="11731" width="18.42578125" style="1" hidden="1"/>
    <col min="11732" max="11733" width="16.42578125" style="1" hidden="1"/>
    <col min="11734" max="11734" width="18.85546875" style="1" hidden="1"/>
    <col min="11735" max="11736" width="15.5703125" style="1" hidden="1"/>
    <col min="11737" max="11737" width="11.28515625" style="1" hidden="1"/>
    <col min="11738" max="11738" width="12.7109375" style="1" hidden="1"/>
    <col min="11739" max="11743" width="14.7109375" style="1" hidden="1"/>
    <col min="11744" max="11747" width="13.85546875" style="1" hidden="1"/>
    <col min="11748" max="11748" width="14.28515625" style="1" hidden="1"/>
    <col min="11749" max="11749" width="13.85546875" style="1" hidden="1"/>
    <col min="11750" max="11762" width="13.42578125" style="1" hidden="1"/>
    <col min="11763" max="11763" width="16.85546875" style="1" hidden="1"/>
    <col min="11764" max="11764" width="12.42578125" style="1" hidden="1"/>
    <col min="11765" max="11765" width="13.5703125" style="1" hidden="1"/>
    <col min="11766" max="11769" width="12.42578125" style="1" hidden="1"/>
    <col min="11770" max="11771" width="13.140625" style="1" hidden="1"/>
    <col min="11772" max="11806" width="14.42578125" style="1" hidden="1"/>
    <col min="11807" max="11818" width="12.42578125" style="1" hidden="1"/>
    <col min="11819" max="11819" width="17.5703125" style="1" hidden="1"/>
    <col min="11820" max="11820" width="15.140625" style="1" hidden="1"/>
    <col min="11821" max="11822" width="15.42578125" style="1" hidden="1"/>
    <col min="11823" max="11824" width="15.5703125" style="1" hidden="1"/>
    <col min="11825" max="11825" width="17" style="1" hidden="1"/>
    <col min="11826" max="11826" width="15.5703125" style="1" hidden="1"/>
    <col min="11827" max="11827" width="17.7109375" style="1" hidden="1"/>
    <col min="11828" max="11828" width="18.42578125" style="1" hidden="1"/>
    <col min="11829" max="11829" width="17.5703125" style="1" hidden="1"/>
    <col min="11830" max="11831" width="16" style="1" hidden="1"/>
    <col min="11832" max="11835" width="12.42578125" style="1" hidden="1"/>
    <col min="11836" max="11836" width="17.7109375" style="1" hidden="1"/>
    <col min="11837" max="11837" width="12.42578125" style="1" hidden="1"/>
    <col min="11838" max="11838" width="13.7109375" style="1" hidden="1"/>
    <col min="11839" max="11839" width="15.5703125" style="1" hidden="1"/>
    <col min="11840" max="11843" width="13.7109375" style="1" hidden="1"/>
    <col min="11844" max="11845" width="12.42578125" style="1" hidden="1"/>
    <col min="11846" max="11846" width="14.85546875" style="1" hidden="1"/>
    <col min="11847" max="11847" width="12.42578125" style="1" hidden="1"/>
    <col min="11848" max="11849" width="13.42578125" style="1" hidden="1"/>
    <col min="11850" max="11850" width="17" style="1" hidden="1"/>
    <col min="11851" max="11852" width="12.42578125" style="1" hidden="1"/>
    <col min="11853" max="11853" width="16.42578125" style="1" hidden="1"/>
    <col min="11854" max="11854" width="12.42578125" style="1" hidden="1"/>
    <col min="11855" max="11855" width="13.42578125" style="1" hidden="1"/>
    <col min="11856" max="11856" width="12.42578125" style="1" hidden="1"/>
    <col min="11857" max="11858" width="11.7109375" style="1" hidden="1"/>
    <col min="11859" max="11859" width="11.42578125" style="1" hidden="1"/>
    <col min="11860" max="11860" width="11.7109375" style="1" hidden="1"/>
    <col min="11861" max="11861" width="11.42578125" style="1" hidden="1"/>
    <col min="11862" max="11863" width="15.42578125" style="1" hidden="1"/>
    <col min="11864" max="11864" width="16.140625" style="1" hidden="1"/>
    <col min="11865" max="11865" width="16.5703125" style="1" hidden="1"/>
    <col min="11866" max="11866" width="16.7109375" style="1" hidden="1"/>
    <col min="11867" max="11867" width="15.42578125" style="1" hidden="1"/>
    <col min="11868" max="11868" width="14.85546875" style="1" hidden="1"/>
    <col min="11869" max="11869" width="17.140625" style="1" hidden="1"/>
    <col min="11870" max="11870" width="16.7109375" style="1" hidden="1"/>
    <col min="11871" max="11871" width="16.5703125" style="1" hidden="1"/>
    <col min="11872" max="11872" width="16.28515625" style="1" hidden="1"/>
    <col min="11873" max="11873" width="14.85546875" style="1" hidden="1"/>
    <col min="11874" max="11874" width="16.140625" style="1" hidden="1"/>
    <col min="11875" max="11875" width="16" style="1" hidden="1"/>
    <col min="11876" max="11876" width="15.5703125" style="1" hidden="1"/>
    <col min="11877" max="11877" width="16.28515625" style="1" hidden="1"/>
    <col min="11878" max="11878" width="17.140625" style="1" hidden="1"/>
    <col min="11879" max="11879" width="16.28515625" style="1" hidden="1"/>
    <col min="11880" max="11880" width="15.7109375" style="1" hidden="1"/>
    <col min="11881" max="11881" width="15.42578125" style="1" hidden="1"/>
    <col min="11882" max="11984" width="9.140625" style="1" hidden="1"/>
    <col min="11985" max="11985" width="19.85546875" style="1" hidden="1"/>
    <col min="11986" max="11986" width="22" style="1" hidden="1"/>
    <col min="11987" max="11987" width="18.42578125" style="1" hidden="1"/>
    <col min="11988" max="11989" width="16.42578125" style="1" hidden="1"/>
    <col min="11990" max="11990" width="18.85546875" style="1" hidden="1"/>
    <col min="11991" max="11992" width="15.5703125" style="1" hidden="1"/>
    <col min="11993" max="11993" width="11.28515625" style="1" hidden="1"/>
    <col min="11994" max="11994" width="12.7109375" style="1" hidden="1"/>
    <col min="11995" max="11999" width="14.7109375" style="1" hidden="1"/>
    <col min="12000" max="12003" width="13.85546875" style="1" hidden="1"/>
    <col min="12004" max="12004" width="14.28515625" style="1" hidden="1"/>
    <col min="12005" max="12005" width="13.85546875" style="1" hidden="1"/>
    <col min="12006" max="12018" width="13.42578125" style="1" hidden="1"/>
    <col min="12019" max="12019" width="16.85546875" style="1" hidden="1"/>
    <col min="12020" max="12020" width="12.42578125" style="1" hidden="1"/>
    <col min="12021" max="12021" width="13.5703125" style="1" hidden="1"/>
    <col min="12022" max="12025" width="12.42578125" style="1" hidden="1"/>
    <col min="12026" max="12027" width="13.140625" style="1" hidden="1"/>
    <col min="12028" max="12062" width="14.42578125" style="1" hidden="1"/>
    <col min="12063" max="12074" width="12.42578125" style="1" hidden="1"/>
    <col min="12075" max="12075" width="17.5703125" style="1" hidden="1"/>
    <col min="12076" max="12076" width="15.140625" style="1" hidden="1"/>
    <col min="12077" max="12078" width="15.42578125" style="1" hidden="1"/>
    <col min="12079" max="12080" width="15.5703125" style="1" hidden="1"/>
    <col min="12081" max="12081" width="17" style="1" hidden="1"/>
    <col min="12082" max="12082" width="15.5703125" style="1" hidden="1"/>
    <col min="12083" max="12083" width="17.7109375" style="1" hidden="1"/>
    <col min="12084" max="12084" width="18.42578125" style="1" hidden="1"/>
    <col min="12085" max="12085" width="17.5703125" style="1" hidden="1"/>
    <col min="12086" max="12087" width="16" style="1" hidden="1"/>
    <col min="12088" max="12091" width="12.42578125" style="1" hidden="1"/>
    <col min="12092" max="12092" width="17.7109375" style="1" hidden="1"/>
    <col min="12093" max="12093" width="12.42578125" style="1" hidden="1"/>
    <col min="12094" max="12094" width="13.7109375" style="1" hidden="1"/>
    <col min="12095" max="12095" width="15.5703125" style="1" hidden="1"/>
    <col min="12096" max="12099" width="13.7109375" style="1" hidden="1"/>
    <col min="12100" max="12101" width="12.42578125" style="1" hidden="1"/>
    <col min="12102" max="12102" width="14.85546875" style="1" hidden="1"/>
    <col min="12103" max="12103" width="12.42578125" style="1" hidden="1"/>
    <col min="12104" max="12105" width="13.42578125" style="1" hidden="1"/>
    <col min="12106" max="12106" width="17" style="1" hidden="1"/>
    <col min="12107" max="12108" width="12.42578125" style="1" hidden="1"/>
    <col min="12109" max="12109" width="16.42578125" style="1" hidden="1"/>
    <col min="12110" max="12110" width="12.42578125" style="1" hidden="1"/>
    <col min="12111" max="12111" width="13.42578125" style="1" hidden="1"/>
    <col min="12112" max="12112" width="12.42578125" style="1" hidden="1"/>
    <col min="12113" max="12114" width="11.7109375" style="1" hidden="1"/>
    <col min="12115" max="12115" width="11.42578125" style="1" hidden="1"/>
    <col min="12116" max="12116" width="11.7109375" style="1" hidden="1"/>
    <col min="12117" max="12117" width="11.42578125" style="1" hidden="1"/>
    <col min="12118" max="12119" width="15.42578125" style="1" hidden="1"/>
    <col min="12120" max="12120" width="16.140625" style="1" hidden="1"/>
    <col min="12121" max="12121" width="16.5703125" style="1" hidden="1"/>
    <col min="12122" max="12122" width="16.7109375" style="1" hidden="1"/>
    <col min="12123" max="12123" width="15.42578125" style="1" hidden="1"/>
    <col min="12124" max="12124" width="14.85546875" style="1" hidden="1"/>
    <col min="12125" max="12125" width="17.140625" style="1" hidden="1"/>
    <col min="12126" max="12126" width="16.7109375" style="1" hidden="1"/>
    <col min="12127" max="12127" width="16.5703125" style="1" hidden="1"/>
    <col min="12128" max="12128" width="16.28515625" style="1" hidden="1"/>
    <col min="12129" max="12129" width="14.85546875" style="1" hidden="1"/>
    <col min="12130" max="12130" width="16.140625" style="1" hidden="1"/>
    <col min="12131" max="12131" width="16" style="1" hidden="1"/>
    <col min="12132" max="12132" width="15.5703125" style="1" hidden="1"/>
    <col min="12133" max="12133" width="16.28515625" style="1" hidden="1"/>
    <col min="12134" max="12134" width="17.140625" style="1" hidden="1"/>
    <col min="12135" max="12135" width="16.28515625" style="1" hidden="1"/>
    <col min="12136" max="12136" width="15.7109375" style="1" hidden="1"/>
    <col min="12137" max="12137" width="15.42578125" style="1" hidden="1"/>
    <col min="12138" max="12240" width="9.140625" style="1" hidden="1"/>
    <col min="12241" max="12241" width="19.85546875" style="1" hidden="1"/>
    <col min="12242" max="12242" width="22" style="1" hidden="1"/>
    <col min="12243" max="12243" width="18.42578125" style="1" hidden="1"/>
    <col min="12244" max="12245" width="16.42578125" style="1" hidden="1"/>
    <col min="12246" max="12246" width="18.85546875" style="1" hidden="1"/>
    <col min="12247" max="12248" width="15.5703125" style="1" hidden="1"/>
    <col min="12249" max="12249" width="11.28515625" style="1" hidden="1"/>
    <col min="12250" max="12250" width="12.7109375" style="1" hidden="1"/>
    <col min="12251" max="12255" width="14.7109375" style="1" hidden="1"/>
    <col min="12256" max="12259" width="13.85546875" style="1" hidden="1"/>
    <col min="12260" max="12260" width="14.28515625" style="1" hidden="1"/>
    <col min="12261" max="12261" width="13.85546875" style="1" hidden="1"/>
    <col min="12262" max="12274" width="13.42578125" style="1" hidden="1"/>
    <col min="12275" max="12275" width="16.85546875" style="1" hidden="1"/>
    <col min="12276" max="12276" width="12.42578125" style="1" hidden="1"/>
    <col min="12277" max="12277" width="13.5703125" style="1" hidden="1"/>
    <col min="12278" max="12281" width="12.42578125" style="1" hidden="1"/>
    <col min="12282" max="12283" width="13.140625" style="1" hidden="1"/>
    <col min="12284" max="12318" width="14.42578125" style="1" hidden="1"/>
    <col min="12319" max="12330" width="12.42578125" style="1" hidden="1"/>
    <col min="12331" max="12331" width="17.5703125" style="1" hidden="1"/>
    <col min="12332" max="12332" width="15.140625" style="1" hidden="1"/>
    <col min="12333" max="12334" width="15.42578125" style="1" hidden="1"/>
    <col min="12335" max="12336" width="15.5703125" style="1" hidden="1"/>
    <col min="12337" max="12337" width="17" style="1" hidden="1"/>
    <col min="12338" max="12338" width="15.5703125" style="1" hidden="1"/>
    <col min="12339" max="12339" width="17.7109375" style="1" hidden="1"/>
    <col min="12340" max="12340" width="18.42578125" style="1" hidden="1"/>
    <col min="12341" max="12341" width="17.5703125" style="1" hidden="1"/>
    <col min="12342" max="12343" width="16" style="1" hidden="1"/>
    <col min="12344" max="12347" width="12.42578125" style="1" hidden="1"/>
    <col min="12348" max="12348" width="17.7109375" style="1" hidden="1"/>
    <col min="12349" max="12349" width="12.42578125" style="1" hidden="1"/>
    <col min="12350" max="12350" width="13.7109375" style="1" hidden="1"/>
    <col min="12351" max="12351" width="15.5703125" style="1" hidden="1"/>
    <col min="12352" max="12355" width="13.7109375" style="1" hidden="1"/>
    <col min="12356" max="12357" width="12.42578125" style="1" hidden="1"/>
    <col min="12358" max="12358" width="14.85546875" style="1" hidden="1"/>
    <col min="12359" max="12359" width="12.42578125" style="1" hidden="1"/>
    <col min="12360" max="12361" width="13.42578125" style="1" hidden="1"/>
    <col min="12362" max="12362" width="17" style="1" hidden="1"/>
    <col min="12363" max="12364" width="12.42578125" style="1" hidden="1"/>
    <col min="12365" max="12365" width="16.42578125" style="1" hidden="1"/>
    <col min="12366" max="12366" width="12.42578125" style="1" hidden="1"/>
    <col min="12367" max="12367" width="13.42578125" style="1" hidden="1"/>
    <col min="12368" max="12368" width="12.42578125" style="1" hidden="1"/>
    <col min="12369" max="12370" width="11.7109375" style="1" hidden="1"/>
    <col min="12371" max="12371" width="11.42578125" style="1" hidden="1"/>
    <col min="12372" max="12372" width="11.7109375" style="1" hidden="1"/>
    <col min="12373" max="12373" width="11.42578125" style="1" hidden="1"/>
    <col min="12374" max="12375" width="15.42578125" style="1" hidden="1"/>
    <col min="12376" max="12376" width="16.140625" style="1" hidden="1"/>
    <col min="12377" max="12377" width="16.5703125" style="1" hidden="1"/>
    <col min="12378" max="12378" width="16.7109375" style="1" hidden="1"/>
    <col min="12379" max="12379" width="15.42578125" style="1" hidden="1"/>
    <col min="12380" max="12380" width="14.85546875" style="1" hidden="1"/>
    <col min="12381" max="12381" width="17.140625" style="1" hidden="1"/>
    <col min="12382" max="12382" width="16.7109375" style="1" hidden="1"/>
    <col min="12383" max="12383" width="16.5703125" style="1" hidden="1"/>
    <col min="12384" max="12384" width="16.28515625" style="1" hidden="1"/>
    <col min="12385" max="12385" width="14.85546875" style="1" hidden="1"/>
    <col min="12386" max="12386" width="16.140625" style="1" hidden="1"/>
    <col min="12387" max="12387" width="16" style="1" hidden="1"/>
    <col min="12388" max="12388" width="15.5703125" style="1" hidden="1"/>
    <col min="12389" max="12389" width="16.28515625" style="1" hidden="1"/>
    <col min="12390" max="12390" width="17.140625" style="1" hidden="1"/>
    <col min="12391" max="12391" width="16.28515625" style="1" hidden="1"/>
    <col min="12392" max="12392" width="15.7109375" style="1" hidden="1"/>
    <col min="12393" max="12393" width="15.42578125" style="1" hidden="1"/>
    <col min="12394" max="12496" width="9.140625" style="1" hidden="1"/>
    <col min="12497" max="12497" width="19.85546875" style="1" hidden="1"/>
    <col min="12498" max="12498" width="22" style="1" hidden="1"/>
    <col min="12499" max="12499" width="18.42578125" style="1" hidden="1"/>
    <col min="12500" max="12501" width="16.42578125" style="1" hidden="1"/>
    <col min="12502" max="12502" width="18.85546875" style="1" hidden="1"/>
    <col min="12503" max="12504" width="15.5703125" style="1" hidden="1"/>
    <col min="12505" max="12505" width="11.28515625" style="1" hidden="1"/>
    <col min="12506" max="12506" width="12.7109375" style="1" hidden="1"/>
    <col min="12507" max="12511" width="14.7109375" style="1" hidden="1"/>
    <col min="12512" max="12515" width="13.85546875" style="1" hidden="1"/>
    <col min="12516" max="12516" width="14.28515625" style="1" hidden="1"/>
    <col min="12517" max="12517" width="13.85546875" style="1" hidden="1"/>
    <col min="12518" max="12530" width="13.42578125" style="1" hidden="1"/>
    <col min="12531" max="12531" width="16.85546875" style="1" hidden="1"/>
    <col min="12532" max="12532" width="12.42578125" style="1" hidden="1"/>
    <col min="12533" max="12533" width="13.5703125" style="1" hidden="1"/>
    <col min="12534" max="12537" width="12.42578125" style="1" hidden="1"/>
    <col min="12538" max="12539" width="13.140625" style="1" hidden="1"/>
    <col min="12540" max="12574" width="14.42578125" style="1" hidden="1"/>
    <col min="12575" max="12586" width="12.42578125" style="1" hidden="1"/>
    <col min="12587" max="12587" width="17.5703125" style="1" hidden="1"/>
    <col min="12588" max="12588" width="15.140625" style="1" hidden="1"/>
    <col min="12589" max="12590" width="15.42578125" style="1" hidden="1"/>
    <col min="12591" max="12592" width="15.5703125" style="1" hidden="1"/>
    <col min="12593" max="12593" width="17" style="1" hidden="1"/>
    <col min="12594" max="12594" width="15.5703125" style="1" hidden="1"/>
    <col min="12595" max="12595" width="17.7109375" style="1" hidden="1"/>
    <col min="12596" max="12596" width="18.42578125" style="1" hidden="1"/>
    <col min="12597" max="12597" width="17.5703125" style="1" hidden="1"/>
    <col min="12598" max="12599" width="16" style="1" hidden="1"/>
    <col min="12600" max="12603" width="12.42578125" style="1" hidden="1"/>
    <col min="12604" max="12604" width="17.7109375" style="1" hidden="1"/>
    <col min="12605" max="12605" width="12.42578125" style="1" hidden="1"/>
    <col min="12606" max="12606" width="13.7109375" style="1" hidden="1"/>
    <col min="12607" max="12607" width="15.5703125" style="1" hidden="1"/>
    <col min="12608" max="12611" width="13.7109375" style="1" hidden="1"/>
    <col min="12612" max="12613" width="12.42578125" style="1" hidden="1"/>
    <col min="12614" max="12614" width="14.85546875" style="1" hidden="1"/>
    <col min="12615" max="12615" width="12.42578125" style="1" hidden="1"/>
    <col min="12616" max="12617" width="13.42578125" style="1" hidden="1"/>
    <col min="12618" max="12618" width="17" style="1" hidden="1"/>
    <col min="12619" max="12620" width="12.42578125" style="1" hidden="1"/>
    <col min="12621" max="12621" width="16.42578125" style="1" hidden="1"/>
    <col min="12622" max="12622" width="12.42578125" style="1" hidden="1"/>
    <col min="12623" max="12623" width="13.42578125" style="1" hidden="1"/>
    <col min="12624" max="12624" width="12.42578125" style="1" hidden="1"/>
    <col min="12625" max="12626" width="11.7109375" style="1" hidden="1"/>
    <col min="12627" max="12627" width="11.42578125" style="1" hidden="1"/>
    <col min="12628" max="12628" width="11.7109375" style="1" hidden="1"/>
    <col min="12629" max="12629" width="11.42578125" style="1" hidden="1"/>
    <col min="12630" max="12631" width="15.42578125" style="1" hidden="1"/>
    <col min="12632" max="12632" width="16.140625" style="1" hidden="1"/>
    <col min="12633" max="12633" width="16.5703125" style="1" hidden="1"/>
    <col min="12634" max="12634" width="16.7109375" style="1" hidden="1"/>
    <col min="12635" max="12635" width="15.42578125" style="1" hidden="1"/>
    <col min="12636" max="12636" width="14.85546875" style="1" hidden="1"/>
    <col min="12637" max="12637" width="17.140625" style="1" hidden="1"/>
    <col min="12638" max="12638" width="16.7109375" style="1" hidden="1"/>
    <col min="12639" max="12639" width="16.5703125" style="1" hidden="1"/>
    <col min="12640" max="12640" width="16.28515625" style="1" hidden="1"/>
    <col min="12641" max="12641" width="14.85546875" style="1" hidden="1"/>
    <col min="12642" max="12642" width="16.140625" style="1" hidden="1"/>
    <col min="12643" max="12643" width="16" style="1" hidden="1"/>
    <col min="12644" max="12644" width="15.5703125" style="1" hidden="1"/>
    <col min="12645" max="12645" width="16.28515625" style="1" hidden="1"/>
    <col min="12646" max="12646" width="17.140625" style="1" hidden="1"/>
    <col min="12647" max="12647" width="16.28515625" style="1" hidden="1"/>
    <col min="12648" max="12648" width="15.7109375" style="1" hidden="1"/>
    <col min="12649" max="12649" width="15.42578125" style="1" hidden="1"/>
    <col min="12650" max="12752" width="9.140625" style="1" hidden="1"/>
    <col min="12753" max="12753" width="19.85546875" style="1" hidden="1"/>
    <col min="12754" max="12754" width="22" style="1" hidden="1"/>
    <col min="12755" max="12755" width="18.42578125" style="1" hidden="1"/>
    <col min="12756" max="12757" width="16.42578125" style="1" hidden="1"/>
    <col min="12758" max="12758" width="18.85546875" style="1" hidden="1"/>
    <col min="12759" max="12760" width="15.5703125" style="1" hidden="1"/>
    <col min="12761" max="12761" width="11.28515625" style="1" hidden="1"/>
    <col min="12762" max="12762" width="12.7109375" style="1" hidden="1"/>
    <col min="12763" max="12767" width="14.7109375" style="1" hidden="1"/>
    <col min="12768" max="12771" width="13.85546875" style="1" hidden="1"/>
    <col min="12772" max="12772" width="14.28515625" style="1" hidden="1"/>
    <col min="12773" max="12773" width="13.85546875" style="1" hidden="1"/>
    <col min="12774" max="12786" width="13.42578125" style="1" hidden="1"/>
    <col min="12787" max="12787" width="16.85546875" style="1" hidden="1"/>
    <col min="12788" max="12788" width="12.42578125" style="1" hidden="1"/>
    <col min="12789" max="12789" width="13.5703125" style="1" hidden="1"/>
    <col min="12790" max="12793" width="12.42578125" style="1" hidden="1"/>
    <col min="12794" max="12795" width="13.140625" style="1" hidden="1"/>
    <col min="12796" max="12830" width="14.42578125" style="1" hidden="1"/>
    <col min="12831" max="12842" width="12.42578125" style="1" hidden="1"/>
    <col min="12843" max="12843" width="17.5703125" style="1" hidden="1"/>
    <col min="12844" max="12844" width="15.140625" style="1" hidden="1"/>
    <col min="12845" max="12846" width="15.42578125" style="1" hidden="1"/>
    <col min="12847" max="12848" width="15.5703125" style="1" hidden="1"/>
    <col min="12849" max="12849" width="17" style="1" hidden="1"/>
    <col min="12850" max="12850" width="15.5703125" style="1" hidden="1"/>
    <col min="12851" max="12851" width="17.7109375" style="1" hidden="1"/>
    <col min="12852" max="12852" width="18.42578125" style="1" hidden="1"/>
    <col min="12853" max="12853" width="17.5703125" style="1" hidden="1"/>
    <col min="12854" max="12855" width="16" style="1" hidden="1"/>
    <col min="12856" max="12859" width="12.42578125" style="1" hidden="1"/>
    <col min="12860" max="12860" width="17.7109375" style="1" hidden="1"/>
    <col min="12861" max="12861" width="12.42578125" style="1" hidden="1"/>
    <col min="12862" max="12862" width="13.7109375" style="1" hidden="1"/>
    <col min="12863" max="12863" width="15.5703125" style="1" hidden="1"/>
    <col min="12864" max="12867" width="13.7109375" style="1" hidden="1"/>
    <col min="12868" max="12869" width="12.42578125" style="1" hidden="1"/>
    <col min="12870" max="12870" width="14.85546875" style="1" hidden="1"/>
    <col min="12871" max="12871" width="12.42578125" style="1" hidden="1"/>
    <col min="12872" max="12873" width="13.42578125" style="1" hidden="1"/>
    <col min="12874" max="12874" width="17" style="1" hidden="1"/>
    <col min="12875" max="12876" width="12.42578125" style="1" hidden="1"/>
    <col min="12877" max="12877" width="16.42578125" style="1" hidden="1"/>
    <col min="12878" max="12878" width="12.42578125" style="1" hidden="1"/>
    <col min="12879" max="12879" width="13.42578125" style="1" hidden="1"/>
    <col min="12880" max="12880" width="12.42578125" style="1" hidden="1"/>
    <col min="12881" max="12882" width="11.7109375" style="1" hidden="1"/>
    <col min="12883" max="12883" width="11.42578125" style="1" hidden="1"/>
    <col min="12884" max="12884" width="11.7109375" style="1" hidden="1"/>
    <col min="12885" max="12885" width="11.42578125" style="1" hidden="1"/>
    <col min="12886" max="12887" width="15.42578125" style="1" hidden="1"/>
    <col min="12888" max="12888" width="16.140625" style="1" hidden="1"/>
    <col min="12889" max="12889" width="16.5703125" style="1" hidden="1"/>
    <col min="12890" max="12890" width="16.7109375" style="1" hidden="1"/>
    <col min="12891" max="12891" width="15.42578125" style="1" hidden="1"/>
    <col min="12892" max="12892" width="14.85546875" style="1" hidden="1"/>
    <col min="12893" max="12893" width="17.140625" style="1" hidden="1"/>
    <col min="12894" max="12894" width="16.7109375" style="1" hidden="1"/>
    <col min="12895" max="12895" width="16.5703125" style="1" hidden="1"/>
    <col min="12896" max="12896" width="16.28515625" style="1" hidden="1"/>
    <col min="12897" max="12897" width="14.85546875" style="1" hidden="1"/>
    <col min="12898" max="12898" width="16.140625" style="1" hidden="1"/>
    <col min="12899" max="12899" width="16" style="1" hidden="1"/>
    <col min="12900" max="12900" width="15.5703125" style="1" hidden="1"/>
    <col min="12901" max="12901" width="16.28515625" style="1" hidden="1"/>
    <col min="12902" max="12902" width="17.140625" style="1" hidden="1"/>
    <col min="12903" max="12903" width="16.28515625" style="1" hidden="1"/>
    <col min="12904" max="12904" width="15.7109375" style="1" hidden="1"/>
    <col min="12905" max="12905" width="15.42578125" style="1" hidden="1"/>
    <col min="12906" max="13008" width="9.140625" style="1" hidden="1"/>
    <col min="13009" max="13009" width="19.85546875" style="1" hidden="1"/>
    <col min="13010" max="13010" width="22" style="1" hidden="1"/>
    <col min="13011" max="13011" width="18.42578125" style="1" hidden="1"/>
    <col min="13012" max="13013" width="16.42578125" style="1" hidden="1"/>
    <col min="13014" max="13014" width="18.85546875" style="1" hidden="1"/>
    <col min="13015" max="13016" width="15.5703125" style="1" hidden="1"/>
    <col min="13017" max="13017" width="11.28515625" style="1" hidden="1"/>
    <col min="13018" max="13018" width="12.7109375" style="1" hidden="1"/>
    <col min="13019" max="13023" width="14.7109375" style="1" hidden="1"/>
    <col min="13024" max="13027" width="13.85546875" style="1" hidden="1"/>
    <col min="13028" max="13028" width="14.28515625" style="1" hidden="1"/>
    <col min="13029" max="13029" width="13.85546875" style="1" hidden="1"/>
    <col min="13030" max="13042" width="13.42578125" style="1" hidden="1"/>
    <col min="13043" max="13043" width="16.85546875" style="1" hidden="1"/>
    <col min="13044" max="13044" width="12.42578125" style="1" hidden="1"/>
    <col min="13045" max="13045" width="13.5703125" style="1" hidden="1"/>
    <col min="13046" max="13049" width="12.42578125" style="1" hidden="1"/>
    <col min="13050" max="13051" width="13.140625" style="1" hidden="1"/>
    <col min="13052" max="13086" width="14.42578125" style="1" hidden="1"/>
    <col min="13087" max="13098" width="12.42578125" style="1" hidden="1"/>
    <col min="13099" max="13099" width="17.5703125" style="1" hidden="1"/>
    <col min="13100" max="13100" width="15.140625" style="1" hidden="1"/>
    <col min="13101" max="13102" width="15.42578125" style="1" hidden="1"/>
    <col min="13103" max="13104" width="15.5703125" style="1" hidden="1"/>
    <col min="13105" max="13105" width="17" style="1" hidden="1"/>
    <col min="13106" max="13106" width="15.5703125" style="1" hidden="1"/>
    <col min="13107" max="13107" width="17.7109375" style="1" hidden="1"/>
    <col min="13108" max="13108" width="18.42578125" style="1" hidden="1"/>
    <col min="13109" max="13109" width="17.5703125" style="1" hidden="1"/>
    <col min="13110" max="13111" width="16" style="1" hidden="1"/>
    <col min="13112" max="13115" width="12.42578125" style="1" hidden="1"/>
    <col min="13116" max="13116" width="17.7109375" style="1" hidden="1"/>
    <col min="13117" max="13117" width="12.42578125" style="1" hidden="1"/>
    <col min="13118" max="13118" width="13.7109375" style="1" hidden="1"/>
    <col min="13119" max="13119" width="15.5703125" style="1" hidden="1"/>
    <col min="13120" max="13123" width="13.7109375" style="1" hidden="1"/>
    <col min="13124" max="13125" width="12.42578125" style="1" hidden="1"/>
    <col min="13126" max="13126" width="14.85546875" style="1" hidden="1"/>
    <col min="13127" max="13127" width="12.42578125" style="1" hidden="1"/>
    <col min="13128" max="13129" width="13.42578125" style="1" hidden="1"/>
    <col min="13130" max="13130" width="17" style="1" hidden="1"/>
    <col min="13131" max="13132" width="12.42578125" style="1" hidden="1"/>
    <col min="13133" max="13133" width="16.42578125" style="1" hidden="1"/>
    <col min="13134" max="13134" width="12.42578125" style="1" hidden="1"/>
    <col min="13135" max="13135" width="13.42578125" style="1" hidden="1"/>
    <col min="13136" max="13136" width="12.42578125" style="1" hidden="1"/>
    <col min="13137" max="13138" width="11.7109375" style="1" hidden="1"/>
    <col min="13139" max="13139" width="11.42578125" style="1" hidden="1"/>
    <col min="13140" max="13140" width="11.7109375" style="1" hidden="1"/>
    <col min="13141" max="13141" width="11.42578125" style="1" hidden="1"/>
    <col min="13142" max="13143" width="15.42578125" style="1" hidden="1"/>
    <col min="13144" max="13144" width="16.140625" style="1" hidden="1"/>
    <col min="13145" max="13145" width="16.5703125" style="1" hidden="1"/>
    <col min="13146" max="13146" width="16.7109375" style="1" hidden="1"/>
    <col min="13147" max="13147" width="15.42578125" style="1" hidden="1"/>
    <col min="13148" max="13148" width="14.85546875" style="1" hidden="1"/>
    <col min="13149" max="13149" width="17.140625" style="1" hidden="1"/>
    <col min="13150" max="13150" width="16.7109375" style="1" hidden="1"/>
    <col min="13151" max="13151" width="16.5703125" style="1" hidden="1"/>
    <col min="13152" max="13152" width="16.28515625" style="1" hidden="1"/>
    <col min="13153" max="13153" width="14.85546875" style="1" hidden="1"/>
    <col min="13154" max="13154" width="16.140625" style="1" hidden="1"/>
    <col min="13155" max="13155" width="16" style="1" hidden="1"/>
    <col min="13156" max="13156" width="15.5703125" style="1" hidden="1"/>
    <col min="13157" max="13157" width="16.28515625" style="1" hidden="1"/>
    <col min="13158" max="13158" width="17.140625" style="1" hidden="1"/>
    <col min="13159" max="13159" width="16.28515625" style="1" hidden="1"/>
    <col min="13160" max="13160" width="15.7109375" style="1" hidden="1"/>
    <col min="13161" max="13161" width="15.42578125" style="1" hidden="1"/>
    <col min="13162" max="13264" width="9.140625" style="1" hidden="1"/>
    <col min="13265" max="13265" width="19.85546875" style="1" hidden="1"/>
    <col min="13266" max="13266" width="22" style="1" hidden="1"/>
    <col min="13267" max="13267" width="18.42578125" style="1" hidden="1"/>
    <col min="13268" max="13269" width="16.42578125" style="1" hidden="1"/>
    <col min="13270" max="13270" width="18.85546875" style="1" hidden="1"/>
    <col min="13271" max="13272" width="15.5703125" style="1" hidden="1"/>
    <col min="13273" max="13273" width="11.28515625" style="1" hidden="1"/>
    <col min="13274" max="13274" width="12.7109375" style="1" hidden="1"/>
    <col min="13275" max="13279" width="14.7109375" style="1" hidden="1"/>
    <col min="13280" max="13283" width="13.85546875" style="1" hidden="1"/>
    <col min="13284" max="13284" width="14.28515625" style="1" hidden="1"/>
    <col min="13285" max="13285" width="13.85546875" style="1" hidden="1"/>
    <col min="13286" max="13298" width="13.42578125" style="1" hidden="1"/>
    <col min="13299" max="13299" width="16.85546875" style="1" hidden="1"/>
    <col min="13300" max="13300" width="12.42578125" style="1" hidden="1"/>
    <col min="13301" max="13301" width="13.5703125" style="1" hidden="1"/>
    <col min="13302" max="13305" width="12.42578125" style="1" hidden="1"/>
    <col min="13306" max="13307" width="13.140625" style="1" hidden="1"/>
    <col min="13308" max="13342" width="14.42578125" style="1" hidden="1"/>
    <col min="13343" max="13354" width="12.42578125" style="1" hidden="1"/>
    <col min="13355" max="13355" width="17.5703125" style="1" hidden="1"/>
    <col min="13356" max="13356" width="15.140625" style="1" hidden="1"/>
    <col min="13357" max="13358" width="15.42578125" style="1" hidden="1"/>
    <col min="13359" max="13360" width="15.5703125" style="1" hidden="1"/>
    <col min="13361" max="13361" width="17" style="1" hidden="1"/>
    <col min="13362" max="13362" width="15.5703125" style="1" hidden="1"/>
    <col min="13363" max="13363" width="17.7109375" style="1" hidden="1"/>
    <col min="13364" max="13364" width="18.42578125" style="1" hidden="1"/>
    <col min="13365" max="13365" width="17.5703125" style="1" hidden="1"/>
    <col min="13366" max="13367" width="16" style="1" hidden="1"/>
    <col min="13368" max="13371" width="12.42578125" style="1" hidden="1"/>
    <col min="13372" max="13372" width="17.7109375" style="1" hidden="1"/>
    <col min="13373" max="13373" width="12.42578125" style="1" hidden="1"/>
    <col min="13374" max="13374" width="13.7109375" style="1" hidden="1"/>
    <col min="13375" max="13375" width="15.5703125" style="1" hidden="1"/>
    <col min="13376" max="13379" width="13.7109375" style="1" hidden="1"/>
    <col min="13380" max="13381" width="12.42578125" style="1" hidden="1"/>
    <col min="13382" max="13382" width="14.85546875" style="1" hidden="1"/>
    <col min="13383" max="13383" width="12.42578125" style="1" hidden="1"/>
    <col min="13384" max="13385" width="13.42578125" style="1" hidden="1"/>
    <col min="13386" max="13386" width="17" style="1" hidden="1"/>
    <col min="13387" max="13388" width="12.42578125" style="1" hidden="1"/>
    <col min="13389" max="13389" width="16.42578125" style="1" hidden="1"/>
    <col min="13390" max="13390" width="12.42578125" style="1" hidden="1"/>
    <col min="13391" max="13391" width="13.42578125" style="1" hidden="1"/>
    <col min="13392" max="13392" width="12.42578125" style="1" hidden="1"/>
    <col min="13393" max="13394" width="11.7109375" style="1" hidden="1"/>
    <col min="13395" max="13395" width="11.42578125" style="1" hidden="1"/>
    <col min="13396" max="13396" width="11.7109375" style="1" hidden="1"/>
    <col min="13397" max="13397" width="11.42578125" style="1" hidden="1"/>
    <col min="13398" max="13399" width="15.42578125" style="1" hidden="1"/>
    <col min="13400" max="13400" width="16.140625" style="1" hidden="1"/>
    <col min="13401" max="13401" width="16.5703125" style="1" hidden="1"/>
    <col min="13402" max="13402" width="16.7109375" style="1" hidden="1"/>
    <col min="13403" max="13403" width="15.42578125" style="1" hidden="1"/>
    <col min="13404" max="13404" width="14.85546875" style="1" hidden="1"/>
    <col min="13405" max="13405" width="17.140625" style="1" hidden="1"/>
    <col min="13406" max="13406" width="16.7109375" style="1" hidden="1"/>
    <col min="13407" max="13407" width="16.5703125" style="1" hidden="1"/>
    <col min="13408" max="13408" width="16.28515625" style="1" hidden="1"/>
    <col min="13409" max="13409" width="14.85546875" style="1" hidden="1"/>
    <col min="13410" max="13410" width="16.140625" style="1" hidden="1"/>
    <col min="13411" max="13411" width="16" style="1" hidden="1"/>
    <col min="13412" max="13412" width="15.5703125" style="1" hidden="1"/>
    <col min="13413" max="13413" width="16.28515625" style="1" hidden="1"/>
    <col min="13414" max="13414" width="17.140625" style="1" hidden="1"/>
    <col min="13415" max="13415" width="16.28515625" style="1" hidden="1"/>
    <col min="13416" max="13416" width="15.7109375" style="1" hidden="1"/>
    <col min="13417" max="13417" width="15.42578125" style="1" hidden="1"/>
    <col min="13418" max="13520" width="9.140625" style="1" hidden="1"/>
    <col min="13521" max="13521" width="19.85546875" style="1" hidden="1"/>
    <col min="13522" max="13522" width="22" style="1" hidden="1"/>
    <col min="13523" max="13523" width="18.42578125" style="1" hidden="1"/>
    <col min="13524" max="13525" width="16.42578125" style="1" hidden="1"/>
    <col min="13526" max="13526" width="18.85546875" style="1" hidden="1"/>
    <col min="13527" max="13528" width="15.5703125" style="1" hidden="1"/>
    <col min="13529" max="13529" width="11.28515625" style="1" hidden="1"/>
    <col min="13530" max="13530" width="12.7109375" style="1" hidden="1"/>
    <col min="13531" max="13535" width="14.7109375" style="1" hidden="1"/>
    <col min="13536" max="13539" width="13.85546875" style="1" hidden="1"/>
    <col min="13540" max="13540" width="14.28515625" style="1" hidden="1"/>
    <col min="13541" max="13541" width="13.85546875" style="1" hidden="1"/>
    <col min="13542" max="13554" width="13.42578125" style="1" hidden="1"/>
    <col min="13555" max="13555" width="16.85546875" style="1" hidden="1"/>
    <col min="13556" max="13556" width="12.42578125" style="1" hidden="1"/>
    <col min="13557" max="13557" width="13.5703125" style="1" hidden="1"/>
    <col min="13558" max="13561" width="12.42578125" style="1" hidden="1"/>
    <col min="13562" max="13563" width="13.140625" style="1" hidden="1"/>
    <col min="13564" max="13598" width="14.42578125" style="1" hidden="1"/>
    <col min="13599" max="13610" width="12.42578125" style="1" hidden="1"/>
    <col min="13611" max="13611" width="17.5703125" style="1" hidden="1"/>
    <col min="13612" max="13612" width="15.140625" style="1" hidden="1"/>
    <col min="13613" max="13614" width="15.42578125" style="1" hidden="1"/>
    <col min="13615" max="13616" width="15.5703125" style="1" hidden="1"/>
    <col min="13617" max="13617" width="17" style="1" hidden="1"/>
    <col min="13618" max="13618" width="15.5703125" style="1" hidden="1"/>
    <col min="13619" max="13619" width="17.7109375" style="1" hidden="1"/>
    <col min="13620" max="13620" width="18.42578125" style="1" hidden="1"/>
    <col min="13621" max="13621" width="17.5703125" style="1" hidden="1"/>
    <col min="13622" max="13623" width="16" style="1" hidden="1"/>
    <col min="13624" max="13627" width="12.42578125" style="1" hidden="1"/>
    <col min="13628" max="13628" width="17.7109375" style="1" hidden="1"/>
    <col min="13629" max="13629" width="12.42578125" style="1" hidden="1"/>
    <col min="13630" max="13630" width="13.7109375" style="1" hidden="1"/>
    <col min="13631" max="13631" width="15.5703125" style="1" hidden="1"/>
    <col min="13632" max="13635" width="13.7109375" style="1" hidden="1"/>
    <col min="13636" max="13637" width="12.42578125" style="1" hidden="1"/>
    <col min="13638" max="13638" width="14.85546875" style="1" hidden="1"/>
    <col min="13639" max="13639" width="12.42578125" style="1" hidden="1"/>
    <col min="13640" max="13641" width="13.42578125" style="1" hidden="1"/>
    <col min="13642" max="13642" width="17" style="1" hidden="1"/>
    <col min="13643" max="13644" width="12.42578125" style="1" hidden="1"/>
    <col min="13645" max="13645" width="16.42578125" style="1" hidden="1"/>
    <col min="13646" max="13646" width="12.42578125" style="1" hidden="1"/>
    <col min="13647" max="13647" width="13.42578125" style="1" hidden="1"/>
    <col min="13648" max="13648" width="12.42578125" style="1" hidden="1"/>
    <col min="13649" max="13650" width="11.7109375" style="1" hidden="1"/>
    <col min="13651" max="13651" width="11.42578125" style="1" hidden="1"/>
    <col min="13652" max="13652" width="11.7109375" style="1" hidden="1"/>
    <col min="13653" max="13653" width="11.42578125" style="1" hidden="1"/>
    <col min="13654" max="13655" width="15.42578125" style="1" hidden="1"/>
    <col min="13656" max="13656" width="16.140625" style="1" hidden="1"/>
    <col min="13657" max="13657" width="16.5703125" style="1" hidden="1"/>
    <col min="13658" max="13658" width="16.7109375" style="1" hidden="1"/>
    <col min="13659" max="13659" width="15.42578125" style="1" hidden="1"/>
    <col min="13660" max="13660" width="14.85546875" style="1" hidden="1"/>
    <col min="13661" max="13661" width="17.140625" style="1" hidden="1"/>
    <col min="13662" max="13662" width="16.7109375" style="1" hidden="1"/>
    <col min="13663" max="13663" width="16.5703125" style="1" hidden="1"/>
    <col min="13664" max="13664" width="16.28515625" style="1" hidden="1"/>
    <col min="13665" max="13665" width="14.85546875" style="1" hidden="1"/>
    <col min="13666" max="13666" width="16.140625" style="1" hidden="1"/>
    <col min="13667" max="13667" width="16" style="1" hidden="1"/>
    <col min="13668" max="13668" width="15.5703125" style="1" hidden="1"/>
    <col min="13669" max="13669" width="16.28515625" style="1" hidden="1"/>
    <col min="13670" max="13670" width="17.140625" style="1" hidden="1"/>
    <col min="13671" max="13671" width="16.28515625" style="1" hidden="1"/>
    <col min="13672" max="13672" width="15.7109375" style="1" hidden="1"/>
    <col min="13673" max="13673" width="15.42578125" style="1" hidden="1"/>
    <col min="13674" max="13776" width="9.140625" style="1" hidden="1"/>
    <col min="13777" max="13777" width="19.85546875" style="1" hidden="1"/>
    <col min="13778" max="13778" width="22" style="1" hidden="1"/>
    <col min="13779" max="13779" width="18.42578125" style="1" hidden="1"/>
    <col min="13780" max="13781" width="16.42578125" style="1" hidden="1"/>
    <col min="13782" max="13782" width="18.85546875" style="1" hidden="1"/>
    <col min="13783" max="13784" width="15.5703125" style="1" hidden="1"/>
    <col min="13785" max="13785" width="11.28515625" style="1" hidden="1"/>
    <col min="13786" max="13786" width="12.7109375" style="1" hidden="1"/>
    <col min="13787" max="13791" width="14.7109375" style="1" hidden="1"/>
    <col min="13792" max="13795" width="13.85546875" style="1" hidden="1"/>
    <col min="13796" max="13796" width="14.28515625" style="1" hidden="1"/>
    <col min="13797" max="13797" width="13.85546875" style="1" hidden="1"/>
    <col min="13798" max="13810" width="13.42578125" style="1" hidden="1"/>
    <col min="13811" max="13811" width="16.85546875" style="1" hidden="1"/>
    <col min="13812" max="13812" width="12.42578125" style="1" hidden="1"/>
    <col min="13813" max="13813" width="13.5703125" style="1" hidden="1"/>
    <col min="13814" max="13817" width="12.42578125" style="1" hidden="1"/>
    <col min="13818" max="13819" width="13.140625" style="1" hidden="1"/>
    <col min="13820" max="13854" width="14.42578125" style="1" hidden="1"/>
    <col min="13855" max="13866" width="12.42578125" style="1" hidden="1"/>
    <col min="13867" max="13867" width="17.5703125" style="1" hidden="1"/>
    <col min="13868" max="13868" width="15.140625" style="1" hidden="1"/>
    <col min="13869" max="13870" width="15.42578125" style="1" hidden="1"/>
    <col min="13871" max="13872" width="15.5703125" style="1" hidden="1"/>
    <col min="13873" max="13873" width="17" style="1" hidden="1"/>
    <col min="13874" max="13874" width="15.5703125" style="1" hidden="1"/>
    <col min="13875" max="13875" width="17.7109375" style="1" hidden="1"/>
    <col min="13876" max="13876" width="18.42578125" style="1" hidden="1"/>
    <col min="13877" max="13877" width="17.5703125" style="1" hidden="1"/>
    <col min="13878" max="13879" width="16" style="1" hidden="1"/>
    <col min="13880" max="13883" width="12.42578125" style="1" hidden="1"/>
    <col min="13884" max="13884" width="17.7109375" style="1" hidden="1"/>
    <col min="13885" max="13885" width="12.42578125" style="1" hidden="1"/>
    <col min="13886" max="13886" width="13.7109375" style="1" hidden="1"/>
    <col min="13887" max="13887" width="15.5703125" style="1" hidden="1"/>
    <col min="13888" max="13891" width="13.7109375" style="1" hidden="1"/>
    <col min="13892" max="13893" width="12.42578125" style="1" hidden="1"/>
    <col min="13894" max="13894" width="14.85546875" style="1" hidden="1"/>
    <col min="13895" max="13895" width="12.42578125" style="1" hidden="1"/>
    <col min="13896" max="13897" width="13.42578125" style="1" hidden="1"/>
    <col min="13898" max="13898" width="17" style="1" hidden="1"/>
    <col min="13899" max="13900" width="12.42578125" style="1" hidden="1"/>
    <col min="13901" max="13901" width="16.42578125" style="1" hidden="1"/>
    <col min="13902" max="13902" width="12.42578125" style="1" hidden="1"/>
    <col min="13903" max="13903" width="13.42578125" style="1" hidden="1"/>
    <col min="13904" max="13904" width="12.42578125" style="1" hidden="1"/>
    <col min="13905" max="13906" width="11.7109375" style="1" hidden="1"/>
    <col min="13907" max="13907" width="11.42578125" style="1" hidden="1"/>
    <col min="13908" max="13908" width="11.7109375" style="1" hidden="1"/>
    <col min="13909" max="13909" width="11.42578125" style="1" hidden="1"/>
    <col min="13910" max="13911" width="15.42578125" style="1" hidden="1"/>
    <col min="13912" max="13912" width="16.140625" style="1" hidden="1"/>
    <col min="13913" max="13913" width="16.5703125" style="1" hidden="1"/>
    <col min="13914" max="13914" width="16.7109375" style="1" hidden="1"/>
    <col min="13915" max="13915" width="15.42578125" style="1" hidden="1"/>
    <col min="13916" max="13916" width="14.85546875" style="1" hidden="1"/>
    <col min="13917" max="13917" width="17.140625" style="1" hidden="1"/>
    <col min="13918" max="13918" width="16.7109375" style="1" hidden="1"/>
    <col min="13919" max="13919" width="16.5703125" style="1" hidden="1"/>
    <col min="13920" max="13920" width="16.28515625" style="1" hidden="1"/>
    <col min="13921" max="13921" width="14.85546875" style="1" hidden="1"/>
    <col min="13922" max="13922" width="16.140625" style="1" hidden="1"/>
    <col min="13923" max="13923" width="16" style="1" hidden="1"/>
    <col min="13924" max="13924" width="15.5703125" style="1" hidden="1"/>
    <col min="13925" max="13925" width="16.28515625" style="1" hidden="1"/>
    <col min="13926" max="13926" width="17.140625" style="1" hidden="1"/>
    <col min="13927" max="13927" width="16.28515625" style="1" hidden="1"/>
    <col min="13928" max="13928" width="15.7109375" style="1" hidden="1"/>
    <col min="13929" max="13929" width="15.42578125" style="1" hidden="1"/>
    <col min="13930" max="14032" width="9.140625" style="1" hidden="1"/>
    <col min="14033" max="14033" width="19.85546875" style="1" hidden="1"/>
    <col min="14034" max="14034" width="22" style="1" hidden="1"/>
    <col min="14035" max="14035" width="18.42578125" style="1" hidden="1"/>
    <col min="14036" max="14037" width="16.42578125" style="1" hidden="1"/>
    <col min="14038" max="14038" width="18.85546875" style="1" hidden="1"/>
    <col min="14039" max="14040" width="15.5703125" style="1" hidden="1"/>
    <col min="14041" max="14041" width="11.28515625" style="1" hidden="1"/>
    <col min="14042" max="14042" width="12.7109375" style="1" hidden="1"/>
    <col min="14043" max="14047" width="14.7109375" style="1" hidden="1"/>
    <col min="14048" max="14051" width="13.85546875" style="1" hidden="1"/>
    <col min="14052" max="14052" width="14.28515625" style="1" hidden="1"/>
    <col min="14053" max="14053" width="13.85546875" style="1" hidden="1"/>
    <col min="14054" max="14066" width="13.42578125" style="1" hidden="1"/>
    <col min="14067" max="14067" width="16.85546875" style="1" hidden="1"/>
    <col min="14068" max="14068" width="12.42578125" style="1" hidden="1"/>
    <col min="14069" max="14069" width="13.5703125" style="1" hidden="1"/>
    <col min="14070" max="14073" width="12.42578125" style="1" hidden="1"/>
    <col min="14074" max="14075" width="13.140625" style="1" hidden="1"/>
    <col min="14076" max="14110" width="14.42578125" style="1" hidden="1"/>
    <col min="14111" max="14122" width="12.42578125" style="1" hidden="1"/>
    <col min="14123" max="14123" width="17.5703125" style="1" hidden="1"/>
    <col min="14124" max="14124" width="15.140625" style="1" hidden="1"/>
    <col min="14125" max="14126" width="15.42578125" style="1" hidden="1"/>
    <col min="14127" max="14128" width="15.5703125" style="1" hidden="1"/>
    <col min="14129" max="14129" width="17" style="1" hidden="1"/>
    <col min="14130" max="14130" width="15.5703125" style="1" hidden="1"/>
    <col min="14131" max="14131" width="17.7109375" style="1" hidden="1"/>
    <col min="14132" max="14132" width="18.42578125" style="1" hidden="1"/>
    <col min="14133" max="14133" width="17.5703125" style="1" hidden="1"/>
    <col min="14134" max="14135" width="16" style="1" hidden="1"/>
    <col min="14136" max="14139" width="12.42578125" style="1" hidden="1"/>
    <col min="14140" max="14140" width="17.7109375" style="1" hidden="1"/>
    <col min="14141" max="14141" width="12.42578125" style="1" hidden="1"/>
    <col min="14142" max="14142" width="13.7109375" style="1" hidden="1"/>
    <col min="14143" max="14143" width="15.5703125" style="1" hidden="1"/>
    <col min="14144" max="14147" width="13.7109375" style="1" hidden="1"/>
    <col min="14148" max="14149" width="12.42578125" style="1" hidden="1"/>
    <col min="14150" max="14150" width="14.85546875" style="1" hidden="1"/>
    <col min="14151" max="14151" width="12.42578125" style="1" hidden="1"/>
    <col min="14152" max="14153" width="13.42578125" style="1" hidden="1"/>
    <col min="14154" max="14154" width="17" style="1" hidden="1"/>
    <col min="14155" max="14156" width="12.42578125" style="1" hidden="1"/>
    <col min="14157" max="14157" width="16.42578125" style="1" hidden="1"/>
    <col min="14158" max="14158" width="12.42578125" style="1" hidden="1"/>
    <col min="14159" max="14159" width="13.42578125" style="1" hidden="1"/>
    <col min="14160" max="14160" width="12.42578125" style="1" hidden="1"/>
    <col min="14161" max="14162" width="11.7109375" style="1" hidden="1"/>
    <col min="14163" max="14163" width="11.42578125" style="1" hidden="1"/>
    <col min="14164" max="14164" width="11.7109375" style="1" hidden="1"/>
    <col min="14165" max="14165" width="11.42578125" style="1" hidden="1"/>
    <col min="14166" max="14167" width="15.42578125" style="1" hidden="1"/>
    <col min="14168" max="14168" width="16.140625" style="1" hidden="1"/>
    <col min="14169" max="14169" width="16.5703125" style="1" hidden="1"/>
    <col min="14170" max="14170" width="16.7109375" style="1" hidden="1"/>
    <col min="14171" max="14171" width="15.42578125" style="1" hidden="1"/>
    <col min="14172" max="14172" width="14.85546875" style="1" hidden="1"/>
    <col min="14173" max="14173" width="17.140625" style="1" hidden="1"/>
    <col min="14174" max="14174" width="16.7109375" style="1" hidden="1"/>
    <col min="14175" max="14175" width="16.5703125" style="1" hidden="1"/>
    <col min="14176" max="14176" width="16.28515625" style="1" hidden="1"/>
    <col min="14177" max="14177" width="14.85546875" style="1" hidden="1"/>
    <col min="14178" max="14178" width="16.140625" style="1" hidden="1"/>
    <col min="14179" max="14179" width="16" style="1" hidden="1"/>
    <col min="14180" max="14180" width="15.5703125" style="1" hidden="1"/>
    <col min="14181" max="14181" width="16.28515625" style="1" hidden="1"/>
    <col min="14182" max="14182" width="17.140625" style="1" hidden="1"/>
    <col min="14183" max="14183" width="16.28515625" style="1" hidden="1"/>
    <col min="14184" max="14184" width="15.7109375" style="1" hidden="1"/>
    <col min="14185" max="14185" width="15.42578125" style="1" hidden="1"/>
    <col min="14186" max="14288" width="9.140625" style="1" hidden="1"/>
    <col min="14289" max="14289" width="19.85546875" style="1" hidden="1"/>
    <col min="14290" max="14290" width="22" style="1" hidden="1"/>
    <col min="14291" max="14291" width="18.42578125" style="1" hidden="1"/>
    <col min="14292" max="14293" width="16.42578125" style="1" hidden="1"/>
    <col min="14294" max="14294" width="18.85546875" style="1" hidden="1"/>
    <col min="14295" max="14296" width="15.5703125" style="1" hidden="1"/>
    <col min="14297" max="14297" width="11.28515625" style="1" hidden="1"/>
    <col min="14298" max="14298" width="12.7109375" style="1" hidden="1"/>
    <col min="14299" max="14303" width="14.7109375" style="1" hidden="1"/>
    <col min="14304" max="14307" width="13.85546875" style="1" hidden="1"/>
    <col min="14308" max="14308" width="14.28515625" style="1" hidden="1"/>
    <col min="14309" max="14309" width="13.85546875" style="1" hidden="1"/>
    <col min="14310" max="14322" width="13.42578125" style="1" hidden="1"/>
    <col min="14323" max="14323" width="16.85546875" style="1" hidden="1"/>
    <col min="14324" max="14324" width="12.42578125" style="1" hidden="1"/>
    <col min="14325" max="14325" width="13.5703125" style="1" hidden="1"/>
    <col min="14326" max="14329" width="12.42578125" style="1" hidden="1"/>
    <col min="14330" max="14331" width="13.140625" style="1" hidden="1"/>
    <col min="14332" max="14366" width="14.42578125" style="1" hidden="1"/>
    <col min="14367" max="14378" width="12.42578125" style="1" hidden="1"/>
    <col min="14379" max="14379" width="17.5703125" style="1" hidden="1"/>
    <col min="14380" max="14380" width="15.140625" style="1" hidden="1"/>
    <col min="14381" max="14382" width="15.42578125" style="1" hidden="1"/>
    <col min="14383" max="14384" width="15.5703125" style="1" hidden="1"/>
    <col min="14385" max="14385" width="17" style="1" hidden="1"/>
    <col min="14386" max="14386" width="15.5703125" style="1" hidden="1"/>
    <col min="14387" max="14387" width="17.7109375" style="1" hidden="1"/>
    <col min="14388" max="14388" width="18.42578125" style="1" hidden="1"/>
    <col min="14389" max="14389" width="17.5703125" style="1" hidden="1"/>
    <col min="14390" max="14391" width="16" style="1" hidden="1"/>
    <col min="14392" max="14395" width="12.42578125" style="1" hidden="1"/>
    <col min="14396" max="14396" width="17.7109375" style="1" hidden="1"/>
    <col min="14397" max="14397" width="12.42578125" style="1" hidden="1"/>
    <col min="14398" max="14398" width="13.7109375" style="1" hidden="1"/>
    <col min="14399" max="14399" width="15.5703125" style="1" hidden="1"/>
    <col min="14400" max="14403" width="13.7109375" style="1" hidden="1"/>
    <col min="14404" max="14405" width="12.42578125" style="1" hidden="1"/>
    <col min="14406" max="14406" width="14.85546875" style="1" hidden="1"/>
    <col min="14407" max="14407" width="12.42578125" style="1" hidden="1"/>
    <col min="14408" max="14409" width="13.42578125" style="1" hidden="1"/>
    <col min="14410" max="14410" width="17" style="1" hidden="1"/>
    <col min="14411" max="14412" width="12.42578125" style="1" hidden="1"/>
    <col min="14413" max="14413" width="16.42578125" style="1" hidden="1"/>
    <col min="14414" max="14414" width="12.42578125" style="1" hidden="1"/>
    <col min="14415" max="14415" width="13.42578125" style="1" hidden="1"/>
    <col min="14416" max="14416" width="12.42578125" style="1" hidden="1"/>
    <col min="14417" max="14418" width="11.7109375" style="1" hidden="1"/>
    <col min="14419" max="14419" width="11.42578125" style="1" hidden="1"/>
    <col min="14420" max="14420" width="11.7109375" style="1" hidden="1"/>
    <col min="14421" max="14421" width="11.42578125" style="1" hidden="1"/>
    <col min="14422" max="14423" width="15.42578125" style="1" hidden="1"/>
    <col min="14424" max="14424" width="16.140625" style="1" hidden="1"/>
    <col min="14425" max="14425" width="16.5703125" style="1" hidden="1"/>
    <col min="14426" max="14426" width="16.7109375" style="1" hidden="1"/>
    <col min="14427" max="14427" width="15.42578125" style="1" hidden="1"/>
    <col min="14428" max="14428" width="14.85546875" style="1" hidden="1"/>
    <col min="14429" max="14429" width="17.140625" style="1" hidden="1"/>
    <col min="14430" max="14430" width="16.7109375" style="1" hidden="1"/>
    <col min="14431" max="14431" width="16.5703125" style="1" hidden="1"/>
    <col min="14432" max="14432" width="16.28515625" style="1" hidden="1"/>
    <col min="14433" max="14433" width="14.85546875" style="1" hidden="1"/>
    <col min="14434" max="14434" width="16.140625" style="1" hidden="1"/>
    <col min="14435" max="14435" width="16" style="1" hidden="1"/>
    <col min="14436" max="14436" width="15.5703125" style="1" hidden="1"/>
    <col min="14437" max="14437" width="16.28515625" style="1" hidden="1"/>
    <col min="14438" max="14438" width="17.140625" style="1" hidden="1"/>
    <col min="14439" max="14439" width="16.28515625" style="1" hidden="1"/>
    <col min="14440" max="14440" width="15.7109375" style="1" hidden="1"/>
    <col min="14441" max="14441" width="15.42578125" style="1" hidden="1"/>
    <col min="14442" max="14544" width="9.140625" style="1" hidden="1"/>
    <col min="14545" max="14545" width="19.85546875" style="1" hidden="1"/>
    <col min="14546" max="14546" width="22" style="1" hidden="1"/>
    <col min="14547" max="14547" width="18.42578125" style="1" hidden="1"/>
    <col min="14548" max="14549" width="16.42578125" style="1" hidden="1"/>
    <col min="14550" max="14550" width="18.85546875" style="1" hidden="1"/>
    <col min="14551" max="14552" width="15.5703125" style="1" hidden="1"/>
    <col min="14553" max="14553" width="11.28515625" style="1" hidden="1"/>
    <col min="14554" max="14554" width="12.7109375" style="1" hidden="1"/>
    <col min="14555" max="14559" width="14.7109375" style="1" hidden="1"/>
    <col min="14560" max="14563" width="13.85546875" style="1" hidden="1"/>
    <col min="14564" max="14564" width="14.28515625" style="1" hidden="1"/>
    <col min="14565" max="14565" width="13.85546875" style="1" hidden="1"/>
    <col min="14566" max="14578" width="13.42578125" style="1" hidden="1"/>
    <col min="14579" max="14579" width="16.85546875" style="1" hidden="1"/>
    <col min="14580" max="14580" width="12.42578125" style="1" hidden="1"/>
    <col min="14581" max="14581" width="13.5703125" style="1" hidden="1"/>
    <col min="14582" max="14585" width="12.42578125" style="1" hidden="1"/>
    <col min="14586" max="14587" width="13.140625" style="1" hidden="1"/>
    <col min="14588" max="14622" width="14.42578125" style="1" hidden="1"/>
    <col min="14623" max="14634" width="12.42578125" style="1" hidden="1"/>
    <col min="14635" max="14635" width="17.5703125" style="1" hidden="1"/>
    <col min="14636" max="14636" width="15.140625" style="1" hidden="1"/>
    <col min="14637" max="14638" width="15.42578125" style="1" hidden="1"/>
    <col min="14639" max="14640" width="15.5703125" style="1" hidden="1"/>
    <col min="14641" max="14641" width="17" style="1" hidden="1"/>
    <col min="14642" max="14642" width="15.5703125" style="1" hidden="1"/>
    <col min="14643" max="14643" width="17.7109375" style="1" hidden="1"/>
    <col min="14644" max="14644" width="18.42578125" style="1" hidden="1"/>
    <col min="14645" max="14645" width="17.5703125" style="1" hidden="1"/>
    <col min="14646" max="14647" width="16" style="1" hidden="1"/>
    <col min="14648" max="14651" width="12.42578125" style="1" hidden="1"/>
    <col min="14652" max="14652" width="17.7109375" style="1" hidden="1"/>
    <col min="14653" max="14653" width="12.42578125" style="1" hidden="1"/>
    <col min="14654" max="14654" width="13.7109375" style="1" hidden="1"/>
    <col min="14655" max="14655" width="15.5703125" style="1" hidden="1"/>
    <col min="14656" max="14659" width="13.7109375" style="1" hidden="1"/>
    <col min="14660" max="14661" width="12.42578125" style="1" hidden="1"/>
    <col min="14662" max="14662" width="14.85546875" style="1" hidden="1"/>
    <col min="14663" max="14663" width="12.42578125" style="1" hidden="1"/>
    <col min="14664" max="14665" width="13.42578125" style="1" hidden="1"/>
    <col min="14666" max="14666" width="17" style="1" hidden="1"/>
    <col min="14667" max="14668" width="12.42578125" style="1" hidden="1"/>
    <col min="14669" max="14669" width="16.42578125" style="1" hidden="1"/>
    <col min="14670" max="14670" width="12.42578125" style="1" hidden="1"/>
    <col min="14671" max="14671" width="13.42578125" style="1" hidden="1"/>
    <col min="14672" max="14672" width="12.42578125" style="1" hidden="1"/>
    <col min="14673" max="14674" width="11.7109375" style="1" hidden="1"/>
    <col min="14675" max="14675" width="11.42578125" style="1" hidden="1"/>
    <col min="14676" max="14676" width="11.7109375" style="1" hidden="1"/>
    <col min="14677" max="14677" width="11.42578125" style="1" hidden="1"/>
    <col min="14678" max="14679" width="15.42578125" style="1" hidden="1"/>
    <col min="14680" max="14680" width="16.140625" style="1" hidden="1"/>
    <col min="14681" max="14681" width="16.5703125" style="1" hidden="1"/>
    <col min="14682" max="14682" width="16.7109375" style="1" hidden="1"/>
    <col min="14683" max="14683" width="15.42578125" style="1" hidden="1"/>
    <col min="14684" max="14684" width="14.85546875" style="1" hidden="1"/>
    <col min="14685" max="14685" width="17.140625" style="1" hidden="1"/>
    <col min="14686" max="14686" width="16.7109375" style="1" hidden="1"/>
    <col min="14687" max="14687" width="16.5703125" style="1" hidden="1"/>
    <col min="14688" max="14688" width="16.28515625" style="1" hidden="1"/>
    <col min="14689" max="14689" width="14.85546875" style="1" hidden="1"/>
    <col min="14690" max="14690" width="16.140625" style="1" hidden="1"/>
    <col min="14691" max="14691" width="16" style="1" hidden="1"/>
    <col min="14692" max="14692" width="15.5703125" style="1" hidden="1"/>
    <col min="14693" max="14693" width="16.28515625" style="1" hidden="1"/>
    <col min="14694" max="14694" width="17.140625" style="1" hidden="1"/>
    <col min="14695" max="14695" width="16.28515625" style="1" hidden="1"/>
    <col min="14696" max="14696" width="15.7109375" style="1" hidden="1"/>
    <col min="14697" max="14697" width="15.42578125" style="1" hidden="1"/>
    <col min="14698" max="14800" width="9.140625" style="1" hidden="1"/>
    <col min="14801" max="14801" width="19.85546875" style="1" hidden="1"/>
    <col min="14802" max="14802" width="22" style="1" hidden="1"/>
    <col min="14803" max="14803" width="18.42578125" style="1" hidden="1"/>
    <col min="14804" max="14805" width="16.42578125" style="1" hidden="1"/>
    <col min="14806" max="14806" width="18.85546875" style="1" hidden="1"/>
    <col min="14807" max="14808" width="15.5703125" style="1" hidden="1"/>
    <col min="14809" max="14809" width="11.28515625" style="1" hidden="1"/>
    <col min="14810" max="14810" width="12.7109375" style="1" hidden="1"/>
    <col min="14811" max="14815" width="14.7109375" style="1" hidden="1"/>
    <col min="14816" max="14819" width="13.85546875" style="1" hidden="1"/>
    <col min="14820" max="14820" width="14.28515625" style="1" hidden="1"/>
    <col min="14821" max="14821" width="13.85546875" style="1" hidden="1"/>
    <col min="14822" max="14834" width="13.42578125" style="1" hidden="1"/>
    <col min="14835" max="14835" width="16.85546875" style="1" hidden="1"/>
    <col min="14836" max="14836" width="12.42578125" style="1" hidden="1"/>
    <col min="14837" max="14837" width="13.5703125" style="1" hidden="1"/>
    <col min="14838" max="14841" width="12.42578125" style="1" hidden="1"/>
    <col min="14842" max="14843" width="13.140625" style="1" hidden="1"/>
    <col min="14844" max="14878" width="14.42578125" style="1" hidden="1"/>
    <col min="14879" max="14890" width="12.42578125" style="1" hidden="1"/>
    <col min="14891" max="14891" width="17.5703125" style="1" hidden="1"/>
    <col min="14892" max="14892" width="15.140625" style="1" hidden="1"/>
    <col min="14893" max="14894" width="15.42578125" style="1" hidden="1"/>
    <col min="14895" max="14896" width="15.5703125" style="1" hidden="1"/>
    <col min="14897" max="14897" width="17" style="1" hidden="1"/>
    <col min="14898" max="14898" width="15.5703125" style="1" hidden="1"/>
    <col min="14899" max="14899" width="17.7109375" style="1" hidden="1"/>
    <col min="14900" max="14900" width="18.42578125" style="1" hidden="1"/>
    <col min="14901" max="14901" width="17.5703125" style="1" hidden="1"/>
    <col min="14902" max="14903" width="16" style="1" hidden="1"/>
    <col min="14904" max="14907" width="12.42578125" style="1" hidden="1"/>
    <col min="14908" max="14908" width="17.7109375" style="1" hidden="1"/>
    <col min="14909" max="14909" width="12.42578125" style="1" hidden="1"/>
    <col min="14910" max="14910" width="13.7109375" style="1" hidden="1"/>
    <col min="14911" max="14911" width="15.5703125" style="1" hidden="1"/>
    <col min="14912" max="14915" width="13.7109375" style="1" hidden="1"/>
    <col min="14916" max="14917" width="12.42578125" style="1" hidden="1"/>
    <col min="14918" max="14918" width="14.85546875" style="1" hidden="1"/>
    <col min="14919" max="14919" width="12.42578125" style="1" hidden="1"/>
    <col min="14920" max="14921" width="13.42578125" style="1" hidden="1"/>
    <col min="14922" max="14922" width="17" style="1" hidden="1"/>
    <col min="14923" max="14924" width="12.42578125" style="1" hidden="1"/>
    <col min="14925" max="14925" width="16.42578125" style="1" hidden="1"/>
    <col min="14926" max="14926" width="12.42578125" style="1" hidden="1"/>
    <col min="14927" max="14927" width="13.42578125" style="1" hidden="1"/>
    <col min="14928" max="14928" width="12.42578125" style="1" hidden="1"/>
    <col min="14929" max="14930" width="11.7109375" style="1" hidden="1"/>
    <col min="14931" max="14931" width="11.42578125" style="1" hidden="1"/>
    <col min="14932" max="14932" width="11.7109375" style="1" hidden="1"/>
    <col min="14933" max="14933" width="11.42578125" style="1" hidden="1"/>
    <col min="14934" max="14935" width="15.42578125" style="1" hidden="1"/>
    <col min="14936" max="14936" width="16.140625" style="1" hidden="1"/>
    <col min="14937" max="14937" width="16.5703125" style="1" hidden="1"/>
    <col min="14938" max="14938" width="16.7109375" style="1" hidden="1"/>
    <col min="14939" max="14939" width="15.42578125" style="1" hidden="1"/>
    <col min="14940" max="14940" width="14.85546875" style="1" hidden="1"/>
    <col min="14941" max="14941" width="17.140625" style="1" hidden="1"/>
    <col min="14942" max="14942" width="16.7109375" style="1" hidden="1"/>
    <col min="14943" max="14943" width="16.5703125" style="1" hidden="1"/>
    <col min="14944" max="14944" width="16.28515625" style="1" hidden="1"/>
    <col min="14945" max="14945" width="14.85546875" style="1" hidden="1"/>
    <col min="14946" max="14946" width="16.140625" style="1" hidden="1"/>
    <col min="14947" max="14947" width="16" style="1" hidden="1"/>
    <col min="14948" max="14948" width="15.5703125" style="1" hidden="1"/>
    <col min="14949" max="14949" width="16.28515625" style="1" hidden="1"/>
    <col min="14950" max="14950" width="17.140625" style="1" hidden="1"/>
    <col min="14951" max="14951" width="16.28515625" style="1" hidden="1"/>
    <col min="14952" max="14952" width="15.7109375" style="1" hidden="1"/>
    <col min="14953" max="14953" width="15.42578125" style="1" hidden="1"/>
    <col min="14954" max="15056" width="9.140625" style="1" hidden="1"/>
    <col min="15057" max="15057" width="19.85546875" style="1" hidden="1"/>
    <col min="15058" max="15058" width="22" style="1" hidden="1"/>
    <col min="15059" max="15059" width="18.42578125" style="1" hidden="1"/>
    <col min="15060" max="15061" width="16.42578125" style="1" hidden="1"/>
    <col min="15062" max="15062" width="18.85546875" style="1" hidden="1"/>
    <col min="15063" max="15064" width="15.5703125" style="1" hidden="1"/>
    <col min="15065" max="15065" width="11.28515625" style="1" hidden="1"/>
    <col min="15066" max="15066" width="12.7109375" style="1" hidden="1"/>
    <col min="15067" max="15071" width="14.7109375" style="1" hidden="1"/>
    <col min="15072" max="15075" width="13.85546875" style="1" hidden="1"/>
    <col min="15076" max="15076" width="14.28515625" style="1" hidden="1"/>
    <col min="15077" max="15077" width="13.85546875" style="1" hidden="1"/>
    <col min="15078" max="15090" width="13.42578125" style="1" hidden="1"/>
    <col min="15091" max="15091" width="16.85546875" style="1" hidden="1"/>
    <col min="15092" max="15092" width="12.42578125" style="1" hidden="1"/>
    <col min="15093" max="15093" width="13.5703125" style="1" hidden="1"/>
    <col min="15094" max="15097" width="12.42578125" style="1" hidden="1"/>
    <col min="15098" max="15099" width="13.140625" style="1" hidden="1"/>
    <col min="15100" max="15134" width="14.42578125" style="1" hidden="1"/>
    <col min="15135" max="15146" width="12.42578125" style="1" hidden="1"/>
    <col min="15147" max="15147" width="17.5703125" style="1" hidden="1"/>
    <col min="15148" max="15148" width="15.140625" style="1" hidden="1"/>
    <col min="15149" max="15150" width="15.42578125" style="1" hidden="1"/>
    <col min="15151" max="15152" width="15.5703125" style="1" hidden="1"/>
    <col min="15153" max="15153" width="17" style="1" hidden="1"/>
    <col min="15154" max="15154" width="15.5703125" style="1" hidden="1"/>
    <col min="15155" max="15155" width="17.7109375" style="1" hidden="1"/>
    <col min="15156" max="15156" width="18.42578125" style="1" hidden="1"/>
    <col min="15157" max="15157" width="17.5703125" style="1" hidden="1"/>
    <col min="15158" max="15159" width="16" style="1" hidden="1"/>
    <col min="15160" max="15163" width="12.42578125" style="1" hidden="1"/>
    <col min="15164" max="15164" width="17.7109375" style="1" hidden="1"/>
    <col min="15165" max="15165" width="12.42578125" style="1" hidden="1"/>
    <col min="15166" max="15166" width="13.7109375" style="1" hidden="1"/>
    <col min="15167" max="15167" width="15.5703125" style="1" hidden="1"/>
    <col min="15168" max="15171" width="13.7109375" style="1" hidden="1"/>
    <col min="15172" max="15173" width="12.42578125" style="1" hidden="1"/>
    <col min="15174" max="15174" width="14.85546875" style="1" hidden="1"/>
    <col min="15175" max="15175" width="12.42578125" style="1" hidden="1"/>
    <col min="15176" max="15177" width="13.42578125" style="1" hidden="1"/>
    <col min="15178" max="15178" width="17" style="1" hidden="1"/>
    <col min="15179" max="15180" width="12.42578125" style="1" hidden="1"/>
    <col min="15181" max="15181" width="16.42578125" style="1" hidden="1"/>
    <col min="15182" max="15182" width="12.42578125" style="1" hidden="1"/>
    <col min="15183" max="15183" width="13.42578125" style="1" hidden="1"/>
    <col min="15184" max="15184" width="12.42578125" style="1" hidden="1"/>
    <col min="15185" max="15186" width="11.7109375" style="1" hidden="1"/>
    <col min="15187" max="15187" width="11.42578125" style="1" hidden="1"/>
    <col min="15188" max="15188" width="11.7109375" style="1" hidden="1"/>
    <col min="15189" max="15189" width="11.42578125" style="1" hidden="1"/>
    <col min="15190" max="15191" width="15.42578125" style="1" hidden="1"/>
    <col min="15192" max="15192" width="16.140625" style="1" hidden="1"/>
    <col min="15193" max="15193" width="16.5703125" style="1" hidden="1"/>
    <col min="15194" max="15194" width="16.7109375" style="1" hidden="1"/>
    <col min="15195" max="15195" width="15.42578125" style="1" hidden="1"/>
    <col min="15196" max="15196" width="14.85546875" style="1" hidden="1"/>
    <col min="15197" max="15197" width="17.140625" style="1" hidden="1"/>
    <col min="15198" max="15198" width="16.7109375" style="1" hidden="1"/>
    <col min="15199" max="15199" width="16.5703125" style="1" hidden="1"/>
    <col min="15200" max="15200" width="16.28515625" style="1" hidden="1"/>
    <col min="15201" max="15201" width="14.85546875" style="1" hidden="1"/>
    <col min="15202" max="15202" width="16.140625" style="1" hidden="1"/>
    <col min="15203" max="15203" width="16" style="1" hidden="1"/>
    <col min="15204" max="15204" width="15.5703125" style="1" hidden="1"/>
    <col min="15205" max="15205" width="16.28515625" style="1" hidden="1"/>
    <col min="15206" max="15206" width="17.140625" style="1" hidden="1"/>
    <col min="15207" max="15207" width="16.28515625" style="1" hidden="1"/>
    <col min="15208" max="15208" width="15.7109375" style="1" hidden="1"/>
    <col min="15209" max="15209" width="15.42578125" style="1" hidden="1"/>
    <col min="15210" max="15312" width="9.140625" style="1" hidden="1"/>
    <col min="15313" max="15313" width="19.85546875" style="1" hidden="1"/>
    <col min="15314" max="15314" width="22" style="1" hidden="1"/>
    <col min="15315" max="15315" width="18.42578125" style="1" hidden="1"/>
    <col min="15316" max="15317" width="16.42578125" style="1" hidden="1"/>
    <col min="15318" max="15318" width="18.85546875" style="1" hidden="1"/>
    <col min="15319" max="15320" width="15.5703125" style="1" hidden="1"/>
    <col min="15321" max="15321" width="11.28515625" style="1" hidden="1"/>
    <col min="15322" max="15322" width="12.7109375" style="1" hidden="1"/>
    <col min="15323" max="15327" width="14.7109375" style="1" hidden="1"/>
    <col min="15328" max="15331" width="13.85546875" style="1" hidden="1"/>
    <col min="15332" max="15332" width="14.28515625" style="1" hidden="1"/>
    <col min="15333" max="15333" width="13.85546875" style="1" hidden="1"/>
    <col min="15334" max="15346" width="13.42578125" style="1" hidden="1"/>
    <col min="15347" max="15347" width="16.85546875" style="1" hidden="1"/>
    <col min="15348" max="15348" width="12.42578125" style="1" hidden="1"/>
    <col min="15349" max="15349" width="13.5703125" style="1" hidden="1"/>
    <col min="15350" max="15353" width="12.42578125" style="1" hidden="1"/>
    <col min="15354" max="15355" width="13.140625" style="1" hidden="1"/>
    <col min="15356" max="15390" width="14.42578125" style="1" hidden="1"/>
    <col min="15391" max="15402" width="12.42578125" style="1" hidden="1"/>
    <col min="15403" max="15403" width="17.5703125" style="1" hidden="1"/>
    <col min="15404" max="15404" width="15.140625" style="1" hidden="1"/>
    <col min="15405" max="15406" width="15.42578125" style="1" hidden="1"/>
    <col min="15407" max="15408" width="15.5703125" style="1" hidden="1"/>
    <col min="15409" max="15409" width="17" style="1" hidden="1"/>
    <col min="15410" max="15410" width="15.5703125" style="1" hidden="1"/>
    <col min="15411" max="15411" width="17.7109375" style="1" hidden="1"/>
    <col min="15412" max="15412" width="18.42578125" style="1" hidden="1"/>
    <col min="15413" max="15413" width="17.5703125" style="1" hidden="1"/>
    <col min="15414" max="15415" width="16" style="1" hidden="1"/>
    <col min="15416" max="15419" width="12.42578125" style="1" hidden="1"/>
    <col min="15420" max="15420" width="17.7109375" style="1" hidden="1"/>
    <col min="15421" max="15421" width="12.42578125" style="1" hidden="1"/>
    <col min="15422" max="15422" width="13.7109375" style="1" hidden="1"/>
    <col min="15423" max="15423" width="15.5703125" style="1" hidden="1"/>
    <col min="15424" max="15427" width="13.7109375" style="1" hidden="1"/>
    <col min="15428" max="15429" width="12.42578125" style="1" hidden="1"/>
    <col min="15430" max="15430" width="14.85546875" style="1" hidden="1"/>
    <col min="15431" max="15431" width="12.42578125" style="1" hidden="1"/>
    <col min="15432" max="15433" width="13.42578125" style="1" hidden="1"/>
    <col min="15434" max="15434" width="17" style="1" hidden="1"/>
    <col min="15435" max="15436" width="12.42578125" style="1" hidden="1"/>
    <col min="15437" max="15437" width="16.42578125" style="1" hidden="1"/>
    <col min="15438" max="15438" width="12.42578125" style="1" hidden="1"/>
    <col min="15439" max="15439" width="13.42578125" style="1" hidden="1"/>
    <col min="15440" max="15440" width="12.42578125" style="1" hidden="1"/>
    <col min="15441" max="15442" width="11.7109375" style="1" hidden="1"/>
    <col min="15443" max="15443" width="11.42578125" style="1" hidden="1"/>
    <col min="15444" max="15444" width="11.7109375" style="1" hidden="1"/>
    <col min="15445" max="15445" width="11.42578125" style="1" hidden="1"/>
    <col min="15446" max="15447" width="15.42578125" style="1" hidden="1"/>
    <col min="15448" max="15448" width="16.140625" style="1" hidden="1"/>
    <col min="15449" max="15449" width="16.5703125" style="1" hidden="1"/>
    <col min="15450" max="15450" width="16.7109375" style="1" hidden="1"/>
    <col min="15451" max="15451" width="15.42578125" style="1" hidden="1"/>
    <col min="15452" max="15452" width="14.85546875" style="1" hidden="1"/>
    <col min="15453" max="15453" width="17.140625" style="1" hidden="1"/>
    <col min="15454" max="15454" width="16.7109375" style="1" hidden="1"/>
    <col min="15455" max="15455" width="16.5703125" style="1" hidden="1"/>
    <col min="15456" max="15456" width="16.28515625" style="1" hidden="1"/>
    <col min="15457" max="15457" width="14.85546875" style="1" hidden="1"/>
    <col min="15458" max="15458" width="16.140625" style="1" hidden="1"/>
    <col min="15459" max="15459" width="16" style="1" hidden="1"/>
    <col min="15460" max="15460" width="15.5703125" style="1" hidden="1"/>
    <col min="15461" max="15461" width="16.28515625" style="1" hidden="1"/>
    <col min="15462" max="15462" width="17.140625" style="1" hidden="1"/>
    <col min="15463" max="15463" width="16.28515625" style="1" hidden="1"/>
    <col min="15464" max="15464" width="15.7109375" style="1" hidden="1"/>
    <col min="15465" max="15465" width="15.42578125" style="1" hidden="1"/>
    <col min="15466" max="15568" width="9.140625" style="1" hidden="1"/>
    <col min="15569" max="15569" width="19.85546875" style="1" hidden="1"/>
    <col min="15570" max="15570" width="22" style="1" hidden="1"/>
    <col min="15571" max="15571" width="18.42578125" style="1" hidden="1"/>
    <col min="15572" max="15573" width="16.42578125" style="1" hidden="1"/>
    <col min="15574" max="15574" width="18.85546875" style="1" hidden="1"/>
    <col min="15575" max="15576" width="15.5703125" style="1" hidden="1"/>
    <col min="15577" max="15577" width="11.28515625" style="1" hidden="1"/>
    <col min="15578" max="15578" width="12.7109375" style="1" hidden="1"/>
    <col min="15579" max="15583" width="14.7109375" style="1" hidden="1"/>
    <col min="15584" max="15587" width="13.85546875" style="1" hidden="1"/>
    <col min="15588" max="15588" width="14.28515625" style="1" hidden="1"/>
    <col min="15589" max="15589" width="13.85546875" style="1" hidden="1"/>
    <col min="15590" max="15602" width="13.42578125" style="1" hidden="1"/>
    <col min="15603" max="15603" width="16.85546875" style="1" hidden="1"/>
    <col min="15604" max="15604" width="12.42578125" style="1" hidden="1"/>
    <col min="15605" max="15605" width="13.5703125" style="1" hidden="1"/>
    <col min="15606" max="15609" width="12.42578125" style="1" hidden="1"/>
    <col min="15610" max="15611" width="13.140625" style="1" hidden="1"/>
    <col min="15612" max="15646" width="14.42578125" style="1" hidden="1"/>
    <col min="15647" max="15658" width="12.42578125" style="1" hidden="1"/>
    <col min="15659" max="15659" width="17.5703125" style="1" hidden="1"/>
    <col min="15660" max="15660" width="15.140625" style="1" hidden="1"/>
    <col min="15661" max="15662" width="15.42578125" style="1" hidden="1"/>
    <col min="15663" max="15664" width="15.5703125" style="1" hidden="1"/>
    <col min="15665" max="15665" width="17" style="1" hidden="1"/>
    <col min="15666" max="15666" width="15.5703125" style="1" hidden="1"/>
    <col min="15667" max="15667" width="17.7109375" style="1" hidden="1"/>
    <col min="15668" max="15668" width="18.42578125" style="1" hidden="1"/>
    <col min="15669" max="15669" width="17.5703125" style="1" hidden="1"/>
    <col min="15670" max="15671" width="16" style="1" hidden="1"/>
    <col min="15672" max="15675" width="12.42578125" style="1" hidden="1"/>
    <col min="15676" max="15676" width="17.7109375" style="1" hidden="1"/>
    <col min="15677" max="15677" width="12.42578125" style="1" hidden="1"/>
    <col min="15678" max="15678" width="13.7109375" style="1" hidden="1"/>
    <col min="15679" max="15679" width="15.5703125" style="1" hidden="1"/>
    <col min="15680" max="15683" width="13.7109375" style="1" hidden="1"/>
    <col min="15684" max="15685" width="12.42578125" style="1" hidden="1"/>
    <col min="15686" max="15686" width="14.85546875" style="1" hidden="1"/>
    <col min="15687" max="15687" width="12.42578125" style="1" hidden="1"/>
    <col min="15688" max="15689" width="13.42578125" style="1" hidden="1"/>
    <col min="15690" max="15690" width="17" style="1" hidden="1"/>
    <col min="15691" max="15692" width="12.42578125" style="1" hidden="1"/>
    <col min="15693" max="15693" width="16.42578125" style="1" hidden="1"/>
    <col min="15694" max="15694" width="12.42578125" style="1" hidden="1"/>
    <col min="15695" max="15695" width="13.42578125" style="1" hidden="1"/>
    <col min="15696" max="15696" width="12.42578125" style="1" hidden="1"/>
    <col min="15697" max="15698" width="11.7109375" style="1" hidden="1"/>
    <col min="15699" max="15699" width="11.42578125" style="1" hidden="1"/>
    <col min="15700" max="15700" width="11.7109375" style="1" hidden="1"/>
    <col min="15701" max="15701" width="11.42578125" style="1" hidden="1"/>
    <col min="15702" max="15703" width="15.42578125" style="1" hidden="1"/>
    <col min="15704" max="15704" width="16.140625" style="1" hidden="1"/>
    <col min="15705" max="15705" width="16.5703125" style="1" hidden="1"/>
    <col min="15706" max="15706" width="16.7109375" style="1" hidden="1"/>
    <col min="15707" max="15707" width="15.42578125" style="1" hidden="1"/>
    <col min="15708" max="15708" width="14.85546875" style="1" hidden="1"/>
    <col min="15709" max="15709" width="17.140625" style="1" hidden="1"/>
    <col min="15710" max="15710" width="16.7109375" style="1" hidden="1"/>
    <col min="15711" max="15711" width="16.5703125" style="1" hidden="1"/>
    <col min="15712" max="15712" width="16.28515625" style="1" hidden="1"/>
    <col min="15713" max="15713" width="14.85546875" style="1" hidden="1"/>
    <col min="15714" max="15714" width="16.140625" style="1" hidden="1"/>
    <col min="15715" max="15715" width="16" style="1" hidden="1"/>
    <col min="15716" max="15716" width="15.5703125" style="1" hidden="1"/>
    <col min="15717" max="15717" width="16.28515625" style="1" hidden="1"/>
    <col min="15718" max="15718" width="17.140625" style="1" hidden="1"/>
    <col min="15719" max="15719" width="16.28515625" style="1" hidden="1"/>
    <col min="15720" max="15720" width="15.7109375" style="1" hidden="1"/>
    <col min="15721" max="15721" width="15.42578125" style="1" hidden="1"/>
    <col min="15722" max="15824" width="9.140625" style="1" hidden="1"/>
    <col min="15825" max="15825" width="19.85546875" style="1" hidden="1"/>
    <col min="15826" max="15826" width="22" style="1" hidden="1"/>
    <col min="15827" max="15827" width="18.42578125" style="1" hidden="1"/>
    <col min="15828" max="15829" width="16.42578125" style="1" hidden="1"/>
    <col min="15830" max="15830" width="18.85546875" style="1" hidden="1"/>
    <col min="15831" max="15832" width="15.5703125" style="1" hidden="1"/>
    <col min="15833" max="15833" width="11.28515625" style="1" hidden="1"/>
    <col min="15834" max="15834" width="12.7109375" style="1" hidden="1"/>
    <col min="15835" max="15839" width="14.7109375" style="1" hidden="1"/>
    <col min="15840" max="15843" width="13.85546875" style="1" hidden="1"/>
    <col min="15844" max="15844" width="14.28515625" style="1" hidden="1"/>
    <col min="15845" max="15845" width="13.85546875" style="1" hidden="1"/>
    <col min="15846" max="15858" width="13.42578125" style="1" hidden="1"/>
    <col min="15859" max="15859" width="16.85546875" style="1" hidden="1"/>
    <col min="15860" max="15860" width="12.42578125" style="1" hidden="1"/>
    <col min="15861" max="15861" width="13.5703125" style="1" hidden="1"/>
    <col min="15862" max="15865" width="12.42578125" style="1" hidden="1"/>
    <col min="15866" max="15867" width="13.140625" style="1" hidden="1"/>
    <col min="15868" max="15902" width="14.42578125" style="1" hidden="1"/>
    <col min="15903" max="15914" width="12.42578125" style="1" hidden="1"/>
    <col min="15915" max="15915" width="17.5703125" style="1" hidden="1"/>
    <col min="15916" max="15916" width="15.140625" style="1" hidden="1"/>
    <col min="15917" max="15918" width="15.42578125" style="1" hidden="1"/>
    <col min="15919" max="15920" width="15.5703125" style="1" hidden="1"/>
    <col min="15921" max="15921" width="17" style="1" hidden="1"/>
    <col min="15922" max="15922" width="15.5703125" style="1" hidden="1"/>
    <col min="15923" max="15923" width="17.7109375" style="1" hidden="1"/>
    <col min="15924" max="15924" width="18.42578125" style="1" hidden="1"/>
    <col min="15925" max="15925" width="17.5703125" style="1" hidden="1"/>
    <col min="15926" max="15927" width="16" style="1" hidden="1"/>
    <col min="15928" max="15931" width="12.42578125" style="1" hidden="1"/>
    <col min="15932" max="15932" width="17.7109375" style="1" hidden="1"/>
    <col min="15933" max="15933" width="12.42578125" style="1" hidden="1"/>
    <col min="15934" max="15934" width="13.7109375" style="1" hidden="1"/>
    <col min="15935" max="15935" width="15.5703125" style="1" hidden="1"/>
    <col min="15936" max="15939" width="13.7109375" style="1" hidden="1"/>
    <col min="15940" max="15941" width="12.42578125" style="1" hidden="1"/>
    <col min="15942" max="15942" width="14.85546875" style="1" hidden="1"/>
    <col min="15943" max="15943" width="12.42578125" style="1" hidden="1"/>
    <col min="15944" max="15945" width="13.42578125" style="1" hidden="1"/>
    <col min="15946" max="15946" width="17" style="1" hidden="1"/>
    <col min="15947" max="15948" width="12.42578125" style="1" hidden="1"/>
    <col min="15949" max="15949" width="16.42578125" style="1" hidden="1"/>
    <col min="15950" max="15950" width="12.42578125" style="1" hidden="1"/>
    <col min="15951" max="15951" width="13.42578125" style="1" hidden="1"/>
    <col min="15952" max="15952" width="12.42578125" style="1" hidden="1"/>
    <col min="15953" max="15954" width="11.7109375" style="1" hidden="1"/>
    <col min="15955" max="15955" width="11.42578125" style="1" hidden="1"/>
    <col min="15956" max="15956" width="11.7109375" style="1" hidden="1"/>
    <col min="15957" max="15957" width="11.42578125" style="1" hidden="1"/>
    <col min="15958" max="15959" width="15.42578125" style="1" hidden="1"/>
    <col min="15960" max="15960" width="16.140625" style="1" hidden="1"/>
    <col min="15961" max="15961" width="16.5703125" style="1" hidden="1"/>
    <col min="15962" max="15962" width="16.7109375" style="1" hidden="1"/>
    <col min="15963" max="15963" width="15.42578125" style="1" hidden="1"/>
    <col min="15964" max="15964" width="14.85546875" style="1" hidden="1"/>
    <col min="15965" max="15965" width="17.140625" style="1" hidden="1"/>
    <col min="15966" max="15966" width="16.7109375" style="1" hidden="1"/>
    <col min="15967" max="15967" width="16.5703125" style="1" hidden="1"/>
    <col min="15968" max="15968" width="16.28515625" style="1" hidden="1"/>
    <col min="15969" max="15969" width="14.85546875" style="1" hidden="1"/>
    <col min="15970" max="15970" width="16.140625" style="1" hidden="1"/>
    <col min="15971" max="15971" width="16" style="1" hidden="1"/>
    <col min="15972" max="15972" width="15.5703125" style="1" hidden="1"/>
    <col min="15973" max="15973" width="16.28515625" style="1" hidden="1"/>
    <col min="15974" max="15974" width="17.140625" style="1" hidden="1"/>
    <col min="15975" max="15975" width="16.28515625" style="1" hidden="1"/>
    <col min="15976" max="15976" width="15.7109375" style="1" hidden="1"/>
    <col min="15977" max="15977" width="15.42578125" style="1" hidden="1"/>
    <col min="15978" max="16080" width="9.140625" style="1" hidden="1"/>
    <col min="16081" max="16081" width="19.85546875" style="1" hidden="1"/>
    <col min="16082" max="16082" width="22" style="1" hidden="1"/>
    <col min="16083" max="16083" width="18.42578125" style="1" hidden="1"/>
    <col min="16084" max="16085" width="16.42578125" style="1" hidden="1"/>
    <col min="16086" max="16086" width="18.85546875" style="1" hidden="1"/>
    <col min="16087" max="16088" width="15.5703125" style="1" hidden="1"/>
    <col min="16089" max="16089" width="11.28515625" style="1" hidden="1"/>
    <col min="16090" max="16090" width="12.7109375" style="1" hidden="1"/>
    <col min="16091" max="16095" width="14.7109375" style="1" hidden="1"/>
    <col min="16096" max="16099" width="13.85546875" style="1" hidden="1"/>
    <col min="16100" max="16100" width="14.28515625" style="1" hidden="1"/>
    <col min="16101" max="16101" width="13.85546875" style="1" hidden="1"/>
    <col min="16102" max="16114" width="13.42578125" style="1" hidden="1"/>
    <col min="16115" max="16115" width="16.85546875" style="1" hidden="1"/>
    <col min="16116" max="16116" width="12.42578125" style="1" hidden="1"/>
    <col min="16117" max="16117" width="13.5703125" style="1" hidden="1"/>
    <col min="16118" max="16121" width="12.42578125" style="1" hidden="1"/>
    <col min="16122" max="16123" width="13.140625" style="1" hidden="1"/>
    <col min="16124" max="16158" width="14.42578125" style="1" hidden="1"/>
    <col min="16159" max="16170" width="12.42578125" style="1" hidden="1"/>
    <col min="16171" max="16171" width="17.5703125" style="1" hidden="1"/>
    <col min="16172" max="16172" width="15.140625" style="1" hidden="1"/>
    <col min="16173" max="16174" width="15.42578125" style="1" hidden="1"/>
    <col min="16175" max="16176" width="15.5703125" style="1" hidden="1"/>
    <col min="16177" max="16177" width="17" style="1" hidden="1"/>
    <col min="16178" max="16178" width="15.5703125" style="1" hidden="1"/>
    <col min="16179" max="16179" width="17.7109375" style="1" hidden="1"/>
    <col min="16180" max="16180" width="18.42578125" style="1" hidden="1"/>
    <col min="16181" max="16181" width="17.5703125" style="1" hidden="1"/>
    <col min="16182" max="16183" width="16" style="1" hidden="1"/>
    <col min="16184" max="16187" width="12.42578125" style="1" hidden="1"/>
    <col min="16188" max="16188" width="17.7109375" style="1" hidden="1"/>
    <col min="16189" max="16189" width="12.42578125" style="1" hidden="1"/>
    <col min="16190" max="16190" width="13.7109375" style="1" hidden="1"/>
    <col min="16191" max="16191" width="15.5703125" style="1" hidden="1"/>
    <col min="16192" max="16195" width="13.7109375" style="1" hidden="1"/>
    <col min="16196" max="16197" width="12.42578125" style="1" hidden="1"/>
    <col min="16198" max="16198" width="14.85546875" style="1" hidden="1"/>
    <col min="16199" max="16199" width="12.42578125" style="1" hidden="1"/>
    <col min="16200" max="16201" width="13.42578125" style="1" hidden="1"/>
    <col min="16202" max="16202" width="17" style="1" hidden="1"/>
    <col min="16203" max="16204" width="12.42578125" style="1" hidden="1"/>
    <col min="16205" max="16205" width="16.42578125" style="1" hidden="1"/>
    <col min="16206" max="16206" width="12.42578125" style="1" hidden="1"/>
    <col min="16207" max="16207" width="13.42578125" style="1" hidden="1"/>
    <col min="16208" max="16208" width="12.42578125" style="1" hidden="1"/>
    <col min="16209" max="16210" width="11.7109375" style="1" hidden="1"/>
    <col min="16211" max="16211" width="11.42578125" style="1" hidden="1"/>
    <col min="16212" max="16212" width="11.7109375" style="1" hidden="1"/>
    <col min="16213" max="16213" width="11.42578125" style="1" hidden="1"/>
    <col min="16214" max="16215" width="15.42578125" style="1" hidden="1"/>
    <col min="16216" max="16216" width="16.140625" style="1" hidden="1"/>
    <col min="16217" max="16217" width="16.5703125" style="1" hidden="1"/>
    <col min="16218" max="16218" width="16.7109375" style="1" hidden="1"/>
    <col min="16219" max="16219" width="15.42578125" style="1" hidden="1"/>
    <col min="16220" max="16220" width="14.85546875" style="1" hidden="1"/>
    <col min="16221" max="16221" width="17.140625" style="1" hidden="1"/>
    <col min="16222" max="16222" width="16.7109375" style="1" hidden="1"/>
    <col min="16223" max="16223" width="16.5703125" style="1" hidden="1"/>
    <col min="16224" max="16224" width="16.28515625" style="1" hidden="1"/>
    <col min="16225" max="16225" width="14.85546875" style="1" hidden="1"/>
    <col min="16226" max="16226" width="16.140625" style="1" hidden="1"/>
    <col min="16227" max="16227" width="16" style="1" hidden="1"/>
    <col min="16228" max="16228" width="15.5703125" style="1" hidden="1"/>
    <col min="16229" max="16229" width="16.28515625" style="1" hidden="1"/>
    <col min="16230" max="16230" width="17.140625" style="1" hidden="1"/>
    <col min="16231" max="16231" width="16.28515625" style="1" hidden="1"/>
    <col min="16232" max="16232" width="15.7109375" style="1" hidden="1"/>
    <col min="16233" max="16233" width="15.42578125" style="1" hidden="1"/>
    <col min="16234" max="16384" width="9.140625" style="1" hidden="1"/>
  </cols>
  <sheetData>
    <row r="1" spans="1:137" ht="51.75" customHeight="1" x14ac:dyDescent="0.25">
      <c r="A1" s="121" t="s">
        <v>428</v>
      </c>
      <c r="B1" s="122"/>
      <c r="C1" s="122"/>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50"/>
    </row>
    <row r="2" spans="1:137" s="3" customFormat="1" ht="17.25" customHeight="1" x14ac:dyDescent="0.2">
      <c r="A2" s="123" t="s">
        <v>0</v>
      </c>
      <c r="B2" s="94" t="s">
        <v>1649</v>
      </c>
      <c r="C2" s="94"/>
      <c r="D2" s="94"/>
      <c r="E2" s="94"/>
      <c r="F2" s="9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5"/>
      <c r="AO2" s="25"/>
      <c r="AP2" s="24"/>
      <c r="AQ2" s="24"/>
      <c r="AR2" s="24"/>
      <c r="AS2" s="24"/>
      <c r="AT2" s="25"/>
      <c r="AU2" s="25"/>
      <c r="AV2" s="25"/>
      <c r="AW2" s="25"/>
      <c r="AX2" s="25"/>
      <c r="AY2" s="25"/>
      <c r="AZ2" s="25"/>
      <c r="BA2" s="25"/>
      <c r="BB2" s="25"/>
      <c r="BC2" s="24"/>
      <c r="BD2" s="24"/>
      <c r="BE2" s="24"/>
      <c r="BF2" s="24"/>
      <c r="BG2" s="24"/>
      <c r="BH2" s="26"/>
      <c r="BI2" s="27"/>
      <c r="BJ2" s="24"/>
      <c r="BK2" s="24"/>
      <c r="BL2" s="24"/>
      <c r="BM2" s="24"/>
      <c r="BN2" s="25"/>
      <c r="BO2" s="28"/>
      <c r="BP2" s="29"/>
      <c r="BQ2" s="29"/>
      <c r="BR2" s="24"/>
      <c r="BS2" s="24"/>
      <c r="BT2" s="24"/>
      <c r="BU2" s="24"/>
      <c r="BV2" s="25"/>
      <c r="BW2" s="28"/>
      <c r="BX2" s="29"/>
      <c r="BY2" s="29"/>
      <c r="BZ2" s="24"/>
      <c r="CA2" s="24"/>
      <c r="CB2" s="24"/>
      <c r="CC2" s="24"/>
      <c r="CD2" s="25"/>
      <c r="CE2" s="28"/>
      <c r="CF2" s="29"/>
      <c r="CG2" s="29"/>
      <c r="CH2" s="29"/>
      <c r="CI2" s="30"/>
      <c r="CJ2" s="24"/>
      <c r="CK2" s="24"/>
      <c r="CL2" s="26"/>
      <c r="CM2" s="24"/>
      <c r="CN2" s="24"/>
      <c r="CO2" s="26"/>
      <c r="CP2" s="24"/>
      <c r="CQ2" s="24"/>
      <c r="CR2" s="26"/>
      <c r="CS2" s="24"/>
      <c r="CT2" s="24"/>
      <c r="CU2" s="26"/>
      <c r="CV2" s="24"/>
      <c r="CW2" s="24"/>
      <c r="CX2" s="26"/>
      <c r="CY2" s="24"/>
      <c r="CZ2" s="26"/>
      <c r="DA2" s="30"/>
    </row>
    <row r="3" spans="1:137" s="3" customFormat="1" ht="15" customHeight="1" x14ac:dyDescent="0.2">
      <c r="A3" s="125" t="s">
        <v>1</v>
      </c>
      <c r="B3" s="29" t="s">
        <v>1225</v>
      </c>
      <c r="C3" s="29"/>
      <c r="D3" s="29" t="s">
        <v>24</v>
      </c>
      <c r="E3" s="29" t="s">
        <v>1042</v>
      </c>
      <c r="F3" s="29" t="s">
        <v>25</v>
      </c>
      <c r="G3" s="29" t="s">
        <v>456</v>
      </c>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31"/>
      <c r="BP3" s="29"/>
      <c r="BQ3" s="29"/>
      <c r="BR3" s="29"/>
      <c r="BS3" s="29"/>
      <c r="BT3" s="29"/>
      <c r="BU3" s="29"/>
      <c r="BV3" s="29"/>
      <c r="BW3" s="31"/>
      <c r="BX3" s="29"/>
      <c r="BY3" s="29"/>
      <c r="BZ3" s="29"/>
      <c r="CA3" s="29"/>
      <c r="CB3" s="29"/>
      <c r="CC3" s="29"/>
      <c r="CD3" s="29"/>
      <c r="CE3" s="31"/>
      <c r="CF3" s="29"/>
      <c r="CG3" s="29"/>
      <c r="CH3" s="29"/>
      <c r="CI3" s="32"/>
      <c r="CJ3" s="29"/>
      <c r="CK3" s="29"/>
      <c r="CL3" s="29"/>
      <c r="CM3" s="29"/>
      <c r="CN3" s="29"/>
      <c r="CO3" s="29"/>
      <c r="CP3" s="29"/>
      <c r="CQ3" s="29"/>
      <c r="CR3" s="29"/>
      <c r="CS3" s="29"/>
      <c r="CT3" s="29"/>
      <c r="CU3" s="29"/>
      <c r="CV3" s="29"/>
      <c r="CW3" s="29"/>
      <c r="CX3" s="29"/>
      <c r="CY3" s="29"/>
      <c r="CZ3" s="29"/>
      <c r="DA3" s="32"/>
    </row>
    <row r="4" spans="1:137" s="3" customFormat="1" ht="18" customHeight="1" x14ac:dyDescent="0.2">
      <c r="A4" s="126" t="s">
        <v>23</v>
      </c>
      <c r="B4" s="127"/>
      <c r="C4" s="127"/>
      <c r="D4" s="33"/>
      <c r="E4" s="33"/>
      <c r="F4" s="29"/>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29"/>
      <c r="AZ4" s="33"/>
      <c r="BA4" s="33"/>
      <c r="BB4" s="33"/>
      <c r="BC4" s="33"/>
      <c r="BD4" s="33"/>
      <c r="BE4" s="33"/>
      <c r="BF4" s="33"/>
      <c r="BG4" s="33"/>
      <c r="BH4" s="33"/>
      <c r="BI4" s="33"/>
      <c r="BJ4" s="33"/>
      <c r="BK4" s="33"/>
      <c r="BL4" s="33"/>
      <c r="BM4" s="33"/>
      <c r="BN4" s="33"/>
      <c r="BO4" s="34"/>
      <c r="BP4" s="33"/>
      <c r="BQ4" s="33"/>
      <c r="BR4" s="33"/>
      <c r="BS4" s="33"/>
      <c r="BT4" s="33"/>
      <c r="BU4" s="33"/>
      <c r="BV4" s="33"/>
      <c r="BW4" s="34"/>
      <c r="BX4" s="33"/>
      <c r="BY4" s="33"/>
      <c r="BZ4" s="33"/>
      <c r="CA4" s="33"/>
      <c r="CB4" s="33"/>
      <c r="CC4" s="33"/>
      <c r="CD4" s="33"/>
      <c r="CE4" s="34"/>
      <c r="CF4" s="33"/>
      <c r="CG4" s="33"/>
      <c r="CH4" s="33"/>
      <c r="CI4" s="35"/>
      <c r="CJ4" s="33"/>
      <c r="CK4" s="33"/>
      <c r="CL4" s="33"/>
      <c r="CM4" s="33"/>
      <c r="CN4" s="33"/>
      <c r="CO4" s="33"/>
      <c r="CP4" s="33"/>
      <c r="CQ4" s="33"/>
      <c r="CR4" s="33"/>
      <c r="CS4" s="33"/>
      <c r="CT4" s="33"/>
      <c r="CU4" s="33"/>
      <c r="CV4" s="33"/>
      <c r="CW4" s="33"/>
      <c r="CX4" s="33"/>
      <c r="CY4" s="33"/>
      <c r="CZ4" s="33"/>
      <c r="DA4" s="35"/>
    </row>
    <row r="5" spans="1:137" s="4" customFormat="1" ht="14.45" customHeight="1" x14ac:dyDescent="0.2">
      <c r="A5" s="99"/>
      <c r="B5" s="99"/>
      <c r="C5" s="99"/>
      <c r="D5" s="91"/>
      <c r="E5" s="91"/>
      <c r="F5" s="221" t="s">
        <v>27</v>
      </c>
      <c r="G5" s="39" t="s">
        <v>325</v>
      </c>
      <c r="H5" s="39" t="s">
        <v>325</v>
      </c>
      <c r="I5" s="39" t="s">
        <v>325</v>
      </c>
      <c r="J5" s="39" t="s">
        <v>325</v>
      </c>
      <c r="K5" s="39" t="s">
        <v>325</v>
      </c>
      <c r="L5" s="39" t="s">
        <v>325</v>
      </c>
      <c r="M5" s="39" t="s">
        <v>325</v>
      </c>
      <c r="N5" s="39" t="s">
        <v>325</v>
      </c>
      <c r="O5" s="39" t="s">
        <v>325</v>
      </c>
      <c r="P5" s="39" t="s">
        <v>325</v>
      </c>
      <c r="Q5" s="39" t="s">
        <v>325</v>
      </c>
      <c r="R5" s="39" t="s">
        <v>325</v>
      </c>
      <c r="S5" s="39" t="s">
        <v>325</v>
      </c>
      <c r="T5" s="39" t="s">
        <v>325</v>
      </c>
      <c r="U5" s="39" t="s">
        <v>325</v>
      </c>
      <c r="V5" s="223" t="s">
        <v>26</v>
      </c>
      <c r="W5" s="39" t="s">
        <v>326</v>
      </c>
      <c r="X5" s="39" t="s">
        <v>326</v>
      </c>
      <c r="Y5" s="39" t="s">
        <v>326</v>
      </c>
      <c r="Z5" s="39" t="s">
        <v>326</v>
      </c>
      <c r="AA5" s="39" t="s">
        <v>326</v>
      </c>
      <c r="AB5" s="39" t="s">
        <v>326</v>
      </c>
      <c r="AC5" s="39" t="s">
        <v>326</v>
      </c>
      <c r="AD5" s="39" t="s">
        <v>326</v>
      </c>
      <c r="AE5" s="39" t="s">
        <v>326</v>
      </c>
      <c r="AF5" s="39" t="s">
        <v>326</v>
      </c>
      <c r="AG5" s="39" t="s">
        <v>326</v>
      </c>
      <c r="AH5" s="39" t="s">
        <v>326</v>
      </c>
      <c r="AI5" s="39" t="s">
        <v>326</v>
      </c>
      <c r="AJ5" s="39" t="s">
        <v>326</v>
      </c>
      <c r="AK5" s="39" t="s">
        <v>326</v>
      </c>
      <c r="AL5" s="39" t="s">
        <v>326</v>
      </c>
      <c r="AM5" s="223" t="s">
        <v>318</v>
      </c>
      <c r="AN5" s="137" t="s">
        <v>327</v>
      </c>
      <c r="AO5" s="137" t="s">
        <v>327</v>
      </c>
      <c r="AP5" s="137" t="s">
        <v>327</v>
      </c>
      <c r="AQ5" s="137" t="s">
        <v>327</v>
      </c>
      <c r="AR5" s="137" t="s">
        <v>327</v>
      </c>
      <c r="AS5" s="137" t="s">
        <v>327</v>
      </c>
      <c r="AT5" s="39" t="s">
        <v>327</v>
      </c>
      <c r="AU5" s="39" t="s">
        <v>327</v>
      </c>
      <c r="AV5" s="223" t="s">
        <v>319</v>
      </c>
      <c r="AW5" s="137" t="s">
        <v>319</v>
      </c>
      <c r="AX5" s="137" t="s">
        <v>319</v>
      </c>
      <c r="AY5" s="137" t="s">
        <v>319</v>
      </c>
      <c r="AZ5" s="137" t="s">
        <v>319</v>
      </c>
      <c r="BA5" s="137" t="s">
        <v>319</v>
      </c>
      <c r="BB5" s="137" t="s">
        <v>319</v>
      </c>
      <c r="BC5" s="223" t="s">
        <v>320</v>
      </c>
      <c r="BD5" s="137" t="s">
        <v>320</v>
      </c>
      <c r="BE5" s="137" t="s">
        <v>320</v>
      </c>
      <c r="BF5" s="137" t="s">
        <v>320</v>
      </c>
      <c r="BG5" s="137" t="s">
        <v>320</v>
      </c>
      <c r="BH5" s="137" t="s">
        <v>320</v>
      </c>
      <c r="BI5" s="137" t="s">
        <v>320</v>
      </c>
      <c r="BJ5" s="223" t="s">
        <v>321</v>
      </c>
      <c r="BK5" s="137" t="s">
        <v>321</v>
      </c>
      <c r="BL5" s="137" t="s">
        <v>321</v>
      </c>
      <c r="BM5" s="137" t="s">
        <v>321</v>
      </c>
      <c r="BN5" s="137" t="s">
        <v>321</v>
      </c>
      <c r="BO5" s="137" t="s">
        <v>321</v>
      </c>
      <c r="BP5" s="137" t="s">
        <v>321</v>
      </c>
      <c r="BQ5" s="138" t="s">
        <v>321</v>
      </c>
      <c r="BR5" s="221" t="s">
        <v>323</v>
      </c>
      <c r="BS5" s="137" t="s">
        <v>323</v>
      </c>
      <c r="BT5" s="137" t="s">
        <v>323</v>
      </c>
      <c r="BU5" s="137" t="s">
        <v>323</v>
      </c>
      <c r="BV5" s="137" t="s">
        <v>323</v>
      </c>
      <c r="BW5" s="137" t="s">
        <v>323</v>
      </c>
      <c r="BX5" s="137" t="s">
        <v>323</v>
      </c>
      <c r="BY5" s="138" t="s">
        <v>323</v>
      </c>
      <c r="BZ5" s="221" t="s">
        <v>324</v>
      </c>
      <c r="CA5" s="137" t="s">
        <v>324</v>
      </c>
      <c r="CB5" s="137" t="s">
        <v>324</v>
      </c>
      <c r="CC5" s="137" t="s">
        <v>324</v>
      </c>
      <c r="CD5" s="137" t="s">
        <v>324</v>
      </c>
      <c r="CE5" s="137" t="s">
        <v>324</v>
      </c>
      <c r="CF5" s="137" t="s">
        <v>324</v>
      </c>
      <c r="CG5" s="138" t="s">
        <v>324</v>
      </c>
      <c r="CH5" s="136"/>
      <c r="CI5" s="132"/>
      <c r="CJ5" s="131"/>
      <c r="CK5" s="131"/>
      <c r="CL5" s="131"/>
      <c r="CM5" s="131"/>
      <c r="CN5" s="131"/>
      <c r="CO5" s="131"/>
      <c r="CP5" s="131"/>
      <c r="CQ5" s="131"/>
      <c r="CR5" s="131"/>
      <c r="CS5" s="131"/>
      <c r="CT5" s="131"/>
      <c r="CU5" s="131"/>
      <c r="CV5" s="131"/>
      <c r="CW5" s="131"/>
      <c r="CX5" s="131"/>
      <c r="CY5" s="131"/>
      <c r="CZ5" s="131"/>
      <c r="DA5" s="132"/>
    </row>
    <row r="6" spans="1:137" s="3" customFormat="1" ht="36" customHeight="1" x14ac:dyDescent="0.2">
      <c r="A6" s="100" t="s">
        <v>57</v>
      </c>
      <c r="B6" s="100" t="s">
        <v>314</v>
      </c>
      <c r="C6" s="100" t="s">
        <v>42</v>
      </c>
      <c r="D6" s="97" t="s">
        <v>41</v>
      </c>
      <c r="E6" s="97" t="s">
        <v>4</v>
      </c>
      <c r="F6" s="222"/>
      <c r="G6" s="92" t="s">
        <v>28</v>
      </c>
      <c r="H6" s="92" t="s">
        <v>29</v>
      </c>
      <c r="I6" s="92" t="s">
        <v>30</v>
      </c>
      <c r="J6" s="92" t="s">
        <v>33</v>
      </c>
      <c r="K6" s="92" t="s">
        <v>31</v>
      </c>
      <c r="L6" s="92" t="s">
        <v>32</v>
      </c>
      <c r="M6" s="92" t="s">
        <v>2</v>
      </c>
      <c r="N6" s="36" t="s">
        <v>35</v>
      </c>
      <c r="O6" s="36" t="s">
        <v>315</v>
      </c>
      <c r="P6" s="36" t="s">
        <v>36</v>
      </c>
      <c r="Q6" s="36" t="s">
        <v>316</v>
      </c>
      <c r="R6" s="36" t="s">
        <v>37</v>
      </c>
      <c r="S6" s="92" t="s">
        <v>317</v>
      </c>
      <c r="T6" s="38" t="s">
        <v>301</v>
      </c>
      <c r="U6" s="38" t="s">
        <v>332</v>
      </c>
      <c r="V6" s="224"/>
      <c r="W6" s="92" t="s">
        <v>28</v>
      </c>
      <c r="X6" s="92" t="s">
        <v>29</v>
      </c>
      <c r="Y6" s="92" t="s">
        <v>30</v>
      </c>
      <c r="Z6" s="92" t="s">
        <v>33</v>
      </c>
      <c r="AA6" s="92" t="s">
        <v>31</v>
      </c>
      <c r="AB6" s="92" t="s">
        <v>32</v>
      </c>
      <c r="AC6" s="92" t="s">
        <v>3</v>
      </c>
      <c r="AD6" s="92" t="s">
        <v>2</v>
      </c>
      <c r="AE6" s="36" t="s">
        <v>35</v>
      </c>
      <c r="AF6" s="36" t="s">
        <v>315</v>
      </c>
      <c r="AG6" s="36" t="s">
        <v>36</v>
      </c>
      <c r="AH6" s="36" t="s">
        <v>316</v>
      </c>
      <c r="AI6" s="36" t="s">
        <v>37</v>
      </c>
      <c r="AJ6" s="92" t="s">
        <v>317</v>
      </c>
      <c r="AK6" s="38" t="s">
        <v>301</v>
      </c>
      <c r="AL6" s="38" t="s">
        <v>332</v>
      </c>
      <c r="AM6" s="224"/>
      <c r="AN6" s="36" t="s">
        <v>35</v>
      </c>
      <c r="AO6" s="36" t="s">
        <v>315</v>
      </c>
      <c r="AP6" s="36" t="s">
        <v>36</v>
      </c>
      <c r="AQ6" s="36" t="s">
        <v>316</v>
      </c>
      <c r="AR6" s="36" t="s">
        <v>37</v>
      </c>
      <c r="AS6" s="36" t="s">
        <v>317</v>
      </c>
      <c r="AT6" s="38" t="s">
        <v>301</v>
      </c>
      <c r="AU6" s="38" t="s">
        <v>332</v>
      </c>
      <c r="AV6" s="224"/>
      <c r="AW6" s="36" t="s">
        <v>35</v>
      </c>
      <c r="AX6" s="36" t="s">
        <v>315</v>
      </c>
      <c r="AY6" s="36" t="s">
        <v>36</v>
      </c>
      <c r="AZ6" s="36" t="s">
        <v>316</v>
      </c>
      <c r="BA6" s="36" t="s">
        <v>37</v>
      </c>
      <c r="BB6" s="36" t="s">
        <v>317</v>
      </c>
      <c r="BC6" s="224"/>
      <c r="BD6" s="36" t="s">
        <v>35</v>
      </c>
      <c r="BE6" s="36" t="s">
        <v>315</v>
      </c>
      <c r="BF6" s="36" t="s">
        <v>36</v>
      </c>
      <c r="BG6" s="36" t="s">
        <v>316</v>
      </c>
      <c r="BH6" s="36" t="s">
        <v>37</v>
      </c>
      <c r="BI6" s="36" t="s">
        <v>317</v>
      </c>
      <c r="BJ6" s="224"/>
      <c r="BK6" s="45" t="s">
        <v>35</v>
      </c>
      <c r="BL6" s="45" t="s">
        <v>315</v>
      </c>
      <c r="BM6" s="45" t="s">
        <v>36</v>
      </c>
      <c r="BN6" s="45" t="s">
        <v>316</v>
      </c>
      <c r="BO6" s="45" t="s">
        <v>37</v>
      </c>
      <c r="BP6" s="45" t="s">
        <v>317</v>
      </c>
      <c r="BQ6" s="40" t="s">
        <v>322</v>
      </c>
      <c r="BR6" s="222"/>
      <c r="BS6" s="45" t="s">
        <v>35</v>
      </c>
      <c r="BT6" s="45" t="s">
        <v>315</v>
      </c>
      <c r="BU6" s="45" t="s">
        <v>36</v>
      </c>
      <c r="BV6" s="45" t="s">
        <v>316</v>
      </c>
      <c r="BW6" s="45" t="s">
        <v>37</v>
      </c>
      <c r="BX6" s="45" t="s">
        <v>317</v>
      </c>
      <c r="BY6" s="40" t="s">
        <v>322</v>
      </c>
      <c r="BZ6" s="222"/>
      <c r="CA6" s="45" t="s">
        <v>35</v>
      </c>
      <c r="CB6" s="45" t="s">
        <v>315</v>
      </c>
      <c r="CC6" s="45" t="s">
        <v>36</v>
      </c>
      <c r="CD6" s="45" t="s">
        <v>316</v>
      </c>
      <c r="CE6" s="45" t="s">
        <v>37</v>
      </c>
      <c r="CF6" s="45" t="s">
        <v>317</v>
      </c>
      <c r="CG6" s="40" t="s">
        <v>322</v>
      </c>
      <c r="CH6" s="40"/>
      <c r="CI6" s="37"/>
      <c r="CJ6" s="36" t="s">
        <v>5</v>
      </c>
      <c r="CK6" s="36" t="s">
        <v>6</v>
      </c>
      <c r="CL6" s="36" t="s">
        <v>7</v>
      </c>
      <c r="CM6" s="36" t="s">
        <v>8</v>
      </c>
      <c r="CN6" s="36" t="s">
        <v>9</v>
      </c>
      <c r="CO6" s="36" t="s">
        <v>10</v>
      </c>
      <c r="CP6" s="36" t="s">
        <v>11</v>
      </c>
      <c r="CQ6" s="36" t="s">
        <v>12</v>
      </c>
      <c r="CR6" s="36" t="s">
        <v>13</v>
      </c>
      <c r="CS6" s="36" t="s">
        <v>14</v>
      </c>
      <c r="CT6" s="36" t="s">
        <v>15</v>
      </c>
      <c r="CU6" s="36" t="s">
        <v>16</v>
      </c>
      <c r="CV6" s="36" t="s">
        <v>17</v>
      </c>
      <c r="CW6" s="36" t="s">
        <v>18</v>
      </c>
      <c r="CX6" s="36" t="s">
        <v>19</v>
      </c>
      <c r="CY6" s="36" t="s">
        <v>20</v>
      </c>
      <c r="CZ6" s="36" t="s">
        <v>21</v>
      </c>
      <c r="DA6" s="36" t="s">
        <v>22</v>
      </c>
    </row>
    <row r="7" spans="1:137" x14ac:dyDescent="0.2">
      <c r="A7" s="1" t="s">
        <v>269</v>
      </c>
      <c r="B7" s="101" t="s">
        <v>78</v>
      </c>
      <c r="C7" s="101" t="s">
        <v>78</v>
      </c>
      <c r="D7" s="1">
        <v>69125832</v>
      </c>
      <c r="E7" s="1" t="s">
        <v>77</v>
      </c>
      <c r="G7" s="1" t="s">
        <v>70</v>
      </c>
      <c r="H7" s="1" t="s">
        <v>71</v>
      </c>
      <c r="I7" s="1" t="s">
        <v>76</v>
      </c>
      <c r="K7" s="1" t="s">
        <v>265</v>
      </c>
      <c r="L7" s="1" t="s">
        <v>266</v>
      </c>
      <c r="M7" s="1">
        <v>10000000</v>
      </c>
      <c r="N7" s="1">
        <v>-14068229.15</v>
      </c>
      <c r="O7" s="42">
        <v>-1.406822915</v>
      </c>
      <c r="P7" s="1">
        <v>-14052354.23</v>
      </c>
      <c r="Q7" s="42">
        <v>-1.4052354230000002</v>
      </c>
      <c r="R7" s="1">
        <v>-15874.91</v>
      </c>
      <c r="S7" s="42">
        <v>-1.5874909999999999E-3</v>
      </c>
      <c r="T7" s="196">
        <v>-1.4643660906681775</v>
      </c>
      <c r="U7" s="196">
        <v>2053.8523406082763</v>
      </c>
      <c r="W7" s="1" t="s">
        <v>79</v>
      </c>
      <c r="X7" s="1" t="s">
        <v>67</v>
      </c>
      <c r="Y7" s="1">
        <v>5.46</v>
      </c>
      <c r="AA7" s="1" t="s">
        <v>265</v>
      </c>
      <c r="AB7" s="1" t="s">
        <v>266</v>
      </c>
      <c r="AD7" s="1">
        <v>10000000</v>
      </c>
      <c r="AE7" s="1">
        <v>10503853.779999999</v>
      </c>
      <c r="AF7" s="42">
        <v>1.0503853779999999</v>
      </c>
      <c r="AG7" s="1">
        <v>10482620.449999999</v>
      </c>
      <c r="AH7" s="42">
        <v>1.048262045</v>
      </c>
      <c r="AI7" s="1">
        <v>21233.33</v>
      </c>
      <c r="AJ7" s="42">
        <v>2.1233330000000003E-3</v>
      </c>
      <c r="AK7" s="196">
        <v>1.4481573602793891</v>
      </c>
      <c r="AL7" s="196">
        <v>-1518.0357747238129</v>
      </c>
      <c r="AN7" s="48">
        <v>-3564375.37</v>
      </c>
      <c r="AO7" s="42">
        <v>-0.35643753700000003</v>
      </c>
      <c r="AP7" s="1">
        <v>-3569733.79</v>
      </c>
      <c r="AQ7" s="42">
        <v>-0.35697337899999998</v>
      </c>
      <c r="AR7" s="1">
        <v>5358.42</v>
      </c>
      <c r="AS7" s="42">
        <v>5.3584200000000002E-4</v>
      </c>
      <c r="AT7" s="196">
        <v>-0.39564080968979021</v>
      </c>
      <c r="AU7" s="196">
        <v>535.81656588446344</v>
      </c>
      <c r="AX7" s="42"/>
      <c r="AZ7" s="42"/>
      <c r="BB7" s="42"/>
      <c r="BE7" s="42"/>
      <c r="BG7" s="42"/>
      <c r="BI7" s="42"/>
      <c r="BL7" s="42"/>
      <c r="BN7" s="42"/>
      <c r="BP7" s="42"/>
      <c r="BT7" s="42"/>
      <c r="BV7" s="42"/>
      <c r="BX7" s="42"/>
      <c r="CJ7" s="1" t="s">
        <v>53</v>
      </c>
      <c r="CK7" s="1" t="s">
        <v>268</v>
      </c>
      <c r="CL7" s="1" t="s">
        <v>51</v>
      </c>
      <c r="CM7" s="1" t="s">
        <v>267</v>
      </c>
      <c r="CN7" s="1" t="s">
        <v>55</v>
      </c>
      <c r="CO7" s="1" t="s">
        <v>106</v>
      </c>
      <c r="CP7" s="1" t="s">
        <v>57</v>
      </c>
      <c r="CQ7" s="1" t="s">
        <v>269</v>
      </c>
    </row>
    <row r="8" spans="1:137" x14ac:dyDescent="0.2">
      <c r="A8" s="1" t="s">
        <v>272</v>
      </c>
      <c r="B8" s="101" t="s">
        <v>78</v>
      </c>
      <c r="C8" s="101" t="s">
        <v>78</v>
      </c>
      <c r="D8" s="1">
        <v>69107271</v>
      </c>
      <c r="E8" s="1" t="s">
        <v>77</v>
      </c>
      <c r="G8" s="1" t="s">
        <v>70</v>
      </c>
      <c r="H8" s="1" t="s">
        <v>71</v>
      </c>
      <c r="I8" s="1" t="s">
        <v>76</v>
      </c>
      <c r="K8" s="1" t="s">
        <v>265</v>
      </c>
      <c r="L8" s="1" t="s">
        <v>266</v>
      </c>
      <c r="M8" s="1">
        <v>5600000</v>
      </c>
      <c r="N8" s="1">
        <v>-7878208.3200000003</v>
      </c>
      <c r="O8" s="42">
        <v>-1.4068229142857143</v>
      </c>
      <c r="P8" s="1">
        <v>-7869318.3700000001</v>
      </c>
      <c r="Q8" s="42">
        <v>-1.4052354232142856</v>
      </c>
      <c r="R8" s="1">
        <v>-8889.9500000000007</v>
      </c>
      <c r="S8" s="42">
        <v>-1.5874910714285715E-3</v>
      </c>
      <c r="T8" s="196">
        <v>-1.4643660906681537</v>
      </c>
      <c r="U8" s="196">
        <v>1150.4325541632249</v>
      </c>
      <c r="W8" s="1" t="s">
        <v>79</v>
      </c>
      <c r="X8" s="1" t="s">
        <v>67</v>
      </c>
      <c r="Y8" s="1">
        <v>5.6449999999999996</v>
      </c>
      <c r="AA8" s="1" t="s">
        <v>265</v>
      </c>
      <c r="AB8" s="1" t="s">
        <v>266</v>
      </c>
      <c r="AD8" s="1">
        <v>5600000</v>
      </c>
      <c r="AE8" s="1">
        <v>5897330.8099999996</v>
      </c>
      <c r="AF8" s="42">
        <v>1.0530947874999999</v>
      </c>
      <c r="AG8" s="1">
        <v>5885037.2599999998</v>
      </c>
      <c r="AH8" s="42">
        <v>1.0508995107142858</v>
      </c>
      <c r="AI8" s="1">
        <v>12293.56</v>
      </c>
      <c r="AJ8" s="42">
        <v>2.1952785714285713E-3</v>
      </c>
      <c r="AK8" s="196">
        <v>1.4469605020171938</v>
      </c>
      <c r="AL8" s="196">
        <v>-851.59744372721764</v>
      </c>
      <c r="AN8" s="48">
        <v>-1980877.51</v>
      </c>
      <c r="AO8" s="42">
        <v>-0.3537281267857143</v>
      </c>
      <c r="AP8" s="1">
        <v>-1984281.12</v>
      </c>
      <c r="AQ8" s="42">
        <v>-0.35433591428571432</v>
      </c>
      <c r="AR8" s="1">
        <v>3403.6</v>
      </c>
      <c r="AS8" s="42">
        <v>6.0778571428571424E-4</v>
      </c>
      <c r="AT8" s="196">
        <v>-0.39472281701014722</v>
      </c>
      <c r="AU8" s="196">
        <v>298.83511043600731</v>
      </c>
      <c r="AX8" s="42"/>
      <c r="AZ8" s="42"/>
      <c r="BB8" s="42"/>
      <c r="BE8" s="42"/>
      <c r="BG8" s="42"/>
      <c r="BI8" s="42"/>
      <c r="BL8" s="42"/>
      <c r="BN8" s="42"/>
      <c r="BP8" s="42"/>
      <c r="BT8" s="42"/>
      <c r="BV8" s="42"/>
      <c r="BX8" s="42"/>
      <c r="CJ8" s="1" t="s">
        <v>53</v>
      </c>
      <c r="CK8" s="1" t="s">
        <v>271</v>
      </c>
      <c r="CL8" s="1" t="s">
        <v>51</v>
      </c>
      <c r="CM8" s="1" t="s">
        <v>270</v>
      </c>
      <c r="CN8" s="1" t="s">
        <v>55</v>
      </c>
      <c r="CO8" s="1" t="s">
        <v>106</v>
      </c>
      <c r="CP8" s="1" t="s">
        <v>57</v>
      </c>
      <c r="CQ8" s="1" t="s">
        <v>272</v>
      </c>
    </row>
    <row r="9" spans="1:137" x14ac:dyDescent="0.2">
      <c r="A9" s="1" t="s">
        <v>277</v>
      </c>
      <c r="B9" s="101" t="s">
        <v>78</v>
      </c>
      <c r="C9" s="101" t="s">
        <v>78</v>
      </c>
      <c r="D9" s="1">
        <v>69047849</v>
      </c>
      <c r="E9" s="1" t="s">
        <v>92</v>
      </c>
      <c r="G9" s="1" t="s">
        <v>70</v>
      </c>
      <c r="H9" s="1" t="s">
        <v>71</v>
      </c>
      <c r="I9" s="1" t="s">
        <v>76</v>
      </c>
      <c r="K9" s="1" t="s">
        <v>273</v>
      </c>
      <c r="L9" s="1" t="s">
        <v>274</v>
      </c>
      <c r="M9" s="1">
        <v>30000000</v>
      </c>
      <c r="N9" s="1">
        <v>-42743393.670000002</v>
      </c>
      <c r="O9" s="42">
        <v>-1.424779789</v>
      </c>
      <c r="P9" s="1">
        <v>-42235736.689999998</v>
      </c>
      <c r="Q9" s="42">
        <v>-1.4078578896666667</v>
      </c>
      <c r="R9" s="1">
        <v>-507656.98</v>
      </c>
      <c r="S9" s="42">
        <v>-1.6921899333333334E-2</v>
      </c>
      <c r="T9" s="196">
        <v>-2.2826072891637894</v>
      </c>
      <c r="U9" s="196">
        <v>9771.0951139710851</v>
      </c>
      <c r="W9" s="1" t="s">
        <v>79</v>
      </c>
      <c r="X9" s="1" t="s">
        <v>67</v>
      </c>
      <c r="Y9" s="1">
        <v>3.2075</v>
      </c>
      <c r="AA9" s="1" t="s">
        <v>273</v>
      </c>
      <c r="AB9" s="1" t="s">
        <v>274</v>
      </c>
      <c r="AD9" s="1">
        <v>30000000</v>
      </c>
      <c r="AE9" s="1">
        <v>31402709.609999999</v>
      </c>
      <c r="AF9" s="42">
        <v>1.046756987</v>
      </c>
      <c r="AG9" s="1">
        <v>30745172.109999999</v>
      </c>
      <c r="AH9" s="42">
        <v>1.0248390703333332</v>
      </c>
      <c r="AI9" s="1">
        <v>657537.5</v>
      </c>
      <c r="AJ9" s="42">
        <v>2.1917916666666665E-2</v>
      </c>
      <c r="AK9" s="196">
        <v>2.2449349682272093</v>
      </c>
      <c r="AL9" s="196">
        <v>-7025.7257283963263</v>
      </c>
      <c r="AN9" s="48">
        <v>-11340684.060000001</v>
      </c>
      <c r="AO9" s="42">
        <v>-0.37802280199999999</v>
      </c>
      <c r="AP9" s="1">
        <v>-11490564.59</v>
      </c>
      <c r="AQ9" s="42">
        <v>-0.38301881966666668</v>
      </c>
      <c r="AR9" s="1">
        <v>149880.51999999999</v>
      </c>
      <c r="AS9" s="42">
        <v>4.9960173333333333E-3</v>
      </c>
      <c r="AT9" s="196">
        <v>-0.66136219829695464</v>
      </c>
      <c r="AU9" s="196">
        <v>2745.3693855747588</v>
      </c>
      <c r="AX9" s="42"/>
      <c r="AZ9" s="42"/>
      <c r="BB9" s="42"/>
      <c r="BE9" s="42"/>
      <c r="BG9" s="42"/>
      <c r="BI9" s="42"/>
      <c r="BL9" s="42"/>
      <c r="BN9" s="42"/>
      <c r="BP9" s="42"/>
      <c r="BT9" s="42"/>
      <c r="BV9" s="42"/>
      <c r="BX9" s="42"/>
      <c r="CJ9" s="1" t="s">
        <v>53</v>
      </c>
      <c r="CK9" s="1" t="s">
        <v>276</v>
      </c>
      <c r="CL9" s="1" t="s">
        <v>51</v>
      </c>
      <c r="CM9" s="1" t="s">
        <v>275</v>
      </c>
      <c r="CN9" s="1" t="s">
        <v>55</v>
      </c>
      <c r="CO9" s="1" t="s">
        <v>96</v>
      </c>
      <c r="CP9" s="1" t="s">
        <v>57</v>
      </c>
      <c r="CQ9" s="1" t="s">
        <v>277</v>
      </c>
    </row>
    <row r="10" spans="1:137" x14ac:dyDescent="0.2">
      <c r="A10" s="1" t="s">
        <v>280</v>
      </c>
      <c r="B10" s="101" t="s">
        <v>78</v>
      </c>
      <c r="C10" s="101" t="s">
        <v>78</v>
      </c>
      <c r="D10" s="1">
        <v>69129589</v>
      </c>
      <c r="E10" s="1" t="s">
        <v>92</v>
      </c>
      <c r="G10" s="1" t="s">
        <v>70</v>
      </c>
      <c r="H10" s="1" t="s">
        <v>71</v>
      </c>
      <c r="I10" s="1" t="s">
        <v>76</v>
      </c>
      <c r="K10" s="1" t="s">
        <v>265</v>
      </c>
      <c r="L10" s="1" t="s">
        <v>266</v>
      </c>
      <c r="M10" s="1">
        <v>10341000</v>
      </c>
      <c r="N10" s="1">
        <v>-14547955.76</v>
      </c>
      <c r="O10" s="42">
        <v>-1.4068229146117397</v>
      </c>
      <c r="P10" s="1">
        <v>-14531539.51</v>
      </c>
      <c r="Q10" s="42">
        <v>-1.4052354230732038</v>
      </c>
      <c r="R10" s="1">
        <v>-16416.25</v>
      </c>
      <c r="S10" s="42">
        <v>-1.587491538535925E-3</v>
      </c>
      <c r="T10" s="196">
        <v>-1.4643660906681066</v>
      </c>
      <c r="U10" s="196">
        <v>2123.8886887438593</v>
      </c>
      <c r="W10" s="1" t="s">
        <v>79</v>
      </c>
      <c r="X10" s="1" t="s">
        <v>67</v>
      </c>
      <c r="Y10" s="1">
        <v>5.5</v>
      </c>
      <c r="AA10" s="1" t="s">
        <v>265</v>
      </c>
      <c r="AB10" s="1" t="s">
        <v>266</v>
      </c>
      <c r="AD10" s="1">
        <v>10341000</v>
      </c>
      <c r="AE10" s="1">
        <v>10868093.140000001</v>
      </c>
      <c r="AF10" s="42">
        <v>1.050971196209264</v>
      </c>
      <c r="AG10" s="1">
        <v>10845974.890000001</v>
      </c>
      <c r="AH10" s="42">
        <v>1.0488323073203754</v>
      </c>
      <c r="AI10" s="1">
        <v>22118.25</v>
      </c>
      <c r="AJ10" s="42">
        <v>2.138888888888889E-3</v>
      </c>
      <c r="AK10" s="196">
        <v>1.4478980550722753</v>
      </c>
      <c r="AL10" s="196">
        <v>-1570.3986601085403</v>
      </c>
      <c r="AN10" s="48">
        <v>-3679862.62</v>
      </c>
      <c r="AO10" s="42">
        <v>-0.35585171840247559</v>
      </c>
      <c r="AP10" s="1">
        <v>-3685564.62</v>
      </c>
      <c r="AQ10" s="42">
        <v>-0.35640311575282857</v>
      </c>
      <c r="AR10" s="1">
        <v>5702</v>
      </c>
      <c r="AS10" s="42">
        <v>5.5139735035296389E-4</v>
      </c>
      <c r="AT10" s="196">
        <v>-0.39538528519274774</v>
      </c>
      <c r="AU10" s="196">
        <v>553.49002863531905</v>
      </c>
      <c r="AX10" s="42"/>
      <c r="AZ10" s="42"/>
      <c r="BB10" s="42"/>
      <c r="BE10" s="42"/>
      <c r="BG10" s="42"/>
      <c r="BI10" s="42"/>
      <c r="BL10" s="42"/>
      <c r="BN10" s="42"/>
      <c r="BP10" s="42"/>
      <c r="BT10" s="42"/>
      <c r="BV10" s="42"/>
      <c r="BX10" s="42"/>
      <c r="CJ10" s="1" t="s">
        <v>53</v>
      </c>
      <c r="CK10" s="1" t="s">
        <v>279</v>
      </c>
      <c r="CL10" s="1" t="s">
        <v>51</v>
      </c>
      <c r="CM10" s="1" t="s">
        <v>278</v>
      </c>
      <c r="CN10" s="1" t="s">
        <v>55</v>
      </c>
      <c r="CO10" s="1" t="s">
        <v>96</v>
      </c>
      <c r="CP10" s="1" t="s">
        <v>57</v>
      </c>
      <c r="CQ10" s="1" t="s">
        <v>280</v>
      </c>
    </row>
    <row r="11" spans="1:137" x14ac:dyDescent="0.2">
      <c r="A11" s="1" t="s">
        <v>283</v>
      </c>
      <c r="B11" s="101" t="s">
        <v>78</v>
      </c>
      <c r="C11" s="101" t="s">
        <v>78</v>
      </c>
      <c r="D11" s="1">
        <v>69112905</v>
      </c>
      <c r="E11" s="1" t="s">
        <v>92</v>
      </c>
      <c r="G11" s="1" t="s">
        <v>70</v>
      </c>
      <c r="H11" s="1" t="s">
        <v>71</v>
      </c>
      <c r="I11" s="1" t="s">
        <v>76</v>
      </c>
      <c r="K11" s="1" t="s">
        <v>265</v>
      </c>
      <c r="L11" s="1" t="s">
        <v>266</v>
      </c>
      <c r="M11" s="1">
        <v>20000000</v>
      </c>
      <c r="N11" s="1">
        <v>-28136458.289999999</v>
      </c>
      <c r="O11" s="42">
        <v>-1.4068229145</v>
      </c>
      <c r="P11" s="1">
        <v>-28104708.469999999</v>
      </c>
      <c r="Q11" s="42">
        <v>-1.4052354235</v>
      </c>
      <c r="R11" s="1">
        <v>-31749.82</v>
      </c>
      <c r="S11" s="42">
        <v>-1.5874909999999999E-3</v>
      </c>
      <c r="T11" s="196">
        <v>-1.4643660906681386</v>
      </c>
      <c r="U11" s="196">
        <v>4107.7046489583327</v>
      </c>
      <c r="W11" s="1" t="s">
        <v>79</v>
      </c>
      <c r="X11" s="1" t="s">
        <v>67</v>
      </c>
      <c r="Y11" s="1">
        <v>5.5774999999999997</v>
      </c>
      <c r="AA11" s="1" t="s">
        <v>265</v>
      </c>
      <c r="AB11" s="1" t="s">
        <v>266</v>
      </c>
      <c r="AD11" s="1">
        <v>20000000</v>
      </c>
      <c r="AE11" s="1">
        <v>21042124.390000001</v>
      </c>
      <c r="AF11" s="42">
        <v>1.0521062194999999</v>
      </c>
      <c r="AG11" s="1">
        <v>20998743.829999998</v>
      </c>
      <c r="AH11" s="42">
        <v>1.0499371915</v>
      </c>
      <c r="AI11" s="1">
        <v>43380.56</v>
      </c>
      <c r="AJ11" s="42">
        <v>2.1690279999999999E-3</v>
      </c>
      <c r="AK11" s="196">
        <v>1.4473964763502563</v>
      </c>
      <c r="AL11" s="196">
        <v>-3039.4681838318706</v>
      </c>
      <c r="AN11" s="48">
        <v>-7094333.9100000001</v>
      </c>
      <c r="AO11" s="42">
        <v>-0.35471669550000001</v>
      </c>
      <c r="AP11" s="1">
        <v>-7105964.6399999997</v>
      </c>
      <c r="AQ11" s="42">
        <v>-0.35529823199999999</v>
      </c>
      <c r="AR11" s="1">
        <v>11630.73</v>
      </c>
      <c r="AS11" s="42">
        <v>5.8153649999999996E-4</v>
      </c>
      <c r="AT11" s="196">
        <v>-0.39488959215904673</v>
      </c>
      <c r="AU11" s="196">
        <v>1068.236465126462</v>
      </c>
      <c r="AX11" s="42"/>
      <c r="AZ11" s="42"/>
      <c r="BB11" s="42"/>
      <c r="BE11" s="42"/>
      <c r="BG11" s="42"/>
      <c r="BI11" s="42"/>
      <c r="BL11" s="42"/>
      <c r="BN11" s="42"/>
      <c r="BP11" s="42"/>
      <c r="BT11" s="42"/>
      <c r="BV11" s="42"/>
      <c r="BX11" s="42"/>
      <c r="CJ11" s="1" t="s">
        <v>53</v>
      </c>
      <c r="CK11" s="1" t="s">
        <v>282</v>
      </c>
      <c r="CL11" s="1" t="s">
        <v>51</v>
      </c>
      <c r="CM11" s="1" t="s">
        <v>281</v>
      </c>
      <c r="CN11" s="1" t="s">
        <v>55</v>
      </c>
      <c r="CO11" s="1" t="s">
        <v>96</v>
      </c>
      <c r="CP11" s="1" t="s">
        <v>57</v>
      </c>
      <c r="CQ11" s="1" t="s">
        <v>283</v>
      </c>
    </row>
    <row r="12" spans="1:137" x14ac:dyDescent="0.2">
      <c r="A12" s="1" t="s">
        <v>286</v>
      </c>
      <c r="B12" s="101" t="s">
        <v>78</v>
      </c>
      <c r="C12" s="101" t="s">
        <v>78</v>
      </c>
      <c r="D12" s="1">
        <v>69110258</v>
      </c>
      <c r="E12" s="1" t="s">
        <v>92</v>
      </c>
      <c r="G12" s="1" t="s">
        <v>70</v>
      </c>
      <c r="H12" s="1" t="s">
        <v>71</v>
      </c>
      <c r="I12" s="1" t="s">
        <v>76</v>
      </c>
      <c r="K12" s="1" t="s">
        <v>265</v>
      </c>
      <c r="L12" s="1" t="s">
        <v>266</v>
      </c>
      <c r="M12" s="1">
        <v>15500000</v>
      </c>
      <c r="N12" s="1">
        <v>-21805755.18</v>
      </c>
      <c r="O12" s="42">
        <v>-1.4068229148387097</v>
      </c>
      <c r="P12" s="1">
        <v>-21781149.059999999</v>
      </c>
      <c r="Q12" s="42">
        <v>-1.4052354232258064</v>
      </c>
      <c r="R12" s="1">
        <v>-24606.11</v>
      </c>
      <c r="S12" s="42">
        <v>-1.5874909677419356E-3</v>
      </c>
      <c r="T12" s="196">
        <v>-1.4643660906682268</v>
      </c>
      <c r="U12" s="196">
        <v>3183.4711029428991</v>
      </c>
      <c r="W12" s="1" t="s">
        <v>79</v>
      </c>
      <c r="X12" s="1" t="s">
        <v>67</v>
      </c>
      <c r="Y12" s="1">
        <v>5.65</v>
      </c>
      <c r="AA12" s="1" t="s">
        <v>265</v>
      </c>
      <c r="AB12" s="1" t="s">
        <v>266</v>
      </c>
      <c r="AD12" s="1">
        <v>15500000</v>
      </c>
      <c r="AE12" s="1">
        <v>16324104.24</v>
      </c>
      <c r="AF12" s="42">
        <v>1.053168015483871</v>
      </c>
      <c r="AG12" s="1">
        <v>16290047.289999999</v>
      </c>
      <c r="AH12" s="42">
        <v>1.0509707929032257</v>
      </c>
      <c r="AI12" s="1">
        <v>34056.94</v>
      </c>
      <c r="AJ12" s="42">
        <v>2.197221935483871E-3</v>
      </c>
      <c r="AK12" s="196">
        <v>1.4469282403147874</v>
      </c>
      <c r="AL12" s="196">
        <v>-2357.2120841251685</v>
      </c>
      <c r="AN12" s="48">
        <v>-5481650.9400000004</v>
      </c>
      <c r="AO12" s="42">
        <v>-0.35365489935483874</v>
      </c>
      <c r="AP12" s="1">
        <v>-5491101.7699999996</v>
      </c>
      <c r="AQ12" s="42">
        <v>-0.3542646303225806</v>
      </c>
      <c r="AR12" s="1">
        <v>9450.83</v>
      </c>
      <c r="AS12" s="42">
        <v>6.0973096774193547E-4</v>
      </c>
      <c r="AT12" s="196">
        <v>-0.39442512401121493</v>
      </c>
      <c r="AU12" s="196">
        <v>826.25901881773052</v>
      </c>
      <c r="AX12" s="42"/>
      <c r="AZ12" s="42"/>
      <c r="BB12" s="42"/>
      <c r="BE12" s="42"/>
      <c r="BG12" s="42"/>
      <c r="BI12" s="42"/>
      <c r="BL12" s="42"/>
      <c r="BN12" s="42"/>
      <c r="BP12" s="42"/>
      <c r="BT12" s="42"/>
      <c r="BV12" s="42"/>
      <c r="BX12" s="42"/>
      <c r="CJ12" s="1" t="s">
        <v>53</v>
      </c>
      <c r="CK12" s="1" t="s">
        <v>285</v>
      </c>
      <c r="CL12" s="1" t="s">
        <v>51</v>
      </c>
      <c r="CM12" s="1" t="s">
        <v>284</v>
      </c>
      <c r="CN12" s="1" t="s">
        <v>55</v>
      </c>
      <c r="CO12" s="1" t="s">
        <v>96</v>
      </c>
      <c r="CP12" s="1" t="s">
        <v>57</v>
      </c>
      <c r="CQ12" s="1" t="s">
        <v>286</v>
      </c>
    </row>
    <row r="13" spans="1:137" x14ac:dyDescent="0.2">
      <c r="A13" s="1" t="s">
        <v>289</v>
      </c>
      <c r="B13" s="101" t="s">
        <v>78</v>
      </c>
      <c r="C13" s="101" t="s">
        <v>78</v>
      </c>
      <c r="D13" s="1">
        <v>69024711</v>
      </c>
      <c r="E13" s="1" t="s">
        <v>157</v>
      </c>
      <c r="G13" s="1" t="s">
        <v>70</v>
      </c>
      <c r="H13" s="1" t="s">
        <v>71</v>
      </c>
      <c r="I13" s="1" t="s">
        <v>259</v>
      </c>
      <c r="K13" s="1" t="s">
        <v>260</v>
      </c>
      <c r="L13" s="1" t="s">
        <v>261</v>
      </c>
      <c r="M13" s="1">
        <v>40000000</v>
      </c>
      <c r="N13" s="1">
        <v>-68924645.5</v>
      </c>
      <c r="O13" s="42">
        <v>-1.7231161374999999</v>
      </c>
      <c r="P13" s="1">
        <v>-67546802.170000002</v>
      </c>
      <c r="Q13" s="42">
        <v>-1.6886700542499999</v>
      </c>
      <c r="R13" s="1">
        <v>-1377843.33</v>
      </c>
      <c r="S13" s="42">
        <v>-3.4446083250000002E-2</v>
      </c>
      <c r="T13" s="196">
        <v>-4.0287653314384482</v>
      </c>
      <c r="U13" s="196">
        <v>27576.098217145354</v>
      </c>
      <c r="W13" s="1" t="s">
        <v>79</v>
      </c>
      <c r="X13" s="1" t="s">
        <v>67</v>
      </c>
      <c r="Y13" s="1">
        <v>3.4224999999999999</v>
      </c>
      <c r="AA13" s="1" t="s">
        <v>260</v>
      </c>
      <c r="AB13" s="1" t="s">
        <v>261</v>
      </c>
      <c r="AD13" s="1">
        <v>40000000</v>
      </c>
      <c r="AE13" s="1">
        <v>42965651.840000004</v>
      </c>
      <c r="AF13" s="42">
        <v>1.0741412960000001</v>
      </c>
      <c r="AG13" s="1">
        <v>42030168.5</v>
      </c>
      <c r="AH13" s="42">
        <v>1.0507542125</v>
      </c>
      <c r="AI13" s="1">
        <v>935483.33</v>
      </c>
      <c r="AJ13" s="42">
        <v>2.3387083249999999E-2</v>
      </c>
      <c r="AK13" s="196">
        <v>4.0119335434383778</v>
      </c>
      <c r="AL13" s="196">
        <v>-17092.413541138172</v>
      </c>
      <c r="AN13" s="48">
        <v>-25958993.66</v>
      </c>
      <c r="AO13" s="42">
        <v>-0.64897484149999995</v>
      </c>
      <c r="AP13" s="1">
        <v>-25516633.670000002</v>
      </c>
      <c r="AQ13" s="42">
        <v>-0.63791584175000005</v>
      </c>
      <c r="AR13" s="1">
        <v>-442359.99</v>
      </c>
      <c r="AS13" s="42">
        <v>-1.105899975E-2</v>
      </c>
      <c r="AT13" s="196">
        <v>-1.5921984429742848</v>
      </c>
      <c r="AU13" s="196">
        <v>10483.684676007182</v>
      </c>
      <c r="AX13" s="42"/>
      <c r="AZ13" s="42"/>
      <c r="BB13" s="42"/>
      <c r="BE13" s="42"/>
      <c r="BG13" s="42"/>
      <c r="BI13" s="42"/>
      <c r="BL13" s="42"/>
      <c r="BN13" s="42"/>
      <c r="BP13" s="42"/>
      <c r="BT13" s="42"/>
      <c r="BV13" s="42"/>
      <c r="BX13" s="42"/>
      <c r="CJ13" s="1" t="s">
        <v>53</v>
      </c>
      <c r="CK13" s="1" t="s">
        <v>288</v>
      </c>
      <c r="CL13" s="1" t="s">
        <v>51</v>
      </c>
      <c r="CM13" s="1" t="s">
        <v>287</v>
      </c>
      <c r="CN13" s="1" t="s">
        <v>55</v>
      </c>
      <c r="CO13" s="1" t="s">
        <v>160</v>
      </c>
      <c r="CP13" s="1" t="s">
        <v>57</v>
      </c>
      <c r="CQ13" s="1" t="s">
        <v>289</v>
      </c>
    </row>
    <row r="14" spans="1:137" x14ac:dyDescent="0.2">
      <c r="A14" s="1" t="s">
        <v>292</v>
      </c>
      <c r="B14" s="101" t="s">
        <v>78</v>
      </c>
      <c r="C14" s="101" t="s">
        <v>78</v>
      </c>
      <c r="D14" s="1">
        <v>67897352</v>
      </c>
      <c r="E14" s="1" t="s">
        <v>157</v>
      </c>
      <c r="G14" s="1" t="s">
        <v>70</v>
      </c>
      <c r="H14" s="1" t="s">
        <v>71</v>
      </c>
      <c r="I14" s="1" t="s">
        <v>259</v>
      </c>
      <c r="K14" s="1" t="s">
        <v>260</v>
      </c>
      <c r="L14" s="1" t="s">
        <v>261</v>
      </c>
      <c r="M14" s="1">
        <v>25000000</v>
      </c>
      <c r="N14" s="1">
        <v>-43077903.439999998</v>
      </c>
      <c r="O14" s="42">
        <v>-1.7231161375999999</v>
      </c>
      <c r="P14" s="1">
        <v>-42216751.359999999</v>
      </c>
      <c r="Q14" s="42">
        <v>-1.6886700544</v>
      </c>
      <c r="R14" s="1">
        <v>-861152.08</v>
      </c>
      <c r="S14" s="42">
        <v>-3.4446083199999998E-2</v>
      </c>
      <c r="T14" s="196">
        <v>-4.028765331438513</v>
      </c>
      <c r="U14" s="196">
        <v>17235.061385716126</v>
      </c>
      <c r="W14" s="1" t="s">
        <v>79</v>
      </c>
      <c r="X14" s="1" t="s">
        <v>67</v>
      </c>
      <c r="Y14" s="1">
        <v>5.57</v>
      </c>
      <c r="AA14" s="1" t="s">
        <v>260</v>
      </c>
      <c r="AB14" s="1" t="s">
        <v>261</v>
      </c>
      <c r="AD14" s="1">
        <v>25000000</v>
      </c>
      <c r="AE14" s="1">
        <v>29412692.359999999</v>
      </c>
      <c r="AF14" s="42">
        <v>1.1765076943999999</v>
      </c>
      <c r="AG14" s="1">
        <v>28461150.690000001</v>
      </c>
      <c r="AH14" s="42">
        <v>1.1384460276000001</v>
      </c>
      <c r="AI14" s="1">
        <v>951541.67</v>
      </c>
      <c r="AJ14" s="42">
        <v>3.8061666800000005E-2</v>
      </c>
      <c r="AK14" s="196">
        <v>3.8617245743567699</v>
      </c>
      <c r="AL14" s="196">
        <v>-11265.941848578677</v>
      </c>
      <c r="AN14" s="48">
        <v>-13665211.08</v>
      </c>
      <c r="AO14" s="42">
        <v>-0.54660844320000002</v>
      </c>
      <c r="AP14" s="1">
        <v>-13755600.66</v>
      </c>
      <c r="AQ14" s="42">
        <v>-0.55022402640000001</v>
      </c>
      <c r="AR14" s="1">
        <v>90389.59</v>
      </c>
      <c r="AS14" s="42">
        <v>3.6155835999999997E-3</v>
      </c>
      <c r="AT14" s="196">
        <v>-1.546137078869195</v>
      </c>
      <c r="AU14" s="196">
        <v>5969.1195371374488</v>
      </c>
      <c r="AX14" s="42"/>
      <c r="AZ14" s="42"/>
      <c r="BB14" s="42"/>
      <c r="BE14" s="42"/>
      <c r="BG14" s="42"/>
      <c r="BI14" s="42"/>
      <c r="BL14" s="42"/>
      <c r="BN14" s="42"/>
      <c r="BP14" s="42"/>
      <c r="BT14" s="42"/>
      <c r="BV14" s="42"/>
      <c r="BX14" s="42"/>
      <c r="CJ14" s="1" t="s">
        <v>53</v>
      </c>
      <c r="CK14" s="1" t="s">
        <v>291</v>
      </c>
      <c r="CL14" s="1" t="s">
        <v>51</v>
      </c>
      <c r="CM14" s="1" t="s">
        <v>290</v>
      </c>
      <c r="CN14" s="1" t="s">
        <v>55</v>
      </c>
      <c r="CO14" s="1" t="s">
        <v>160</v>
      </c>
      <c r="CP14" s="1" t="s">
        <v>57</v>
      </c>
      <c r="CQ14" s="1" t="s">
        <v>292</v>
      </c>
    </row>
    <row r="15" spans="1:137" x14ac:dyDescent="0.2">
      <c r="A15" s="1" t="s">
        <v>297</v>
      </c>
      <c r="B15" s="101" t="s">
        <v>78</v>
      </c>
      <c r="C15" s="101" t="s">
        <v>78</v>
      </c>
      <c r="D15" s="1">
        <v>69115068</v>
      </c>
      <c r="E15" s="1" t="s">
        <v>293</v>
      </c>
      <c r="G15" s="1" t="s">
        <v>70</v>
      </c>
      <c r="H15" s="1" t="s">
        <v>71</v>
      </c>
      <c r="I15" s="1" t="s">
        <v>76</v>
      </c>
      <c r="K15" s="1" t="s">
        <v>265</v>
      </c>
      <c r="L15" s="1" t="s">
        <v>266</v>
      </c>
      <c r="M15" s="1">
        <v>10000000</v>
      </c>
      <c r="N15" s="1">
        <v>-14068229.15</v>
      </c>
      <c r="O15" s="42">
        <v>-1.406822915</v>
      </c>
      <c r="P15" s="1">
        <v>-14052354.23</v>
      </c>
      <c r="Q15" s="42">
        <v>-1.4052354230000002</v>
      </c>
      <c r="R15" s="1">
        <v>-15874.91</v>
      </c>
      <c r="S15" s="42">
        <v>-1.5874909999999999E-3</v>
      </c>
      <c r="T15" s="196">
        <v>-1.4643660906681775</v>
      </c>
      <c r="U15" s="196">
        <v>2053.8523406082763</v>
      </c>
      <c r="W15" s="1" t="s">
        <v>79</v>
      </c>
      <c r="X15" s="1" t="s">
        <v>67</v>
      </c>
      <c r="Y15" s="1">
        <v>5.56</v>
      </c>
      <c r="AA15" s="1" t="s">
        <v>265</v>
      </c>
      <c r="AB15" s="1" t="s">
        <v>266</v>
      </c>
      <c r="AD15" s="1">
        <v>10000000</v>
      </c>
      <c r="AE15" s="1">
        <v>10518499.24</v>
      </c>
      <c r="AF15" s="42">
        <v>1.0518499240000001</v>
      </c>
      <c r="AG15" s="1">
        <v>10496877.02</v>
      </c>
      <c r="AH15" s="42">
        <v>1.0496877019999999</v>
      </c>
      <c r="AI15" s="1">
        <v>21622.22</v>
      </c>
      <c r="AJ15" s="42">
        <v>2.1622220000000001E-3</v>
      </c>
      <c r="AK15" s="196">
        <v>1.4475096410543313</v>
      </c>
      <c r="AL15" s="196">
        <v>-1519.4811510575935</v>
      </c>
      <c r="AN15" s="48">
        <v>-3549729.91</v>
      </c>
      <c r="AO15" s="42">
        <v>-0.35497299100000002</v>
      </c>
      <c r="AP15" s="1">
        <v>-3555477.22</v>
      </c>
      <c r="AQ15" s="42">
        <v>-0.35554772200000001</v>
      </c>
      <c r="AR15" s="1">
        <v>5747.31</v>
      </c>
      <c r="AS15" s="42">
        <v>5.7473100000000009E-4</v>
      </c>
      <c r="AT15" s="196">
        <v>-0.39500160440577387</v>
      </c>
      <c r="AU15" s="196">
        <v>534.37118955068286</v>
      </c>
      <c r="AX15" s="42"/>
      <c r="AZ15" s="42"/>
      <c r="BB15" s="42"/>
      <c r="BE15" s="42"/>
      <c r="BG15" s="42"/>
      <c r="BI15" s="42"/>
      <c r="BL15" s="42"/>
      <c r="BN15" s="42"/>
      <c r="BP15" s="42"/>
      <c r="BT15" s="42"/>
      <c r="BV15" s="42"/>
      <c r="BX15" s="42"/>
      <c r="CJ15" s="1" t="s">
        <v>53</v>
      </c>
      <c r="CK15" s="1" t="s">
        <v>296</v>
      </c>
      <c r="CL15" s="1" t="s">
        <v>51</v>
      </c>
      <c r="CM15" s="1" t="s">
        <v>295</v>
      </c>
      <c r="CN15" s="1" t="s">
        <v>55</v>
      </c>
      <c r="CO15" s="1" t="s">
        <v>294</v>
      </c>
      <c r="CP15" s="1" t="s">
        <v>57</v>
      </c>
      <c r="CQ15" s="1" t="s">
        <v>297</v>
      </c>
    </row>
    <row r="16" spans="1:137" x14ac:dyDescent="0.2">
      <c r="A16" s="1" t="s">
        <v>264</v>
      </c>
      <c r="B16" s="101" t="s">
        <v>78</v>
      </c>
      <c r="C16" s="101" t="s">
        <v>78</v>
      </c>
      <c r="D16" s="1">
        <v>69012376</v>
      </c>
      <c r="E16" s="1" t="s">
        <v>77</v>
      </c>
      <c r="G16" s="1" t="s">
        <v>70</v>
      </c>
      <c r="H16" s="1" t="s">
        <v>71</v>
      </c>
      <c r="I16" s="1" t="s">
        <v>259</v>
      </c>
      <c r="K16" s="1" t="s">
        <v>260</v>
      </c>
      <c r="L16" s="1" t="s">
        <v>261</v>
      </c>
      <c r="M16" s="1">
        <v>25000000</v>
      </c>
      <c r="N16" s="1">
        <v>-42987019.299999997</v>
      </c>
      <c r="O16" s="42">
        <v>-1.7194807719999998</v>
      </c>
      <c r="P16" s="1">
        <v>-42124955.890000001</v>
      </c>
      <c r="Q16" s="42">
        <v>-1.6849982355999999</v>
      </c>
      <c r="R16" s="1">
        <v>-862063.41</v>
      </c>
      <c r="S16" s="42">
        <v>-3.44825364E-2</v>
      </c>
      <c r="T16" s="196">
        <v>-4.028765331438513</v>
      </c>
      <c r="U16" s="196">
        <v>17235.061385716126</v>
      </c>
      <c r="W16" s="1" t="s">
        <v>79</v>
      </c>
      <c r="X16" s="1" t="s">
        <v>67</v>
      </c>
      <c r="Y16" s="1">
        <v>3.415</v>
      </c>
      <c r="AA16" s="1" t="s">
        <v>260</v>
      </c>
      <c r="AB16" s="1" t="s">
        <v>261</v>
      </c>
      <c r="AD16" s="1">
        <v>25000000</v>
      </c>
      <c r="AE16" s="1">
        <v>26755547.239999998</v>
      </c>
      <c r="AF16" s="42">
        <v>1.0702218896</v>
      </c>
      <c r="AG16" s="1">
        <v>26172151.41</v>
      </c>
      <c r="AH16" s="42">
        <v>1.0468860564</v>
      </c>
      <c r="AI16" s="1">
        <v>583395.82999999996</v>
      </c>
      <c r="AJ16" s="42">
        <v>2.3335833199999999E-2</v>
      </c>
      <c r="AK16" s="196">
        <v>4.0125084874160919</v>
      </c>
      <c r="AL16" s="196">
        <v>-10680.721734275297</v>
      </c>
      <c r="AN16" s="48">
        <v>-16231472.060000001</v>
      </c>
      <c r="AO16" s="42">
        <v>-0.64925888240000007</v>
      </c>
      <c r="AP16" s="1">
        <v>-15952804.49</v>
      </c>
      <c r="AQ16" s="42">
        <v>-0.6381121796</v>
      </c>
      <c r="AR16" s="1">
        <v>-278667.57</v>
      </c>
      <c r="AS16" s="42">
        <v>-1.11467028E-2</v>
      </c>
      <c r="AT16" s="196">
        <v>-1.5923493246754934</v>
      </c>
      <c r="AU16" s="196">
        <v>6554.3396514408287</v>
      </c>
      <c r="AX16" s="42"/>
      <c r="AZ16" s="42"/>
      <c r="BB16" s="42"/>
      <c r="BE16" s="42"/>
      <c r="BG16" s="42"/>
      <c r="BI16" s="42"/>
      <c r="BL16" s="42"/>
      <c r="BN16" s="42"/>
      <c r="BP16" s="42"/>
      <c r="BT16" s="42"/>
      <c r="BV16" s="42"/>
      <c r="BX16" s="42"/>
      <c r="CJ16" s="1" t="s">
        <v>53</v>
      </c>
      <c r="CK16" s="1" t="s">
        <v>263</v>
      </c>
      <c r="CL16" s="1" t="s">
        <v>51</v>
      </c>
      <c r="CM16" s="1" t="s">
        <v>262</v>
      </c>
      <c r="CN16" s="1" t="s">
        <v>55</v>
      </c>
      <c r="CO16" s="1" t="s">
        <v>106</v>
      </c>
      <c r="CP16" s="1" t="s">
        <v>57</v>
      </c>
      <c r="CQ16" s="1" t="s">
        <v>264</v>
      </c>
    </row>
    <row r="17" spans="1:95" x14ac:dyDescent="0.2">
      <c r="A17" s="1" t="s">
        <v>300</v>
      </c>
      <c r="B17" s="101" t="s">
        <v>78</v>
      </c>
      <c r="C17" s="101" t="s">
        <v>78</v>
      </c>
      <c r="D17" s="1">
        <v>67897338</v>
      </c>
      <c r="E17" s="1" t="s">
        <v>63</v>
      </c>
      <c r="G17" s="1" t="s">
        <v>70</v>
      </c>
      <c r="H17" s="1" t="s">
        <v>71</v>
      </c>
      <c r="I17" s="1" t="s">
        <v>259</v>
      </c>
      <c r="K17" s="1" t="s">
        <v>260</v>
      </c>
      <c r="L17" s="1" t="s">
        <v>261</v>
      </c>
      <c r="M17" s="1">
        <v>25000000</v>
      </c>
      <c r="N17" s="1">
        <v>-42987019.299999997</v>
      </c>
      <c r="O17" s="42">
        <v>-1.7194807719999998</v>
      </c>
      <c r="P17" s="1">
        <v>-42124955.890000001</v>
      </c>
      <c r="Q17" s="42">
        <v>-1.6849982355999999</v>
      </c>
      <c r="R17" s="1">
        <v>-862063.41</v>
      </c>
      <c r="S17" s="42">
        <v>-3.44825364E-2</v>
      </c>
      <c r="T17" s="196">
        <v>-4.0287486102905659</v>
      </c>
      <c r="U17" s="196">
        <v>17212.17155310437</v>
      </c>
      <c r="W17" s="1" t="s">
        <v>79</v>
      </c>
      <c r="X17" s="1" t="s">
        <v>67</v>
      </c>
      <c r="Y17" s="1">
        <v>5.35</v>
      </c>
      <c r="AA17" s="1" t="s">
        <v>260</v>
      </c>
      <c r="AB17" s="1" t="s">
        <v>261</v>
      </c>
      <c r="AD17" s="1">
        <v>25000000</v>
      </c>
      <c r="AE17" s="1">
        <v>29057043.34</v>
      </c>
      <c r="AF17" s="42">
        <v>1.1622817336</v>
      </c>
      <c r="AG17" s="1">
        <v>28143085.010000002</v>
      </c>
      <c r="AH17" s="42">
        <v>1.1257234004000001</v>
      </c>
      <c r="AI17" s="1">
        <v>913958.33</v>
      </c>
      <c r="AJ17" s="42">
        <v>3.6558333200000001E-2</v>
      </c>
      <c r="AK17" s="196">
        <v>3.8758965024528242</v>
      </c>
      <c r="AL17" s="196">
        <v>-11206.197799786552</v>
      </c>
      <c r="AN17" s="48">
        <v>-13929975.960000001</v>
      </c>
      <c r="AO17" s="42">
        <v>-0.55719903840000007</v>
      </c>
      <c r="AP17" s="1">
        <v>-13981870.880000001</v>
      </c>
      <c r="AQ17" s="42">
        <v>-0.55927483519999999</v>
      </c>
      <c r="AR17" s="1">
        <v>51894.93</v>
      </c>
      <c r="AS17" s="42">
        <v>2.0757972E-3</v>
      </c>
      <c r="AT17" s="196">
        <v>-1.5474990989508515</v>
      </c>
      <c r="AU17" s="196">
        <v>6005.9737533178177</v>
      </c>
      <c r="AX17" s="42"/>
      <c r="AZ17" s="42"/>
      <c r="BB17" s="42"/>
      <c r="BE17" s="42"/>
      <c r="BG17" s="42"/>
      <c r="BI17" s="42"/>
      <c r="BL17" s="42"/>
      <c r="BN17" s="42"/>
      <c r="BP17" s="42"/>
      <c r="BT17" s="42"/>
      <c r="BV17" s="42"/>
      <c r="BX17" s="42"/>
      <c r="CJ17" s="1" t="s">
        <v>53</v>
      </c>
      <c r="CK17" s="1" t="s">
        <v>299</v>
      </c>
      <c r="CL17" s="1" t="s">
        <v>51</v>
      </c>
      <c r="CM17" s="1" t="s">
        <v>298</v>
      </c>
      <c r="CN17" s="1" t="s">
        <v>55</v>
      </c>
      <c r="CO17" s="1" t="s">
        <v>179</v>
      </c>
      <c r="CP17" s="1" t="s">
        <v>57</v>
      </c>
      <c r="CQ17" s="1" t="s">
        <v>300</v>
      </c>
    </row>
    <row r="18" spans="1:95" x14ac:dyDescent="0.2">
      <c r="A18" s="1" t="s">
        <v>180</v>
      </c>
      <c r="B18" s="101" t="s">
        <v>173</v>
      </c>
      <c r="C18" s="101" t="s">
        <v>173</v>
      </c>
      <c r="D18" s="1">
        <v>70589501</v>
      </c>
      <c r="E18" s="1" t="s">
        <v>63</v>
      </c>
      <c r="G18" s="1" t="s">
        <v>174</v>
      </c>
      <c r="H18" s="1" t="s">
        <v>67</v>
      </c>
      <c r="I18" s="1" t="s">
        <v>430</v>
      </c>
      <c r="J18" s="1">
        <v>88.25</v>
      </c>
      <c r="K18" s="1" t="s">
        <v>175</v>
      </c>
      <c r="L18" s="1" t="s">
        <v>176</v>
      </c>
      <c r="M18" s="1">
        <v>152000000</v>
      </c>
      <c r="N18" s="1">
        <v>161984732.88999999</v>
      </c>
      <c r="O18" s="42">
        <v>1.0656890321710526</v>
      </c>
      <c r="P18" s="1">
        <v>161075570.22</v>
      </c>
      <c r="Q18" s="42">
        <v>1.0597076988157894</v>
      </c>
      <c r="R18" s="1">
        <v>909162.67</v>
      </c>
      <c r="S18" s="42">
        <v>5.9813333552631584E-3</v>
      </c>
      <c r="T18" s="196">
        <v>0.16182945616376132</v>
      </c>
      <c r="U18" s="196">
        <v>-2607.2662256672979</v>
      </c>
      <c r="W18" s="1" t="s">
        <v>79</v>
      </c>
      <c r="X18" s="1" t="s">
        <v>71</v>
      </c>
      <c r="Y18" s="1">
        <v>5.5</v>
      </c>
      <c r="AA18" s="1" t="s">
        <v>175</v>
      </c>
      <c r="AB18" s="1" t="s">
        <v>176</v>
      </c>
      <c r="AD18" s="1">
        <v>152000000</v>
      </c>
      <c r="AE18" s="1">
        <v>-178868438.11000001</v>
      </c>
      <c r="AF18" s="42">
        <v>-1.1767660401973685</v>
      </c>
      <c r="AG18" s="1">
        <v>-171065771.44</v>
      </c>
      <c r="AH18" s="42">
        <v>-1.1254327068421053</v>
      </c>
      <c r="AI18" s="1">
        <v>-7802666.6699999999</v>
      </c>
      <c r="AJ18" s="42">
        <v>-5.1333333355263154E-2</v>
      </c>
      <c r="AK18" s="196">
        <v>-3.6181454122629613</v>
      </c>
      <c r="AL18" s="196">
        <v>64408.283397489788</v>
      </c>
      <c r="AN18" s="48">
        <v>-16883705.219999999</v>
      </c>
      <c r="AO18" s="42">
        <v>-0.11107700802631579</v>
      </c>
      <c r="AP18" s="1">
        <v>-9990201.2200000007</v>
      </c>
      <c r="AQ18" s="42">
        <v>-6.5725008026315798E-2</v>
      </c>
      <c r="AR18" s="1">
        <v>-6893504</v>
      </c>
      <c r="AS18" s="42">
        <v>-4.5352000000000003E-2</v>
      </c>
      <c r="AT18" s="196">
        <v>-3.6589722696033742</v>
      </c>
      <c r="AU18" s="196">
        <v>61801.017171822488</v>
      </c>
      <c r="AX18" s="42"/>
      <c r="AZ18" s="42"/>
      <c r="BB18" s="42"/>
      <c r="BE18" s="42"/>
      <c r="BG18" s="42"/>
      <c r="BI18" s="42"/>
      <c r="BL18" s="42"/>
      <c r="BN18" s="42"/>
      <c r="BP18" s="42"/>
      <c r="BT18" s="42"/>
      <c r="BV18" s="42"/>
      <c r="BX18" s="42"/>
      <c r="CJ18" s="1" t="s">
        <v>53</v>
      </c>
      <c r="CK18" s="1" t="s">
        <v>178</v>
      </c>
      <c r="CL18" s="1" t="s">
        <v>51</v>
      </c>
      <c r="CM18" s="1" t="s">
        <v>177</v>
      </c>
      <c r="CN18" s="1" t="s">
        <v>55</v>
      </c>
      <c r="CO18" s="1" t="s">
        <v>179</v>
      </c>
      <c r="CP18" s="1" t="s">
        <v>57</v>
      </c>
      <c r="CQ18" s="1" t="s">
        <v>180</v>
      </c>
    </row>
    <row r="19" spans="1:95" x14ac:dyDescent="0.2">
      <c r="A19" s="1" t="s">
        <v>185</v>
      </c>
      <c r="B19" s="101" t="s">
        <v>173</v>
      </c>
      <c r="C19" s="101" t="s">
        <v>173</v>
      </c>
      <c r="D19" s="1">
        <v>70589503</v>
      </c>
      <c r="E19" s="1" t="s">
        <v>63</v>
      </c>
      <c r="G19" s="1" t="s">
        <v>174</v>
      </c>
      <c r="H19" s="1" t="s">
        <v>67</v>
      </c>
      <c r="I19" s="1" t="s">
        <v>430</v>
      </c>
      <c r="J19" s="1">
        <v>161.30000000000001</v>
      </c>
      <c r="K19" s="1" t="s">
        <v>181</v>
      </c>
      <c r="L19" s="1" t="s">
        <v>182</v>
      </c>
      <c r="M19" s="1">
        <v>138118808</v>
      </c>
      <c r="N19" s="1">
        <v>140682283.13999999</v>
      </c>
      <c r="O19" s="42">
        <v>1.0185599280584581</v>
      </c>
      <c r="P19" s="1">
        <v>139676778.22</v>
      </c>
      <c r="Q19" s="42">
        <v>1.011279928074676</v>
      </c>
      <c r="R19" s="1">
        <v>1005504.92</v>
      </c>
      <c r="S19" s="42">
        <v>7.2799999837820789E-3</v>
      </c>
      <c r="T19" s="196">
        <v>0.10870078660258482</v>
      </c>
      <c r="U19" s="196">
        <v>-1528.0369409769773</v>
      </c>
      <c r="W19" s="1" t="s">
        <v>79</v>
      </c>
      <c r="X19" s="1" t="s">
        <v>71</v>
      </c>
      <c r="Y19" s="1">
        <v>6</v>
      </c>
      <c r="AA19" s="1" t="s">
        <v>181</v>
      </c>
      <c r="AB19" s="1" t="s">
        <v>182</v>
      </c>
      <c r="AD19" s="1">
        <v>138118808</v>
      </c>
      <c r="AE19" s="1">
        <v>-144554550.53</v>
      </c>
      <c r="AF19" s="42">
        <v>-1.046595699913657</v>
      </c>
      <c r="AG19" s="1">
        <v>-140963461.52000001</v>
      </c>
      <c r="AH19" s="42">
        <v>-1.0205956998991768</v>
      </c>
      <c r="AI19" s="1">
        <v>-3591089.01</v>
      </c>
      <c r="AJ19" s="42">
        <v>-2.6000000014480284E-2</v>
      </c>
      <c r="AK19" s="196">
        <v>-0.60831294384142065</v>
      </c>
      <c r="AL19" s="196">
        <v>8786.1298856198791</v>
      </c>
      <c r="AN19" s="48">
        <v>-3872267.39</v>
      </c>
      <c r="AO19" s="42">
        <v>-2.803577185519875E-2</v>
      </c>
      <c r="AP19" s="1">
        <v>-1286683.3</v>
      </c>
      <c r="AQ19" s="42">
        <v>-9.3157718245005412E-3</v>
      </c>
      <c r="AR19" s="1">
        <v>-2585584.09</v>
      </c>
      <c r="AS19" s="42">
        <v>-1.8720000030698208E-2</v>
      </c>
      <c r="AT19" s="196">
        <v>-0.51120378368656327</v>
      </c>
      <c r="AU19" s="196">
        <v>7258.0929446429018</v>
      </c>
      <c r="AX19" s="42"/>
      <c r="AZ19" s="42"/>
      <c r="BB19" s="42"/>
      <c r="BE19" s="42"/>
      <c r="BG19" s="42"/>
      <c r="BI19" s="42"/>
      <c r="BL19" s="42"/>
      <c r="BN19" s="42"/>
      <c r="BP19" s="42"/>
      <c r="BT19" s="42"/>
      <c r="BV19" s="42"/>
      <c r="BX19" s="42"/>
      <c r="CJ19" s="1" t="s">
        <v>53</v>
      </c>
      <c r="CK19" s="1" t="s">
        <v>184</v>
      </c>
      <c r="CL19" s="1" t="s">
        <v>51</v>
      </c>
      <c r="CM19" s="1" t="s">
        <v>183</v>
      </c>
      <c r="CN19" s="1" t="s">
        <v>55</v>
      </c>
      <c r="CO19" s="1" t="s">
        <v>179</v>
      </c>
      <c r="CP19" s="1" t="s">
        <v>57</v>
      </c>
      <c r="CQ19" s="1" t="s">
        <v>185</v>
      </c>
    </row>
    <row r="20" spans="1:95" x14ac:dyDescent="0.2">
      <c r="A20" s="1" t="s">
        <v>214</v>
      </c>
      <c r="B20" s="101" t="s">
        <v>173</v>
      </c>
      <c r="C20" s="101" t="s">
        <v>173</v>
      </c>
      <c r="D20" s="1">
        <v>70600138</v>
      </c>
      <c r="E20" s="1" t="s">
        <v>75</v>
      </c>
      <c r="G20" s="1" t="s">
        <v>174</v>
      </c>
      <c r="H20" s="1" t="s">
        <v>67</v>
      </c>
      <c r="I20" s="1" t="s">
        <v>430</v>
      </c>
      <c r="J20" s="1">
        <v>109</v>
      </c>
      <c r="K20" s="1" t="s">
        <v>210</v>
      </c>
      <c r="L20" s="1" t="s">
        <v>211</v>
      </c>
      <c r="M20" s="1">
        <v>116200000</v>
      </c>
      <c r="N20" s="1">
        <v>122229510.61</v>
      </c>
      <c r="O20" s="42">
        <v>1.0518890758175559</v>
      </c>
      <c r="P20" s="1">
        <v>122192781.73</v>
      </c>
      <c r="Q20" s="42">
        <v>1.0515729925129089</v>
      </c>
      <c r="R20" s="1">
        <v>36728.879999999997</v>
      </c>
      <c r="S20" s="42">
        <v>3.1608330464716003E-4</v>
      </c>
      <c r="T20" s="196">
        <v>7.3223162566112138E-2</v>
      </c>
      <c r="U20" s="196">
        <v>-898.75792819485071</v>
      </c>
      <c r="W20" s="1" t="s">
        <v>79</v>
      </c>
      <c r="X20" s="1" t="s">
        <v>71</v>
      </c>
      <c r="Y20" s="1">
        <v>5.5</v>
      </c>
      <c r="AA20" s="1" t="s">
        <v>210</v>
      </c>
      <c r="AB20" s="1" t="s">
        <v>211</v>
      </c>
      <c r="AD20" s="1">
        <v>116200000</v>
      </c>
      <c r="AE20" s="1">
        <v>-127422876.31999999</v>
      </c>
      <c r="AF20" s="42">
        <v>-1.0965824123924268</v>
      </c>
      <c r="AG20" s="1">
        <v>-127369617.98999999</v>
      </c>
      <c r="AH20" s="42">
        <v>-1.0961240790877795</v>
      </c>
      <c r="AI20" s="1">
        <v>-53258.33</v>
      </c>
      <c r="AJ20" s="42">
        <v>-4.583333046471601E-4</v>
      </c>
      <c r="AK20" s="196">
        <v>-2.7221731872446391</v>
      </c>
      <c r="AL20" s="196">
        <v>36299.778649415079</v>
      </c>
      <c r="AN20" s="48">
        <v>-5193365.72</v>
      </c>
      <c r="AO20" s="42">
        <v>-4.4693336660929429E-2</v>
      </c>
      <c r="AP20" s="1">
        <v>-5176836.2699999996</v>
      </c>
      <c r="AQ20" s="42">
        <v>-4.4551086660929426E-2</v>
      </c>
      <c r="AR20" s="1">
        <v>-16529.45</v>
      </c>
      <c r="AS20" s="42">
        <v>-1.4225000000000002E-4</v>
      </c>
      <c r="AT20" s="196">
        <v>-2.7917414610891864</v>
      </c>
      <c r="AU20" s="196">
        <v>35401.020721220229</v>
      </c>
      <c r="AX20" s="42"/>
      <c r="AZ20" s="42"/>
      <c r="BB20" s="42"/>
      <c r="BE20" s="42"/>
      <c r="BG20" s="42"/>
      <c r="BI20" s="42"/>
      <c r="BL20" s="42"/>
      <c r="BN20" s="42"/>
      <c r="BP20" s="42"/>
      <c r="BT20" s="42"/>
      <c r="BV20" s="42"/>
      <c r="BX20" s="42"/>
      <c r="CJ20" s="1" t="s">
        <v>53</v>
      </c>
      <c r="CK20" s="1" t="s">
        <v>213</v>
      </c>
      <c r="CL20" s="1" t="s">
        <v>51</v>
      </c>
      <c r="CM20" s="1" t="s">
        <v>212</v>
      </c>
      <c r="CN20" s="1" t="s">
        <v>55</v>
      </c>
      <c r="CO20" s="1" t="s">
        <v>102</v>
      </c>
      <c r="CP20" s="1" t="s">
        <v>57</v>
      </c>
      <c r="CQ20" s="1" t="s">
        <v>214</v>
      </c>
    </row>
    <row r="21" spans="1:95" x14ac:dyDescent="0.2">
      <c r="A21" s="1" t="s">
        <v>219</v>
      </c>
      <c r="B21" s="101" t="s">
        <v>173</v>
      </c>
      <c r="C21" s="101" t="s">
        <v>173</v>
      </c>
      <c r="D21" s="1">
        <v>70600140</v>
      </c>
      <c r="E21" s="1" t="s">
        <v>75</v>
      </c>
      <c r="G21" s="1" t="s">
        <v>174</v>
      </c>
      <c r="H21" s="1" t="s">
        <v>67</v>
      </c>
      <c r="I21" s="1" t="s">
        <v>430</v>
      </c>
      <c r="J21" s="1">
        <v>299.5</v>
      </c>
      <c r="K21" s="1" t="s">
        <v>215</v>
      </c>
      <c r="L21" s="1" t="s">
        <v>216</v>
      </c>
      <c r="M21" s="1">
        <v>50000000</v>
      </c>
      <c r="N21" s="1">
        <v>52132344.060000002</v>
      </c>
      <c r="O21" s="42">
        <v>1.0426468812</v>
      </c>
      <c r="P21" s="1">
        <v>50943723.219999999</v>
      </c>
      <c r="Q21" s="42">
        <v>1.0188744644000001</v>
      </c>
      <c r="R21" s="1">
        <v>1188620.83</v>
      </c>
      <c r="S21" s="42">
        <v>2.3772416600000002E-2</v>
      </c>
      <c r="T21" s="196">
        <v>0.11602684228411105</v>
      </c>
      <c r="U21" s="196">
        <v>-604.30268786847591</v>
      </c>
      <c r="W21" s="1" t="s">
        <v>79</v>
      </c>
      <c r="X21" s="1" t="s">
        <v>71</v>
      </c>
      <c r="Y21" s="1">
        <v>6</v>
      </c>
      <c r="AA21" s="1" t="s">
        <v>215</v>
      </c>
      <c r="AB21" s="1" t="s">
        <v>216</v>
      </c>
      <c r="AD21" s="1">
        <v>50000000</v>
      </c>
      <c r="AE21" s="1">
        <v>-52336879.799999997</v>
      </c>
      <c r="AF21" s="42">
        <v>-1.046737596</v>
      </c>
      <c r="AG21" s="1">
        <v>-51039799.18</v>
      </c>
      <c r="AH21" s="42">
        <v>-1.0207959836</v>
      </c>
      <c r="AI21" s="1">
        <v>-1297080.6200000001</v>
      </c>
      <c r="AJ21" s="42">
        <v>-2.5941612400000001E-2</v>
      </c>
      <c r="AK21" s="196">
        <v>-0.60831294384142209</v>
      </c>
      <c r="AL21" s="196">
        <v>3180.536780577153</v>
      </c>
      <c r="AN21" s="48">
        <v>-204535.75</v>
      </c>
      <c r="AO21" s="42">
        <v>-4.090715E-3</v>
      </c>
      <c r="AP21" s="1">
        <v>-96075.96</v>
      </c>
      <c r="AQ21" s="42">
        <v>-1.9215192000000001E-3</v>
      </c>
      <c r="AR21" s="1">
        <v>-108459.79</v>
      </c>
      <c r="AS21" s="42">
        <v>-2.1691957999999999E-3</v>
      </c>
      <c r="AT21" s="196">
        <v>-0.51317828442829916</v>
      </c>
      <c r="AU21" s="196">
        <v>2576.2340927086771</v>
      </c>
      <c r="AX21" s="42"/>
      <c r="AZ21" s="42"/>
      <c r="BB21" s="42"/>
      <c r="BE21" s="42"/>
      <c r="BG21" s="42"/>
      <c r="BI21" s="42"/>
      <c r="BL21" s="42"/>
      <c r="BN21" s="42"/>
      <c r="BP21" s="42"/>
      <c r="BT21" s="42"/>
      <c r="BV21" s="42"/>
      <c r="BX21" s="42"/>
      <c r="CJ21" s="1" t="s">
        <v>53</v>
      </c>
      <c r="CK21" s="1" t="s">
        <v>218</v>
      </c>
      <c r="CL21" s="1" t="s">
        <v>51</v>
      </c>
      <c r="CM21" s="1" t="s">
        <v>217</v>
      </c>
      <c r="CN21" s="1" t="s">
        <v>55</v>
      </c>
      <c r="CO21" s="1" t="s">
        <v>102</v>
      </c>
      <c r="CP21" s="1" t="s">
        <v>57</v>
      </c>
      <c r="CQ21" s="1" t="s">
        <v>219</v>
      </c>
    </row>
    <row r="22" spans="1:95" x14ac:dyDescent="0.2">
      <c r="A22" s="1" t="s">
        <v>225</v>
      </c>
      <c r="B22" s="101" t="s">
        <v>173</v>
      </c>
      <c r="C22" s="101" t="s">
        <v>173</v>
      </c>
      <c r="D22" s="1">
        <v>70607235</v>
      </c>
      <c r="E22" s="1" t="s">
        <v>220</v>
      </c>
      <c r="G22" s="1" t="s">
        <v>174</v>
      </c>
      <c r="H22" s="1" t="s">
        <v>67</v>
      </c>
      <c r="I22" s="1" t="s">
        <v>430</v>
      </c>
      <c r="J22" s="1">
        <v>141.6</v>
      </c>
      <c r="K22" s="1" t="s">
        <v>221</v>
      </c>
      <c r="L22" s="1" t="s">
        <v>222</v>
      </c>
      <c r="M22" s="1">
        <v>104000000</v>
      </c>
      <c r="N22" s="1">
        <v>112621102.26000001</v>
      </c>
      <c r="O22" s="42">
        <v>1.0828952140384616</v>
      </c>
      <c r="P22" s="1">
        <v>111944755.59</v>
      </c>
      <c r="Q22" s="42">
        <v>1.076391880673077</v>
      </c>
      <c r="R22" s="1">
        <v>676346.67</v>
      </c>
      <c r="S22" s="42">
        <v>6.5033333653846158E-3</v>
      </c>
      <c r="T22" s="196">
        <v>0.20342835523680311</v>
      </c>
      <c r="U22" s="196">
        <v>-2278.0698885060847</v>
      </c>
      <c r="W22" s="1" t="s">
        <v>79</v>
      </c>
      <c r="X22" s="1" t="s">
        <v>71</v>
      </c>
      <c r="Y22" s="1">
        <v>6</v>
      </c>
      <c r="AA22" s="1" t="s">
        <v>221</v>
      </c>
      <c r="AB22" s="1" t="s">
        <v>222</v>
      </c>
      <c r="AD22" s="1">
        <v>104000000</v>
      </c>
      <c r="AE22" s="1">
        <v>-119340083.15000001</v>
      </c>
      <c r="AF22" s="42">
        <v>-1.1475007995192308</v>
      </c>
      <c r="AG22" s="1">
        <v>-118300083.15000001</v>
      </c>
      <c r="AH22" s="42">
        <v>-1.1375007995192308</v>
      </c>
      <c r="AI22" s="1">
        <v>-1040000</v>
      </c>
      <c r="AJ22" s="42">
        <v>-0.01</v>
      </c>
      <c r="AK22" s="196">
        <v>-3.5415883227236926</v>
      </c>
      <c r="AL22" s="196">
        <v>42064.830188786982</v>
      </c>
      <c r="AN22" s="48">
        <v>-6718980.9000000004</v>
      </c>
      <c r="AO22" s="42">
        <v>-6.4605585576923086E-2</v>
      </c>
      <c r="AP22" s="1">
        <v>-6355327.5599999996</v>
      </c>
      <c r="AQ22" s="42">
        <v>-6.110891884615384E-2</v>
      </c>
      <c r="AR22" s="1">
        <v>-363653.33</v>
      </c>
      <c r="AS22" s="42">
        <v>-3.4966666346153848E-3</v>
      </c>
      <c r="AT22" s="196">
        <v>-3.5911862774325587</v>
      </c>
      <c r="AU22" s="196">
        <v>39786.760300280897</v>
      </c>
      <c r="AX22" s="42"/>
      <c r="AZ22" s="42"/>
      <c r="BB22" s="42"/>
      <c r="BE22" s="42"/>
      <c r="BG22" s="42"/>
      <c r="BI22" s="42"/>
      <c r="BL22" s="42"/>
      <c r="BN22" s="42"/>
      <c r="BP22" s="42"/>
      <c r="BT22" s="42"/>
      <c r="BV22" s="42"/>
      <c r="BX22" s="42"/>
      <c r="CJ22" s="1" t="s">
        <v>53</v>
      </c>
      <c r="CK22" s="1" t="s">
        <v>223</v>
      </c>
      <c r="CL22" s="1" t="s">
        <v>51</v>
      </c>
      <c r="CM22" s="1" t="s">
        <v>143</v>
      </c>
      <c r="CN22" s="1" t="s">
        <v>55</v>
      </c>
      <c r="CO22" s="1" t="s">
        <v>224</v>
      </c>
      <c r="CP22" s="1" t="s">
        <v>57</v>
      </c>
      <c r="CQ22" s="1" t="s">
        <v>225</v>
      </c>
    </row>
    <row r="23" spans="1:95" x14ac:dyDescent="0.2">
      <c r="A23" s="1" t="s">
        <v>235</v>
      </c>
      <c r="B23" s="101" t="s">
        <v>173</v>
      </c>
      <c r="C23" s="101" t="s">
        <v>173</v>
      </c>
      <c r="D23" s="1">
        <v>70618160</v>
      </c>
      <c r="E23" s="1" t="s">
        <v>228</v>
      </c>
      <c r="G23" s="1" t="s">
        <v>174</v>
      </c>
      <c r="H23" s="1" t="s">
        <v>67</v>
      </c>
      <c r="I23" s="1" t="s">
        <v>430</v>
      </c>
      <c r="J23" s="1">
        <v>303.3</v>
      </c>
      <c r="K23" s="1" t="s">
        <v>232</v>
      </c>
      <c r="L23" s="1" t="s">
        <v>216</v>
      </c>
      <c r="M23" s="1">
        <v>50000000</v>
      </c>
      <c r="N23" s="1">
        <v>52151209.659999996</v>
      </c>
      <c r="O23" s="42">
        <v>1.0430241931999999</v>
      </c>
      <c r="P23" s="1">
        <v>50954302.719999999</v>
      </c>
      <c r="Q23" s="42">
        <v>1.0190860544</v>
      </c>
      <c r="R23" s="1">
        <v>1196906.94</v>
      </c>
      <c r="S23" s="42">
        <v>2.3938138799999998E-2</v>
      </c>
      <c r="T23" s="196">
        <v>0.11611389614324664</v>
      </c>
      <c r="U23" s="196">
        <v>-604.97611397951846</v>
      </c>
      <c r="W23" s="1" t="s">
        <v>79</v>
      </c>
      <c r="X23" s="1" t="s">
        <v>71</v>
      </c>
      <c r="Y23" s="1">
        <v>6</v>
      </c>
      <c r="AA23" s="1" t="s">
        <v>232</v>
      </c>
      <c r="AB23" s="1" t="s">
        <v>216</v>
      </c>
      <c r="AD23" s="1">
        <v>50000000</v>
      </c>
      <c r="AE23" s="1">
        <v>-52336879.799999997</v>
      </c>
      <c r="AF23" s="42">
        <v>-1.046737596</v>
      </c>
      <c r="AG23" s="1">
        <v>-51039799.18</v>
      </c>
      <c r="AH23" s="42">
        <v>-1.0207959836</v>
      </c>
      <c r="AI23" s="1">
        <v>-1297080.6200000001</v>
      </c>
      <c r="AJ23" s="42">
        <v>-2.5941612400000001E-2</v>
      </c>
      <c r="AK23" s="196">
        <v>-0.60831294384142209</v>
      </c>
      <c r="AL23" s="196">
        <v>3180.536780577153</v>
      </c>
      <c r="AN23" s="48">
        <v>-185670.14</v>
      </c>
      <c r="AO23" s="42">
        <v>-3.7134028000000005E-3</v>
      </c>
      <c r="AP23" s="1">
        <v>-85496.47</v>
      </c>
      <c r="AQ23" s="42">
        <v>-1.7099293999999999E-3</v>
      </c>
      <c r="AR23" s="1">
        <v>-100173.68</v>
      </c>
      <c r="AS23" s="42">
        <v>-2.0034735999999997E-3</v>
      </c>
      <c r="AT23" s="196">
        <v>-0.51323786523453907</v>
      </c>
      <c r="AU23" s="196">
        <v>2575.5606665976347</v>
      </c>
      <c r="AX23" s="42"/>
      <c r="AZ23" s="42"/>
      <c r="BB23" s="42"/>
      <c r="BE23" s="42"/>
      <c r="BG23" s="42"/>
      <c r="BI23" s="42"/>
      <c r="BL23" s="42"/>
      <c r="BN23" s="42"/>
      <c r="BP23" s="42"/>
      <c r="BT23" s="42"/>
      <c r="BV23" s="42"/>
      <c r="BX23" s="42"/>
      <c r="CJ23" s="1" t="s">
        <v>53</v>
      </c>
      <c r="CK23" s="1" t="s">
        <v>234</v>
      </c>
      <c r="CL23" s="1" t="s">
        <v>51</v>
      </c>
      <c r="CM23" s="1" t="s">
        <v>233</v>
      </c>
      <c r="CN23" s="1" t="s">
        <v>55</v>
      </c>
      <c r="CO23" s="1" t="s">
        <v>229</v>
      </c>
      <c r="CP23" s="1" t="s">
        <v>57</v>
      </c>
      <c r="CQ23" s="1" t="s">
        <v>235</v>
      </c>
    </row>
    <row r="24" spans="1:95" x14ac:dyDescent="0.2">
      <c r="A24" s="1" t="s">
        <v>239</v>
      </c>
      <c r="B24" s="101" t="s">
        <v>173</v>
      </c>
      <c r="C24" s="101" t="s">
        <v>173</v>
      </c>
      <c r="D24" s="1">
        <v>70618161</v>
      </c>
      <c r="E24" s="1" t="s">
        <v>228</v>
      </c>
      <c r="G24" s="1" t="s">
        <v>174</v>
      </c>
      <c r="H24" s="1" t="s">
        <v>67</v>
      </c>
      <c r="I24" s="1" t="s">
        <v>430</v>
      </c>
      <c r="J24" s="1">
        <v>312.5</v>
      </c>
      <c r="K24" s="1" t="s">
        <v>236</v>
      </c>
      <c r="L24" s="1" t="s">
        <v>182</v>
      </c>
      <c r="M24" s="1">
        <v>50000000</v>
      </c>
      <c r="N24" s="1">
        <v>52184989.649999999</v>
      </c>
      <c r="O24" s="42">
        <v>1.043699793</v>
      </c>
      <c r="P24" s="1">
        <v>50978806.32</v>
      </c>
      <c r="Q24" s="42">
        <v>1.0195761264000001</v>
      </c>
      <c r="R24" s="1">
        <v>1206183.33</v>
      </c>
      <c r="S24" s="42">
        <v>2.4123666600000003E-2</v>
      </c>
      <c r="T24" s="196">
        <v>0.1163243961183254</v>
      </c>
      <c r="U24" s="196">
        <v>-606.60651403702798</v>
      </c>
      <c r="W24" s="1" t="s">
        <v>79</v>
      </c>
      <c r="X24" s="1" t="s">
        <v>71</v>
      </c>
      <c r="Y24" s="1">
        <v>6</v>
      </c>
      <c r="AA24" s="1" t="s">
        <v>236</v>
      </c>
      <c r="AB24" s="1" t="s">
        <v>182</v>
      </c>
      <c r="AD24" s="1">
        <v>50000000</v>
      </c>
      <c r="AE24" s="1">
        <v>-52328277.25</v>
      </c>
      <c r="AF24" s="42">
        <v>-1.046565545</v>
      </c>
      <c r="AG24" s="1">
        <v>-51039393.350000001</v>
      </c>
      <c r="AH24" s="42">
        <v>-1.0207878670000001</v>
      </c>
      <c r="AI24" s="1">
        <v>-1288883.8999999999</v>
      </c>
      <c r="AJ24" s="42">
        <v>-2.5777677999999998E-2</v>
      </c>
      <c r="AK24" s="196">
        <v>-0.60831294384142209</v>
      </c>
      <c r="AL24" s="196">
        <v>3180.536780577153</v>
      </c>
      <c r="AN24" s="48">
        <v>-143287.59</v>
      </c>
      <c r="AO24" s="42">
        <v>-2.8657518E-3</v>
      </c>
      <c r="AP24" s="1">
        <v>-60587.03</v>
      </c>
      <c r="AQ24" s="42">
        <v>-1.2117406E-3</v>
      </c>
      <c r="AR24" s="1">
        <v>-82700.570000000007</v>
      </c>
      <c r="AS24" s="42">
        <v>-1.6540114000000001E-3</v>
      </c>
      <c r="AT24" s="196">
        <v>-0.51338230001103025</v>
      </c>
      <c r="AU24" s="196">
        <v>2573.9302665401251</v>
      </c>
      <c r="AX24" s="42"/>
      <c r="AZ24" s="42"/>
      <c r="BB24" s="42"/>
      <c r="BE24" s="42"/>
      <c r="BG24" s="42"/>
      <c r="BI24" s="42"/>
      <c r="BL24" s="42"/>
      <c r="BN24" s="42"/>
      <c r="BP24" s="42"/>
      <c r="BT24" s="42"/>
      <c r="BV24" s="42"/>
      <c r="BX24" s="42"/>
      <c r="CJ24" s="1" t="s">
        <v>53</v>
      </c>
      <c r="CK24" s="1" t="s">
        <v>238</v>
      </c>
      <c r="CL24" s="1" t="s">
        <v>51</v>
      </c>
      <c r="CM24" s="1" t="s">
        <v>237</v>
      </c>
      <c r="CN24" s="1" t="s">
        <v>55</v>
      </c>
      <c r="CO24" s="1" t="s">
        <v>229</v>
      </c>
      <c r="CP24" s="1" t="s">
        <v>57</v>
      </c>
      <c r="CQ24" s="1" t="s">
        <v>239</v>
      </c>
    </row>
    <row r="25" spans="1:95" x14ac:dyDescent="0.2">
      <c r="A25" s="1" t="s">
        <v>115</v>
      </c>
      <c r="B25" s="101" t="s">
        <v>93</v>
      </c>
      <c r="C25" s="101" t="s">
        <v>93</v>
      </c>
      <c r="D25" s="1">
        <v>69227200</v>
      </c>
      <c r="E25" s="1" t="s">
        <v>75</v>
      </c>
      <c r="G25" s="1" t="s">
        <v>79</v>
      </c>
      <c r="H25" s="1" t="s">
        <v>67</v>
      </c>
      <c r="I25" s="1">
        <v>3.3325</v>
      </c>
      <c r="K25" s="1" t="s">
        <v>111</v>
      </c>
      <c r="L25" s="1" t="s">
        <v>112</v>
      </c>
      <c r="M25" s="1">
        <v>7185629</v>
      </c>
      <c r="N25" s="1">
        <v>7542936.1100000003</v>
      </c>
      <c r="O25" s="42">
        <v>1.0497252376931789</v>
      </c>
      <c r="P25" s="1">
        <v>7467106.7699999996</v>
      </c>
      <c r="Q25" s="42">
        <v>1.0391723215879918</v>
      </c>
      <c r="R25" s="1">
        <v>75829.34</v>
      </c>
      <c r="S25" s="42">
        <v>1.0552916105187172E-2</v>
      </c>
      <c r="T25" s="196">
        <f>VLOOKUP($A25,'TCD Sensi SD IPA'!$B$5:$H$36,3,FALSE)</f>
        <v>3.484</v>
      </c>
      <c r="U25" s="196">
        <f>VLOOKUP($A25,'TCD Sensi SD IPA'!$B$5:$H$36,6,FALSE)</f>
        <v>-2635.12</v>
      </c>
      <c r="W25" s="1" t="s">
        <v>79</v>
      </c>
      <c r="X25" s="1" t="s">
        <v>71</v>
      </c>
      <c r="Y25" s="1">
        <v>5.25</v>
      </c>
      <c r="AA25" s="1" t="s">
        <v>111</v>
      </c>
      <c r="AB25" s="1" t="s">
        <v>112</v>
      </c>
      <c r="AC25" s="1" t="s">
        <v>64</v>
      </c>
      <c r="AD25" s="1">
        <v>6000000</v>
      </c>
      <c r="AE25" s="1">
        <v>-6340819.5099999998</v>
      </c>
      <c r="AF25" s="42">
        <v>-1.0568032516666666</v>
      </c>
      <c r="AG25" s="1">
        <v>-6242819.5099999998</v>
      </c>
      <c r="AH25" s="42">
        <v>-1.0404699183333332</v>
      </c>
      <c r="AI25" s="1">
        <v>-98000</v>
      </c>
      <c r="AJ25" s="42">
        <v>-1.6333333333333332E-2</v>
      </c>
      <c r="AK25" s="196">
        <f>VLOOKUP($A25,'TCD Sensi SD IPA'!$B$5:$H$36,4,FALSE)</f>
        <v>3.2749999999999999</v>
      </c>
      <c r="AL25" s="196">
        <f>VLOOKUP($A25,'TCD Sensi SD IPA'!$B$5:$H$36,7,FALSE)</f>
        <v>2077.27</v>
      </c>
      <c r="AN25" s="48">
        <v>-34525.06</v>
      </c>
      <c r="AO25" s="42">
        <v>-4.8047373444969118E-3</v>
      </c>
      <c r="AP25" s="1">
        <v>6758.4</v>
      </c>
      <c r="AQ25" s="42">
        <v>9.405439662971745E-4</v>
      </c>
      <c r="AR25" s="1">
        <v>-41283.47</v>
      </c>
      <c r="AS25" s="42">
        <v>-5.7452827024607033E-3</v>
      </c>
      <c r="AT25" s="196">
        <f>VLOOKUP($A25,'TCD Sensi SD IPA'!$B$5:$H$36,2,FALSE)</f>
        <v>0.214</v>
      </c>
      <c r="AU25" s="196">
        <f>VLOOKUP($A25,'TCD Sensi SD IPA'!$B$5:$H$36,5,FALSE)</f>
        <v>-2635.12</v>
      </c>
      <c r="AX25" s="42"/>
      <c r="AZ25" s="42"/>
      <c r="BB25" s="42"/>
      <c r="BE25" s="42"/>
      <c r="BG25" s="42"/>
      <c r="BI25" s="42"/>
      <c r="BL25" s="42"/>
      <c r="BN25" s="42"/>
      <c r="BP25" s="42"/>
      <c r="BT25" s="42"/>
      <c r="BV25" s="42"/>
      <c r="BX25" s="42"/>
      <c r="CJ25" s="1" t="s">
        <v>53</v>
      </c>
      <c r="CK25" s="1" t="s">
        <v>114</v>
      </c>
      <c r="CL25" s="1" t="s">
        <v>51</v>
      </c>
      <c r="CM25" s="1" t="s">
        <v>113</v>
      </c>
      <c r="CN25" s="1" t="s">
        <v>55</v>
      </c>
      <c r="CO25" s="1" t="s">
        <v>102</v>
      </c>
      <c r="CP25" s="1" t="s">
        <v>57</v>
      </c>
      <c r="CQ25" s="1" t="s">
        <v>115</v>
      </c>
    </row>
    <row r="26" spans="1:95" x14ac:dyDescent="0.2">
      <c r="A26" s="1" t="s">
        <v>118</v>
      </c>
      <c r="B26" s="101" t="s">
        <v>93</v>
      </c>
      <c r="C26" s="101" t="s">
        <v>93</v>
      </c>
      <c r="D26" s="1">
        <v>69211698</v>
      </c>
      <c r="E26" s="1" t="s">
        <v>92</v>
      </c>
      <c r="G26" s="1" t="s">
        <v>79</v>
      </c>
      <c r="H26" s="1" t="s">
        <v>67</v>
      </c>
      <c r="I26" s="1">
        <v>3.4350000000000001</v>
      </c>
      <c r="K26" s="1" t="s">
        <v>111</v>
      </c>
      <c r="L26" s="1" t="s">
        <v>112</v>
      </c>
      <c r="M26" s="1">
        <v>7168458</v>
      </c>
      <c r="N26" s="1">
        <v>7552970.0199999996</v>
      </c>
      <c r="O26" s="42">
        <v>1.053639432636698</v>
      </c>
      <c r="P26" s="1">
        <v>7474995.1100000003</v>
      </c>
      <c r="Q26" s="42">
        <v>1.0427619315060506</v>
      </c>
      <c r="R26" s="1">
        <v>77974.899999999994</v>
      </c>
      <c r="S26" s="42">
        <v>1.0877499735647471E-2</v>
      </c>
      <c r="T26" s="196">
        <f>VLOOKUP($A26,'TCD Sensi SD IPA'!$B$5:$H$36,3,FALSE)</f>
        <v>3.4790000000000001</v>
      </c>
      <c r="U26" s="196">
        <f>VLOOKUP($A26,'TCD Sensi SD IPA'!$B$5:$H$36,6,FALSE)</f>
        <v>-2634.87</v>
      </c>
      <c r="W26" s="1" t="s">
        <v>79</v>
      </c>
      <c r="X26" s="1" t="s">
        <v>71</v>
      </c>
      <c r="Y26" s="1">
        <v>5.25</v>
      </c>
      <c r="AA26" s="1" t="s">
        <v>111</v>
      </c>
      <c r="AB26" s="1" t="s">
        <v>112</v>
      </c>
      <c r="AC26" s="1" t="s">
        <v>64</v>
      </c>
      <c r="AD26" s="1">
        <v>6000000</v>
      </c>
      <c r="AE26" s="1">
        <v>-6340819.5099999998</v>
      </c>
      <c r="AF26" s="42">
        <v>-1.0568032516666666</v>
      </c>
      <c r="AG26" s="1">
        <v>-6242819.5099999998</v>
      </c>
      <c r="AH26" s="42">
        <v>-1.0404699183333332</v>
      </c>
      <c r="AI26" s="1">
        <v>-98000</v>
      </c>
      <c r="AJ26" s="42">
        <v>-1.6333333333333332E-2</v>
      </c>
      <c r="AK26" s="196">
        <f>VLOOKUP($A26,'TCD Sensi SD IPA'!$B$5:$H$36,4,FALSE)</f>
        <v>3.2749999999999999</v>
      </c>
      <c r="AL26" s="196">
        <f>VLOOKUP($A26,'TCD Sensi SD IPA'!$B$5:$H$36,7,FALSE)</f>
        <v>2077.27</v>
      </c>
      <c r="AN26" s="48">
        <v>-24491.16</v>
      </c>
      <c r="AO26" s="42">
        <v>-3.4165171924003738E-3</v>
      </c>
      <c r="AP26" s="1">
        <v>14646.75</v>
      </c>
      <c r="AQ26" s="42">
        <v>2.0432218477111812E-3</v>
      </c>
      <c r="AR26" s="1">
        <v>-39137.910000000003</v>
      </c>
      <c r="AS26" s="42">
        <v>-5.4597390401115555E-3</v>
      </c>
      <c r="AT26" s="196">
        <f>VLOOKUP($A26,'TCD Sensi SD IPA'!$B$5:$H$36,2,FALSE)</f>
        <v>0.215</v>
      </c>
      <c r="AU26" s="196">
        <f>VLOOKUP($A26,'TCD Sensi SD IPA'!$B$5:$H$36,5,FALSE)</f>
        <v>-2634.87</v>
      </c>
      <c r="AX26" s="42"/>
      <c r="AZ26" s="42"/>
      <c r="BB26" s="42"/>
      <c r="BE26" s="42"/>
      <c r="BG26" s="42"/>
      <c r="BI26" s="42"/>
      <c r="BL26" s="42"/>
      <c r="BN26" s="42"/>
      <c r="BP26" s="42"/>
      <c r="BT26" s="42"/>
      <c r="BV26" s="42"/>
      <c r="BX26" s="42"/>
      <c r="CJ26" s="1" t="s">
        <v>53</v>
      </c>
      <c r="CK26" s="1" t="s">
        <v>117</v>
      </c>
      <c r="CL26" s="1" t="s">
        <v>51</v>
      </c>
      <c r="CM26" s="1" t="s">
        <v>116</v>
      </c>
      <c r="CN26" s="1" t="s">
        <v>55</v>
      </c>
      <c r="CO26" s="1" t="s">
        <v>96</v>
      </c>
      <c r="CP26" s="1" t="s">
        <v>57</v>
      </c>
      <c r="CQ26" s="1" t="s">
        <v>118</v>
      </c>
    </row>
    <row r="27" spans="1:95" x14ac:dyDescent="0.2">
      <c r="A27" s="1" t="s">
        <v>126</v>
      </c>
      <c r="B27" s="101" t="s">
        <v>93</v>
      </c>
      <c r="C27" s="101" t="s">
        <v>93</v>
      </c>
      <c r="D27" s="1">
        <v>69189004</v>
      </c>
      <c r="E27" s="1" t="s">
        <v>75</v>
      </c>
      <c r="G27" s="1" t="s">
        <v>79</v>
      </c>
      <c r="H27" s="1" t="s">
        <v>67</v>
      </c>
      <c r="I27" s="1">
        <v>3.4049999999999998</v>
      </c>
      <c r="K27" s="1" t="s">
        <v>122</v>
      </c>
      <c r="L27" s="1" t="s">
        <v>123</v>
      </c>
      <c r="M27" s="1">
        <v>11978917</v>
      </c>
      <c r="N27" s="1">
        <v>12296744.449999999</v>
      </c>
      <c r="O27" s="42">
        <v>1.0265322357605449</v>
      </c>
      <c r="P27" s="1">
        <v>12282015.369999999</v>
      </c>
      <c r="Q27" s="42">
        <v>1.0253026521512754</v>
      </c>
      <c r="R27" s="1">
        <v>14729.08</v>
      </c>
      <c r="S27" s="42">
        <v>1.2295836092695192E-3</v>
      </c>
      <c r="T27" s="196">
        <f>VLOOKUP($A27,'TCD Sensi SD IPA'!$B$5:$H$36,3,FALSE)</f>
        <v>1.92</v>
      </c>
      <c r="U27" s="196">
        <f>VLOOKUP($A27,'TCD Sensi SD IPA'!$B$5:$H$36,6,FALSE)</f>
        <v>-2364.9299999999998</v>
      </c>
      <c r="W27" s="1" t="s">
        <v>79</v>
      </c>
      <c r="X27" s="1" t="s">
        <v>71</v>
      </c>
      <c r="Y27" s="1">
        <v>5.375</v>
      </c>
      <c r="AA27" s="1" t="s">
        <v>122</v>
      </c>
      <c r="AB27" s="1" t="s">
        <v>123</v>
      </c>
      <c r="AC27" s="1" t="s">
        <v>64</v>
      </c>
      <c r="AD27" s="1">
        <v>10000000</v>
      </c>
      <c r="AE27" s="1">
        <v>-10255844.52</v>
      </c>
      <c r="AF27" s="42">
        <v>-1.0255844519999999</v>
      </c>
      <c r="AG27" s="1">
        <v>-10236700.68</v>
      </c>
      <c r="AH27" s="42">
        <v>-1.0236700679999999</v>
      </c>
      <c r="AI27" s="1">
        <v>-19143.84</v>
      </c>
      <c r="AJ27" s="42">
        <v>-1.9143840000000001E-3</v>
      </c>
      <c r="AK27" s="196">
        <f>VLOOKUP($A27,'TCD Sensi SD IPA'!$B$5:$H$36,4,FALSE)</f>
        <v>1.84</v>
      </c>
      <c r="AL27" s="196">
        <f>VLOOKUP($A27,'TCD Sensi SD IPA'!$B$5:$H$36,7,FALSE)</f>
        <v>1887.26</v>
      </c>
      <c r="AN27" s="48">
        <v>40716.11</v>
      </c>
      <c r="AO27" s="42">
        <v>3.398980892846991E-3</v>
      </c>
      <c r="AP27" s="1">
        <v>48864.46</v>
      </c>
      <c r="AQ27" s="42">
        <v>4.0792051568601731E-3</v>
      </c>
      <c r="AR27" s="1">
        <v>-8148.36</v>
      </c>
      <c r="AS27" s="42">
        <v>-6.8022509881318985E-4</v>
      </c>
      <c r="AT27" s="196">
        <f>VLOOKUP($A27,'TCD Sensi SD IPA'!$B$5:$H$36,2,FALSE)</f>
        <v>9.1999999999999998E-2</v>
      </c>
      <c r="AU27" s="196">
        <f>VLOOKUP($A27,'TCD Sensi SD IPA'!$B$5:$H$36,5,FALSE)</f>
        <v>-2364.9299999999998</v>
      </c>
      <c r="AX27" s="42"/>
      <c r="AZ27" s="42"/>
      <c r="BB27" s="42"/>
      <c r="BE27" s="42"/>
      <c r="BG27" s="42"/>
      <c r="BI27" s="42"/>
      <c r="BL27" s="42"/>
      <c r="BN27" s="42"/>
      <c r="BP27" s="42"/>
      <c r="BT27" s="42"/>
      <c r="BV27" s="42"/>
      <c r="BX27" s="42"/>
      <c r="CJ27" s="1" t="s">
        <v>53</v>
      </c>
      <c r="CK27" s="1" t="s">
        <v>125</v>
      </c>
      <c r="CL27" s="1" t="s">
        <v>51</v>
      </c>
      <c r="CM27" s="1" t="s">
        <v>124</v>
      </c>
      <c r="CN27" s="1" t="s">
        <v>55</v>
      </c>
      <c r="CO27" s="1" t="s">
        <v>102</v>
      </c>
      <c r="CP27" s="1" t="s">
        <v>57</v>
      </c>
      <c r="CQ27" s="1" t="s">
        <v>126</v>
      </c>
    </row>
    <row r="28" spans="1:95" x14ac:dyDescent="0.2">
      <c r="A28" s="1" t="s">
        <v>130</v>
      </c>
      <c r="B28" s="101" t="s">
        <v>93</v>
      </c>
      <c r="C28" s="101" t="s">
        <v>93</v>
      </c>
      <c r="D28" s="1">
        <v>69174181</v>
      </c>
      <c r="E28" s="1" t="s">
        <v>75</v>
      </c>
      <c r="G28" s="1" t="s">
        <v>79</v>
      </c>
      <c r="H28" s="1" t="s">
        <v>67</v>
      </c>
      <c r="I28" s="1">
        <v>3.3975</v>
      </c>
      <c r="K28" s="1" t="s">
        <v>127</v>
      </c>
      <c r="L28" s="1" t="s">
        <v>112</v>
      </c>
      <c r="M28" s="1">
        <v>8203445</v>
      </c>
      <c r="N28" s="1">
        <v>8631726.1999999993</v>
      </c>
      <c r="O28" s="42">
        <v>1.0522074811253077</v>
      </c>
      <c r="P28" s="1">
        <v>8543467.3900000006</v>
      </c>
      <c r="Q28" s="42">
        <v>1.0414487315999559</v>
      </c>
      <c r="R28" s="1">
        <v>88258.82</v>
      </c>
      <c r="S28" s="42">
        <v>1.0758750744351916E-2</v>
      </c>
      <c r="T28" s="196">
        <f>VLOOKUP($A28,'TCD Sensi SD IPA'!$B$5:$H$36,3,FALSE)</f>
        <v>3.4809999999999999</v>
      </c>
      <c r="U28" s="196">
        <f>VLOOKUP($A28,'TCD Sensi SD IPA'!$B$5:$H$36,6,FALSE)</f>
        <v>-3012.75</v>
      </c>
      <c r="W28" s="1" t="s">
        <v>79</v>
      </c>
      <c r="X28" s="1" t="s">
        <v>71</v>
      </c>
      <c r="Y28" s="1">
        <v>5.25</v>
      </c>
      <c r="AA28" s="1" t="s">
        <v>127</v>
      </c>
      <c r="AB28" s="1" t="s">
        <v>112</v>
      </c>
      <c r="AC28" s="1" t="s">
        <v>64</v>
      </c>
      <c r="AD28" s="1">
        <v>7000000</v>
      </c>
      <c r="AE28" s="1">
        <v>-7397622.7699999996</v>
      </c>
      <c r="AF28" s="42">
        <v>-1.0568032528571427</v>
      </c>
      <c r="AG28" s="1">
        <v>-7283289.4299999997</v>
      </c>
      <c r="AH28" s="42">
        <v>-1.0404699185714286</v>
      </c>
      <c r="AI28" s="1">
        <v>-114333.33</v>
      </c>
      <c r="AJ28" s="42">
        <v>-1.6333332857142856E-2</v>
      </c>
      <c r="AK28" s="196">
        <f>VLOOKUP($A28,'TCD Sensi SD IPA'!$B$5:$H$36,4,FALSE)</f>
        <v>3.2749999999999999</v>
      </c>
      <c r="AL28" s="196">
        <f>VLOOKUP($A28,'TCD Sensi SD IPA'!$B$5:$H$36,7,FALSE)</f>
        <v>2423.48</v>
      </c>
      <c r="AN28" s="48">
        <v>-208645.17</v>
      </c>
      <c r="AO28" s="42">
        <v>-2.5433847609144696E-2</v>
      </c>
      <c r="AP28" s="1">
        <v>-160272.38</v>
      </c>
      <c r="AQ28" s="42">
        <v>-1.9537204186777627E-2</v>
      </c>
      <c r="AR28" s="1">
        <v>-48372.79</v>
      </c>
      <c r="AS28" s="42">
        <v>-5.8966434223670667E-3</v>
      </c>
      <c r="AT28" s="196">
        <f>VLOOKUP($A28,'TCD Sensi SD IPA'!$B$5:$H$36,2,FALSE)</f>
        <v>0.13800000000000001</v>
      </c>
      <c r="AU28" s="196">
        <f>VLOOKUP($A28,'TCD Sensi SD IPA'!$B$5:$H$36,5,FALSE)</f>
        <v>-3012.75</v>
      </c>
      <c r="AX28" s="42"/>
      <c r="AZ28" s="42"/>
      <c r="BB28" s="42"/>
      <c r="BE28" s="42"/>
      <c r="BG28" s="42"/>
      <c r="BI28" s="42"/>
      <c r="BL28" s="42"/>
      <c r="BN28" s="42"/>
      <c r="BP28" s="42"/>
      <c r="BT28" s="42"/>
      <c r="BV28" s="42"/>
      <c r="BX28" s="42"/>
      <c r="CJ28" s="1" t="s">
        <v>53</v>
      </c>
      <c r="CK28" s="1" t="s">
        <v>129</v>
      </c>
      <c r="CL28" s="1" t="s">
        <v>51</v>
      </c>
      <c r="CM28" s="1" t="s">
        <v>128</v>
      </c>
      <c r="CN28" s="1" t="s">
        <v>55</v>
      </c>
      <c r="CO28" s="1" t="s">
        <v>102</v>
      </c>
      <c r="CP28" s="1" t="s">
        <v>57</v>
      </c>
      <c r="CQ28" s="1" t="s">
        <v>130</v>
      </c>
    </row>
    <row r="29" spans="1:95" x14ac:dyDescent="0.2">
      <c r="A29" s="1" t="s">
        <v>139</v>
      </c>
      <c r="B29" s="101" t="s">
        <v>93</v>
      </c>
      <c r="C29" s="101" t="s">
        <v>93</v>
      </c>
      <c r="D29" s="1">
        <v>69163276</v>
      </c>
      <c r="E29" s="1" t="s">
        <v>75</v>
      </c>
      <c r="G29" s="1" t="s">
        <v>79</v>
      </c>
      <c r="H29" s="1" t="s">
        <v>67</v>
      </c>
      <c r="I29" s="1">
        <v>3.5</v>
      </c>
      <c r="K29" s="1" t="s">
        <v>111</v>
      </c>
      <c r="L29" s="1" t="s">
        <v>112</v>
      </c>
      <c r="M29" s="1">
        <v>9361105</v>
      </c>
      <c r="N29" s="1">
        <v>9886464.5899999999</v>
      </c>
      <c r="O29" s="42">
        <v>1.056121535865691</v>
      </c>
      <c r="P29" s="1">
        <v>9782712.3499999996</v>
      </c>
      <c r="Q29" s="42">
        <v>1.0450382032890349</v>
      </c>
      <c r="R29" s="1">
        <v>103752.24</v>
      </c>
      <c r="S29" s="42">
        <v>1.1083332576656281E-2</v>
      </c>
      <c r="T29" s="196">
        <f>VLOOKUP($A29,'TCD Sensi SD IPA'!$B$5:$H$36,3,FALSE)</f>
        <v>3.476</v>
      </c>
      <c r="U29" s="196">
        <f>VLOOKUP($A29,'TCD Sensi SD IPA'!$B$5:$H$36,6,FALSE)</f>
        <v>-3445.8</v>
      </c>
      <c r="W29" s="1" t="s">
        <v>79</v>
      </c>
      <c r="X29" s="1" t="s">
        <v>71</v>
      </c>
      <c r="Y29" s="1">
        <v>5.25</v>
      </c>
      <c r="AA29" s="1" t="s">
        <v>111</v>
      </c>
      <c r="AB29" s="1" t="s">
        <v>112</v>
      </c>
      <c r="AC29" s="1" t="s">
        <v>64</v>
      </c>
      <c r="AD29" s="1">
        <v>8000000</v>
      </c>
      <c r="AE29" s="1">
        <v>-8454426.0299999993</v>
      </c>
      <c r="AF29" s="42">
        <v>-1.0568032537499998</v>
      </c>
      <c r="AG29" s="1">
        <v>-8323759.3600000003</v>
      </c>
      <c r="AH29" s="42">
        <v>-1.04046992</v>
      </c>
      <c r="AI29" s="1">
        <v>-130666.67</v>
      </c>
      <c r="AJ29" s="42">
        <v>-1.6333333749999998E-2</v>
      </c>
      <c r="AK29" s="196">
        <f>VLOOKUP($A29,'TCD Sensi SD IPA'!$B$5:$H$36,4,FALSE)</f>
        <v>3.2749999999999999</v>
      </c>
      <c r="AL29" s="196">
        <f>VLOOKUP($A29,'TCD Sensi SD IPA'!$B$5:$H$36,7,FALSE)</f>
        <v>2769.69</v>
      </c>
      <c r="AN29" s="48">
        <v>-216816.99</v>
      </c>
      <c r="AO29" s="42">
        <v>-2.3161473992653645E-2</v>
      </c>
      <c r="AP29" s="1">
        <v>-164418.82</v>
      </c>
      <c r="AQ29" s="42">
        <v>-1.7564039715396846E-2</v>
      </c>
      <c r="AR29" s="1">
        <v>-52398.17</v>
      </c>
      <c r="AS29" s="42">
        <v>-5.5974342772567983E-3</v>
      </c>
      <c r="AT29" s="196">
        <f>VLOOKUP($A29,'TCD Sensi SD IPA'!$B$5:$H$36,2,FALSE)</f>
        <v>0.14099999999999999</v>
      </c>
      <c r="AU29" s="196">
        <f>VLOOKUP($A29,'TCD Sensi SD IPA'!$B$5:$H$36,5,FALSE)</f>
        <v>-3445.8</v>
      </c>
      <c r="AX29" s="42"/>
      <c r="AZ29" s="42"/>
      <c r="BB29" s="42"/>
      <c r="BE29" s="42"/>
      <c r="BG29" s="42"/>
      <c r="BI29" s="42"/>
      <c r="BL29" s="42"/>
      <c r="BN29" s="42"/>
      <c r="BP29" s="42"/>
      <c r="BT29" s="42"/>
      <c r="BV29" s="42"/>
      <c r="BX29" s="42"/>
      <c r="CJ29" s="1" t="s">
        <v>53</v>
      </c>
      <c r="CK29" s="1" t="s">
        <v>138</v>
      </c>
      <c r="CL29" s="1" t="s">
        <v>51</v>
      </c>
      <c r="CM29" s="1" t="s">
        <v>137</v>
      </c>
      <c r="CN29" s="1" t="s">
        <v>55</v>
      </c>
      <c r="CO29" s="1" t="s">
        <v>102</v>
      </c>
      <c r="CP29" s="1" t="s">
        <v>57</v>
      </c>
      <c r="CQ29" s="1" t="s">
        <v>139</v>
      </c>
    </row>
    <row r="30" spans="1:95" x14ac:dyDescent="0.2">
      <c r="A30" s="1" t="s">
        <v>149</v>
      </c>
      <c r="B30" s="101" t="s">
        <v>93</v>
      </c>
      <c r="C30" s="101" t="s">
        <v>93</v>
      </c>
      <c r="D30" s="1">
        <v>69063721</v>
      </c>
      <c r="E30" s="1" t="s">
        <v>92</v>
      </c>
      <c r="G30" s="1" t="s">
        <v>79</v>
      </c>
      <c r="H30" s="1" t="s">
        <v>67</v>
      </c>
      <c r="I30" s="1">
        <v>3.6524999999999999</v>
      </c>
      <c r="K30" s="1" t="s">
        <v>146</v>
      </c>
      <c r="L30" s="1" t="s">
        <v>123</v>
      </c>
      <c r="M30" s="1">
        <v>5901794</v>
      </c>
      <c r="N30" s="1">
        <v>6086723.7800000003</v>
      </c>
      <c r="O30" s="42">
        <v>1.0313345026952823</v>
      </c>
      <c r="P30" s="1">
        <v>6078939.5599999996</v>
      </c>
      <c r="Q30" s="42">
        <v>1.0300155444259829</v>
      </c>
      <c r="R30" s="1">
        <v>7784.22</v>
      </c>
      <c r="S30" s="42">
        <v>1.3189582692991319E-3</v>
      </c>
      <c r="T30" s="196">
        <f>VLOOKUP($A30,'TCD Sensi SD IPA'!$B$5:$H$36,3,FALSE)</f>
        <v>1.9179999999999999</v>
      </c>
      <c r="U30" s="196">
        <f>VLOOKUP($A30,'TCD Sensi SD IPA'!$B$5:$H$36,6,FALSE)</f>
        <v>-1169.27</v>
      </c>
      <c r="W30" s="1" t="s">
        <v>79</v>
      </c>
      <c r="X30" s="1" t="s">
        <v>71</v>
      </c>
      <c r="Y30" s="1">
        <v>5.375</v>
      </c>
      <c r="AA30" s="1" t="s">
        <v>146</v>
      </c>
      <c r="AB30" s="1" t="s">
        <v>123</v>
      </c>
      <c r="AC30" s="1" t="s">
        <v>64</v>
      </c>
      <c r="AD30" s="1">
        <v>5000000</v>
      </c>
      <c r="AE30" s="1">
        <v>-5127922.25</v>
      </c>
      <c r="AF30" s="42">
        <v>-1.02558445</v>
      </c>
      <c r="AG30" s="1">
        <v>-5118217.3899999997</v>
      </c>
      <c r="AH30" s="42">
        <v>-1.0236434779999999</v>
      </c>
      <c r="AI30" s="1">
        <v>-9704.86</v>
      </c>
      <c r="AJ30" s="42">
        <v>-1.940972E-3</v>
      </c>
      <c r="AK30" s="196">
        <f>VLOOKUP($A30,'TCD Sensi SD IPA'!$B$5:$H$36,4,FALSE)</f>
        <v>1.84</v>
      </c>
      <c r="AL30" s="196">
        <f>VLOOKUP($A30,'TCD Sensi SD IPA'!$B$5:$H$36,7,FALSE)</f>
        <v>943.63</v>
      </c>
      <c r="AN30" s="48">
        <v>-41290.379999999997</v>
      </c>
      <c r="AO30" s="42">
        <v>-6.9962421595874064E-3</v>
      </c>
      <c r="AP30" s="1">
        <v>-37477.019999999997</v>
      </c>
      <c r="AQ30" s="42">
        <v>-6.3501064252666217E-3</v>
      </c>
      <c r="AR30" s="1">
        <v>-3813.37</v>
      </c>
      <c r="AS30" s="42">
        <v>-6.4613742872082617E-4</v>
      </c>
      <c r="AT30" s="196">
        <f>VLOOKUP($A30,'TCD Sensi SD IPA'!$B$5:$H$36,2,FALSE)</f>
        <v>7.0000000000000007E-2</v>
      </c>
      <c r="AU30" s="196">
        <f>VLOOKUP($A30,'TCD Sensi SD IPA'!$B$5:$H$36,5,FALSE)</f>
        <v>-1169.27</v>
      </c>
      <c r="AX30" s="42"/>
      <c r="AZ30" s="42"/>
      <c r="BB30" s="42"/>
      <c r="BE30" s="42"/>
      <c r="BG30" s="42"/>
      <c r="BI30" s="42"/>
      <c r="BL30" s="42"/>
      <c r="BN30" s="42"/>
      <c r="BP30" s="42"/>
      <c r="BT30" s="42"/>
      <c r="BV30" s="42"/>
      <c r="BX30" s="42"/>
      <c r="CJ30" s="1" t="s">
        <v>53</v>
      </c>
      <c r="CK30" s="1" t="s">
        <v>148</v>
      </c>
      <c r="CL30" s="1" t="s">
        <v>51</v>
      </c>
      <c r="CM30" s="1" t="s">
        <v>147</v>
      </c>
      <c r="CN30" s="1" t="s">
        <v>55</v>
      </c>
      <c r="CO30" s="1" t="s">
        <v>96</v>
      </c>
      <c r="CP30" s="1" t="s">
        <v>57</v>
      </c>
      <c r="CQ30" s="1" t="s">
        <v>149</v>
      </c>
    </row>
    <row r="31" spans="1:95" x14ac:dyDescent="0.2">
      <c r="A31" s="1" t="s">
        <v>156</v>
      </c>
      <c r="B31" s="101" t="s">
        <v>93</v>
      </c>
      <c r="C31" s="101" t="s">
        <v>93</v>
      </c>
      <c r="D31" s="1">
        <v>69015063</v>
      </c>
      <c r="E31" s="1" t="s">
        <v>75</v>
      </c>
      <c r="G31" s="1" t="s">
        <v>79</v>
      </c>
      <c r="H31" s="1" t="s">
        <v>67</v>
      </c>
      <c r="I31" s="1">
        <v>3.6230000000000002</v>
      </c>
      <c r="K31" s="1" t="s">
        <v>146</v>
      </c>
      <c r="L31" s="1" t="s">
        <v>123</v>
      </c>
      <c r="M31" s="1">
        <v>8505611</v>
      </c>
      <c r="N31" s="1">
        <v>8767261.3499999996</v>
      </c>
      <c r="O31" s="42">
        <v>1.0307620875208141</v>
      </c>
      <c r="P31" s="1">
        <v>8756133.4100000001</v>
      </c>
      <c r="Q31" s="42">
        <v>1.02945378174478</v>
      </c>
      <c r="R31" s="1">
        <v>11127.94</v>
      </c>
      <c r="S31" s="42">
        <v>1.3083057760341968E-3</v>
      </c>
      <c r="T31" s="196">
        <f>VLOOKUP($A31,'TCD Sensi SD IPA'!$B$5:$H$36,3,FALSE)</f>
        <v>1.919</v>
      </c>
      <c r="U31" s="196">
        <f>VLOOKUP($A31,'TCD Sensi SD IPA'!$B$5:$H$36,6,FALSE)</f>
        <v>-1684.44</v>
      </c>
      <c r="W31" s="1" t="s">
        <v>79</v>
      </c>
      <c r="X31" s="1" t="s">
        <v>71</v>
      </c>
      <c r="Y31" s="1">
        <v>5.375</v>
      </c>
      <c r="AA31" s="1" t="s">
        <v>146</v>
      </c>
      <c r="AB31" s="1" t="s">
        <v>123</v>
      </c>
      <c r="AC31" s="1" t="s">
        <v>64</v>
      </c>
      <c r="AD31" s="1">
        <v>7200000</v>
      </c>
      <c r="AE31" s="1">
        <v>-7384208.0499999998</v>
      </c>
      <c r="AF31" s="42">
        <v>-1.0255844513888888</v>
      </c>
      <c r="AG31" s="1">
        <v>-7370233.0499999998</v>
      </c>
      <c r="AH31" s="42">
        <v>-1.0236434791666666</v>
      </c>
      <c r="AI31" s="1">
        <v>-13975</v>
      </c>
      <c r="AJ31" s="42">
        <v>-1.9409722222222222E-3</v>
      </c>
      <c r="AK31" s="196">
        <f>VLOOKUP($A31,'TCD Sensi SD IPA'!$B$5:$H$36,4,FALSE)</f>
        <v>1.84</v>
      </c>
      <c r="AL31" s="196">
        <f>VLOOKUP($A31,'TCD Sensi SD IPA'!$B$5:$H$36,7,FALSE)</f>
        <v>1358.83</v>
      </c>
      <c r="AN31" s="48">
        <v>-57079.05</v>
      </c>
      <c r="AO31" s="42">
        <v>-6.7107524668127902E-3</v>
      </c>
      <c r="AP31" s="1">
        <v>-51506.47</v>
      </c>
      <c r="AQ31" s="42">
        <v>-6.0555873058384634E-3</v>
      </c>
      <c r="AR31" s="1">
        <v>-5572.59</v>
      </c>
      <c r="AS31" s="42">
        <v>-6.5516633666881782E-4</v>
      </c>
      <c r="AT31" s="196">
        <f>VLOOKUP($A31,'TCD Sensi SD IPA'!$B$5:$H$36,2,FALSE)</f>
        <v>7.0999999999999994E-2</v>
      </c>
      <c r="AU31" s="196">
        <f>VLOOKUP($A31,'TCD Sensi SD IPA'!$B$5:$H$36,5,FALSE)</f>
        <v>-1684.44</v>
      </c>
      <c r="AX31" s="42"/>
      <c r="AZ31" s="42"/>
      <c r="BB31" s="42"/>
      <c r="BE31" s="42"/>
      <c r="BG31" s="42"/>
      <c r="BI31" s="42"/>
      <c r="BL31" s="42"/>
      <c r="BN31" s="42"/>
      <c r="BP31" s="42"/>
      <c r="BT31" s="42"/>
      <c r="BV31" s="42"/>
      <c r="BX31" s="42"/>
      <c r="CJ31" s="1" t="s">
        <v>53</v>
      </c>
      <c r="CK31" s="1" t="s">
        <v>155</v>
      </c>
      <c r="CL31" s="1" t="s">
        <v>51</v>
      </c>
      <c r="CM31" s="1" t="s">
        <v>154</v>
      </c>
      <c r="CN31" s="1" t="s">
        <v>55</v>
      </c>
      <c r="CO31" s="1" t="s">
        <v>102</v>
      </c>
      <c r="CP31" s="1" t="s">
        <v>57</v>
      </c>
      <c r="CQ31" s="1" t="s">
        <v>156</v>
      </c>
    </row>
    <row r="32" spans="1:95" x14ac:dyDescent="0.2">
      <c r="A32" s="1" t="s">
        <v>164</v>
      </c>
      <c r="B32" s="101" t="s">
        <v>93</v>
      </c>
      <c r="C32" s="101" t="s">
        <v>93</v>
      </c>
      <c r="D32" s="1">
        <v>69146070</v>
      </c>
      <c r="E32" s="1" t="s">
        <v>92</v>
      </c>
      <c r="G32" s="1" t="s">
        <v>79</v>
      </c>
      <c r="H32" s="1" t="s">
        <v>67</v>
      </c>
      <c r="I32" s="1">
        <v>3.64</v>
      </c>
      <c r="K32" s="1" t="s">
        <v>111</v>
      </c>
      <c r="L32" s="1" t="s">
        <v>112</v>
      </c>
      <c r="M32" s="1">
        <v>17674090</v>
      </c>
      <c r="N32" s="1">
        <v>18760476.210000001</v>
      </c>
      <c r="O32" s="42">
        <v>1.0614677310118936</v>
      </c>
      <c r="P32" s="1">
        <v>18556752.859999999</v>
      </c>
      <c r="Q32" s="42">
        <v>1.049941064009519</v>
      </c>
      <c r="R32" s="1">
        <v>203723.34</v>
      </c>
      <c r="S32" s="42">
        <v>1.1526666436574668E-2</v>
      </c>
      <c r="T32" s="196">
        <f>VLOOKUP($A32,'TCD Sensi SD IPA'!$B$5:$H$36,3,FALSE)</f>
        <v>3.4689999999999999</v>
      </c>
      <c r="U32" s="196">
        <f>VLOOKUP($A32,'TCD Sensi SD IPA'!$B$5:$H$36,6,FALSE)</f>
        <v>-6526.16</v>
      </c>
      <c r="W32" s="1" t="s">
        <v>79</v>
      </c>
      <c r="X32" s="1" t="s">
        <v>71</v>
      </c>
      <c r="Y32" s="1">
        <v>5.25</v>
      </c>
      <c r="AA32" s="1" t="s">
        <v>111</v>
      </c>
      <c r="AB32" s="1" t="s">
        <v>112</v>
      </c>
      <c r="AC32" s="1" t="s">
        <v>64</v>
      </c>
      <c r="AD32" s="1">
        <v>15000000</v>
      </c>
      <c r="AE32" s="1">
        <v>-15852048.789999999</v>
      </c>
      <c r="AF32" s="42">
        <v>-1.0568032526666666</v>
      </c>
      <c r="AG32" s="1">
        <v>-15607048.789999999</v>
      </c>
      <c r="AH32" s="42">
        <v>-1.0404699193333333</v>
      </c>
      <c r="AI32" s="1">
        <v>-245000</v>
      </c>
      <c r="AJ32" s="42">
        <v>-1.6333333333333332E-2</v>
      </c>
      <c r="AK32" s="196">
        <f>VLOOKUP($A32,'TCD Sensi SD IPA'!$B$5:$H$36,4,FALSE)</f>
        <v>3.2749999999999999</v>
      </c>
      <c r="AL32" s="196">
        <f>VLOOKUP($A32,'TCD Sensi SD IPA'!$B$5:$H$36,7,FALSE)</f>
        <v>5193.17</v>
      </c>
      <c r="AN32" s="48">
        <v>-183176.75</v>
      </c>
      <c r="AO32" s="42">
        <v>-1.0364140388557487E-2</v>
      </c>
      <c r="AP32" s="1">
        <v>-94118.06</v>
      </c>
      <c r="AQ32" s="42">
        <v>-5.3251997698325624E-3</v>
      </c>
      <c r="AR32" s="1">
        <v>-89058.69</v>
      </c>
      <c r="AS32" s="42">
        <v>-5.0389406187249242E-3</v>
      </c>
      <c r="AT32" s="196">
        <f>VLOOKUP($A32,'TCD Sensi SD IPA'!$B$5:$H$36,2,FALSE)</f>
        <v>0.17899999999999999</v>
      </c>
      <c r="AU32" s="196">
        <f>VLOOKUP($A32,'TCD Sensi SD IPA'!$B$5:$H$36,5,FALSE)</f>
        <v>-6526.16</v>
      </c>
      <c r="AX32" s="42"/>
      <c r="AZ32" s="42"/>
      <c r="BB32" s="42"/>
      <c r="BE32" s="42"/>
      <c r="BG32" s="42"/>
      <c r="BI32" s="42"/>
      <c r="BL32" s="42"/>
      <c r="BN32" s="42"/>
      <c r="BP32" s="42"/>
      <c r="BT32" s="42"/>
      <c r="BV32" s="42"/>
      <c r="BX32" s="42"/>
      <c r="CJ32" s="1" t="s">
        <v>53</v>
      </c>
      <c r="CK32" s="1" t="s">
        <v>163</v>
      </c>
      <c r="CL32" s="1" t="s">
        <v>51</v>
      </c>
      <c r="CM32" s="1" t="s">
        <v>162</v>
      </c>
      <c r="CN32" s="1" t="s">
        <v>55</v>
      </c>
      <c r="CO32" s="1" t="s">
        <v>96</v>
      </c>
      <c r="CP32" s="1" t="s">
        <v>57</v>
      </c>
      <c r="CQ32" s="1" t="s">
        <v>164</v>
      </c>
    </row>
    <row r="33" spans="1:95" x14ac:dyDescent="0.2">
      <c r="A33" s="1" t="s">
        <v>171</v>
      </c>
      <c r="B33" s="101" t="s">
        <v>93</v>
      </c>
      <c r="C33" s="101" t="s">
        <v>93</v>
      </c>
      <c r="D33" s="1">
        <v>69245196</v>
      </c>
      <c r="E33" s="1" t="s">
        <v>92</v>
      </c>
      <c r="G33" s="1" t="s">
        <v>79</v>
      </c>
      <c r="H33" s="1" t="s">
        <v>67</v>
      </c>
      <c r="I33" s="1">
        <v>3.3149999999999999</v>
      </c>
      <c r="K33" s="1" t="s">
        <v>168</v>
      </c>
      <c r="L33" s="1" t="s">
        <v>123</v>
      </c>
      <c r="M33" s="1">
        <v>8719183</v>
      </c>
      <c r="N33" s="1">
        <v>8935296.2599999998</v>
      </c>
      <c r="O33" s="42">
        <v>1.0247859529958254</v>
      </c>
      <c r="P33" s="1">
        <v>8924858.6699999999</v>
      </c>
      <c r="Q33" s="42">
        <v>1.0235888695076132</v>
      </c>
      <c r="R33" s="1">
        <v>10437.59</v>
      </c>
      <c r="S33" s="42">
        <v>1.1970834882121409E-3</v>
      </c>
      <c r="T33" s="196">
        <f>VLOOKUP($A33,'TCD Sensi SD IPA'!$B$5:$H$36,3,FALSE)</f>
        <v>1.921</v>
      </c>
      <c r="U33" s="196">
        <f>VLOOKUP($A33,'TCD Sensi SD IPA'!$B$5:$H$36,6,FALSE)</f>
        <v>-1719.17</v>
      </c>
      <c r="W33" s="1" t="s">
        <v>79</v>
      </c>
      <c r="X33" s="1" t="s">
        <v>71</v>
      </c>
      <c r="Y33" s="1">
        <v>5.375</v>
      </c>
      <c r="AA33" s="1" t="s">
        <v>168</v>
      </c>
      <c r="AB33" s="1" t="s">
        <v>123</v>
      </c>
      <c r="AC33" s="1" t="s">
        <v>64</v>
      </c>
      <c r="AD33" s="1">
        <v>7250000</v>
      </c>
      <c r="AE33" s="1">
        <v>-7435487.2699999996</v>
      </c>
      <c r="AF33" s="42">
        <v>-1.0255844510344827</v>
      </c>
      <c r="AG33" s="1">
        <v>-7421607.9900000002</v>
      </c>
      <c r="AH33" s="42">
        <v>-1.0236700675862069</v>
      </c>
      <c r="AI33" s="1">
        <v>-13879.28</v>
      </c>
      <c r="AJ33" s="42">
        <v>-1.9143834482758621E-3</v>
      </c>
      <c r="AK33" s="196">
        <f>VLOOKUP($A33,'TCD Sensi SD IPA'!$B$5:$H$36,4,FALSE)</f>
        <v>1.84</v>
      </c>
      <c r="AL33" s="196">
        <f>VLOOKUP($A33,'TCD Sensi SD IPA'!$B$5:$H$36,7,FALSE)</f>
        <v>1368.26</v>
      </c>
      <c r="AN33" s="48">
        <v>49675.72</v>
      </c>
      <c r="AO33" s="42">
        <v>5.6972906750552207E-3</v>
      </c>
      <c r="AP33" s="1">
        <v>55824.27</v>
      </c>
      <c r="AQ33" s="42">
        <v>6.4024656897326273E-3</v>
      </c>
      <c r="AR33" s="1">
        <v>-6148.55</v>
      </c>
      <c r="AS33" s="42">
        <v>-7.0517501467740734E-4</v>
      </c>
      <c r="AT33" s="196">
        <f>VLOOKUP($A33,'TCD Sensi SD IPA'!$B$5:$H$36,2,FALSE)</f>
        <v>9.7000000000000003E-2</v>
      </c>
      <c r="AU33" s="196">
        <f>VLOOKUP($A33,'TCD Sensi SD IPA'!$B$5:$H$36,5,FALSE)</f>
        <v>-1719.17</v>
      </c>
      <c r="AX33" s="42"/>
      <c r="AZ33" s="42"/>
      <c r="BB33" s="42"/>
      <c r="BE33" s="42"/>
      <c r="BG33" s="42"/>
      <c r="BI33" s="42"/>
      <c r="BL33" s="42"/>
      <c r="BN33" s="42"/>
      <c r="BP33" s="42"/>
      <c r="BT33" s="42"/>
      <c r="BV33" s="42"/>
      <c r="BX33" s="42"/>
      <c r="CJ33" s="1" t="s">
        <v>53</v>
      </c>
      <c r="CK33" s="1" t="s">
        <v>170</v>
      </c>
      <c r="CL33" s="1" t="s">
        <v>51</v>
      </c>
      <c r="CM33" s="1" t="s">
        <v>169</v>
      </c>
      <c r="CN33" s="1" t="s">
        <v>55</v>
      </c>
      <c r="CO33" s="1" t="s">
        <v>96</v>
      </c>
      <c r="CP33" s="1" t="s">
        <v>57</v>
      </c>
      <c r="CQ33" s="1" t="s">
        <v>171</v>
      </c>
    </row>
    <row r="34" spans="1:95" x14ac:dyDescent="0.2">
      <c r="A34" s="1"/>
    </row>
  </sheetData>
  <autoFilter ref="A1:F24" xr:uid="{BC77E79A-674A-472C-B72E-CDFD9ACA0BFB}"/>
  <mergeCells count="8">
    <mergeCell ref="BZ5:BZ6"/>
    <mergeCell ref="BR5:BR6"/>
    <mergeCell ref="F5:F6"/>
    <mergeCell ref="V5:V6"/>
    <mergeCell ref="AM5:AM6"/>
    <mergeCell ref="AV5:AV6"/>
    <mergeCell ref="BC5:BC6"/>
    <mergeCell ref="BJ5:BJ6"/>
  </mergeCells>
  <pageMargins left="0.78740157499999996" right="0.78740157499999996" top="0.984251969" bottom="0.984251969"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1FB19-2D72-48CF-91FD-D8271B673473}">
  <sheetPr codeName="Feuil18">
    <tabColor rgb="FFFF0000"/>
  </sheetPr>
  <dimension ref="A1:GC389"/>
  <sheetViews>
    <sheetView workbookViewId="0">
      <selection sqref="A1:XFD1048576"/>
    </sheetView>
  </sheetViews>
  <sheetFormatPr baseColWidth="10" defaultColWidth="9.140625" defaultRowHeight="12" x14ac:dyDescent="0.2"/>
  <cols>
    <col min="1" max="1" width="19.85546875" style="101" customWidth="1"/>
    <col min="2" max="2" width="22" style="101" customWidth="1"/>
    <col min="3" max="3" width="18.42578125" style="1" bestFit="1" customWidth="1"/>
    <col min="4" max="5" width="16.42578125" style="1" customWidth="1"/>
    <col min="6" max="6" width="18.85546875" style="1" customWidth="1"/>
    <col min="7" max="8" width="15.5703125" style="1" customWidth="1"/>
    <col min="9" max="9" width="11.28515625" style="1" customWidth="1"/>
    <col min="10" max="10" width="12.7109375" style="1" customWidth="1"/>
    <col min="11" max="15" width="14.7109375" style="1" customWidth="1"/>
    <col min="16" max="19" width="13.85546875" style="1" customWidth="1"/>
    <col min="20" max="20" width="14.28515625" style="1" customWidth="1"/>
    <col min="21" max="21" width="13.85546875" style="1" customWidth="1"/>
    <col min="22" max="34" width="13.42578125" style="1" customWidth="1"/>
    <col min="35" max="35" width="16.85546875" style="1" customWidth="1"/>
    <col min="36" max="36" width="12.42578125" style="1" customWidth="1"/>
    <col min="37" max="37" width="13.5703125" style="1" customWidth="1"/>
    <col min="38" max="41" width="12.42578125" style="1" customWidth="1"/>
    <col min="42" max="43" width="13.140625" style="1" customWidth="1"/>
    <col min="44" max="78" width="14.42578125" style="1" customWidth="1"/>
    <col min="79" max="90" width="12.42578125" style="1" customWidth="1"/>
    <col min="91" max="91" width="17.5703125" style="2" customWidth="1"/>
    <col min="92" max="92" width="15.140625" style="1" customWidth="1"/>
    <col min="93" max="94" width="15.42578125" style="1" customWidth="1"/>
    <col min="95" max="96" width="15.5703125" style="1" customWidth="1"/>
    <col min="97" max="97" width="17" style="1" customWidth="1"/>
    <col min="98" max="98" width="15.5703125" style="1" customWidth="1"/>
    <col min="99" max="99" width="17.7109375" style="1" customWidth="1"/>
    <col min="100" max="100" width="18.42578125" style="1" customWidth="1"/>
    <col min="101" max="101" width="17.5703125" style="1" customWidth="1"/>
    <col min="102" max="103" width="16" style="1" customWidth="1"/>
    <col min="104" max="107" width="12.42578125" style="1" customWidth="1"/>
    <col min="108" max="108" width="17.7109375" style="2" bestFit="1" customWidth="1"/>
    <col min="109" max="109" width="12.42578125" style="1" customWidth="1"/>
    <col min="110" max="110" width="13.7109375" style="1" customWidth="1"/>
    <col min="111" max="111" width="15.5703125" style="1" customWidth="1"/>
    <col min="112" max="115" width="13.7109375" style="1" customWidth="1"/>
    <col min="116" max="117" width="12.42578125" style="1" customWidth="1"/>
    <col min="118" max="118" width="14.85546875" style="1" customWidth="1"/>
    <col min="119" max="119" width="12.42578125" style="1" customWidth="1"/>
    <col min="120" max="121" width="13.42578125" style="1" customWidth="1"/>
    <col min="122" max="122" width="17" style="1" customWidth="1"/>
    <col min="123" max="124" width="12.42578125" style="1" customWidth="1"/>
    <col min="125" max="125" width="16.42578125" style="1" customWidth="1"/>
    <col min="126" max="126" width="12.42578125" style="1" customWidth="1"/>
    <col min="127" max="127" width="13.42578125" style="1" customWidth="1"/>
    <col min="128" max="128" width="12.42578125" style="1" customWidth="1"/>
    <col min="129" max="130" width="11.7109375" style="1" customWidth="1"/>
    <col min="131" max="131" width="11.42578125" style="1" customWidth="1"/>
    <col min="132" max="132" width="11.7109375" style="1" customWidth="1"/>
    <col min="133" max="133" width="11.42578125" style="1" customWidth="1"/>
    <col min="134" max="135" width="15.42578125" style="1" customWidth="1"/>
    <col min="136" max="136" width="16.140625" style="1" customWidth="1"/>
    <col min="137" max="137" width="16.5703125" style="1" customWidth="1"/>
    <col min="138" max="138" width="16.7109375" style="1" customWidth="1"/>
    <col min="139" max="139" width="15.42578125" style="1" customWidth="1"/>
    <col min="140" max="140" width="14.85546875" style="1" customWidth="1"/>
    <col min="141" max="141" width="17.140625" style="1" customWidth="1"/>
    <col min="142" max="142" width="16.7109375" style="1" customWidth="1"/>
    <col min="143" max="143" width="16.5703125" style="1" customWidth="1"/>
    <col min="144" max="144" width="16.28515625" style="1" customWidth="1"/>
    <col min="145" max="145" width="14.85546875" style="1" customWidth="1"/>
    <col min="146" max="146" width="16.140625" style="1" customWidth="1"/>
    <col min="147" max="147" width="16" style="1" customWidth="1"/>
    <col min="148" max="148" width="15.5703125" style="1" customWidth="1"/>
    <col min="149" max="149" width="16.28515625" style="1" customWidth="1"/>
    <col min="150" max="150" width="17.140625" style="1" customWidth="1"/>
    <col min="151" max="151" width="16.28515625" style="1" customWidth="1"/>
    <col min="152" max="152" width="15.7109375" style="1" customWidth="1"/>
    <col min="153" max="153" width="15.42578125" style="1" customWidth="1"/>
    <col min="154" max="256" width="9.140625" style="1"/>
    <col min="257" max="257" width="19.85546875" style="1" customWidth="1"/>
    <col min="258" max="258" width="22" style="1" customWidth="1"/>
    <col min="259" max="259" width="18.42578125" style="1" bestFit="1" customWidth="1"/>
    <col min="260" max="261" width="16.42578125" style="1" customWidth="1"/>
    <col min="262" max="262" width="18.85546875" style="1" customWidth="1"/>
    <col min="263" max="264" width="15.5703125" style="1" customWidth="1"/>
    <col min="265" max="265" width="11.28515625" style="1" customWidth="1"/>
    <col min="266" max="266" width="12.7109375" style="1" customWidth="1"/>
    <col min="267" max="271" width="14.7109375" style="1" customWidth="1"/>
    <col min="272" max="275" width="13.85546875" style="1" customWidth="1"/>
    <col min="276" max="276" width="14.28515625" style="1" customWidth="1"/>
    <col min="277" max="277" width="13.85546875" style="1" customWidth="1"/>
    <col min="278" max="290" width="13.42578125" style="1" customWidth="1"/>
    <col min="291" max="291" width="16.85546875" style="1" customWidth="1"/>
    <col min="292" max="292" width="12.42578125" style="1" customWidth="1"/>
    <col min="293" max="293" width="13.5703125" style="1" customWidth="1"/>
    <col min="294" max="297" width="12.42578125" style="1" customWidth="1"/>
    <col min="298" max="299" width="13.140625" style="1" customWidth="1"/>
    <col min="300" max="334" width="14.42578125" style="1" customWidth="1"/>
    <col min="335" max="346" width="12.42578125" style="1" customWidth="1"/>
    <col min="347" max="347" width="17.5703125" style="1" customWidth="1"/>
    <col min="348" max="348" width="15.140625" style="1" customWidth="1"/>
    <col min="349" max="350" width="15.42578125" style="1" customWidth="1"/>
    <col min="351" max="352" width="15.5703125" style="1" customWidth="1"/>
    <col min="353" max="353" width="17" style="1" customWidth="1"/>
    <col min="354" max="354" width="15.5703125" style="1" customWidth="1"/>
    <col min="355" max="355" width="17.7109375" style="1" customWidth="1"/>
    <col min="356" max="356" width="18.42578125" style="1" customWidth="1"/>
    <col min="357" max="357" width="17.5703125" style="1" customWidth="1"/>
    <col min="358" max="359" width="16" style="1" customWidth="1"/>
    <col min="360" max="363" width="12.42578125" style="1" customWidth="1"/>
    <col min="364" max="364" width="17.7109375" style="1" bestFit="1" customWidth="1"/>
    <col min="365" max="365" width="12.42578125" style="1" customWidth="1"/>
    <col min="366" max="366" width="13.7109375" style="1" customWidth="1"/>
    <col min="367" max="367" width="15.5703125" style="1" customWidth="1"/>
    <col min="368" max="371" width="13.7109375" style="1" customWidth="1"/>
    <col min="372" max="373" width="12.42578125" style="1" customWidth="1"/>
    <col min="374" max="374" width="14.85546875" style="1" customWidth="1"/>
    <col min="375" max="375" width="12.42578125" style="1" customWidth="1"/>
    <col min="376" max="377" width="13.42578125" style="1" customWidth="1"/>
    <col min="378" max="378" width="17" style="1" customWidth="1"/>
    <col min="379" max="380" width="12.42578125" style="1" customWidth="1"/>
    <col min="381" max="381" width="16.42578125" style="1" customWidth="1"/>
    <col min="382" max="382" width="12.42578125" style="1" customWidth="1"/>
    <col min="383" max="383" width="13.42578125" style="1" customWidth="1"/>
    <col min="384" max="384" width="12.42578125" style="1" customWidth="1"/>
    <col min="385" max="386" width="11.7109375" style="1" customWidth="1"/>
    <col min="387" max="387" width="11.42578125" style="1" customWidth="1"/>
    <col min="388" max="388" width="11.7109375" style="1" customWidth="1"/>
    <col min="389" max="389" width="11.42578125" style="1" customWidth="1"/>
    <col min="390" max="391" width="15.42578125" style="1" customWidth="1"/>
    <col min="392" max="392" width="16.140625" style="1" customWidth="1"/>
    <col min="393" max="393" width="16.5703125" style="1" customWidth="1"/>
    <col min="394" max="394" width="16.7109375" style="1" customWidth="1"/>
    <col min="395" max="395" width="15.42578125" style="1" customWidth="1"/>
    <col min="396" max="396" width="14.85546875" style="1" customWidth="1"/>
    <col min="397" max="397" width="17.140625" style="1" customWidth="1"/>
    <col min="398" max="398" width="16.7109375" style="1" customWidth="1"/>
    <col min="399" max="399" width="16.5703125" style="1" customWidth="1"/>
    <col min="400" max="400" width="16.28515625" style="1" customWidth="1"/>
    <col min="401" max="401" width="14.85546875" style="1" customWidth="1"/>
    <col min="402" max="402" width="16.140625" style="1" customWidth="1"/>
    <col min="403" max="403" width="16" style="1" customWidth="1"/>
    <col min="404" max="404" width="15.5703125" style="1" customWidth="1"/>
    <col min="405" max="405" width="16.28515625" style="1" customWidth="1"/>
    <col min="406" max="406" width="17.140625" style="1" customWidth="1"/>
    <col min="407" max="407" width="16.28515625" style="1" customWidth="1"/>
    <col min="408" max="408" width="15.7109375" style="1" customWidth="1"/>
    <col min="409" max="409" width="15.42578125" style="1" customWidth="1"/>
    <col min="410" max="512" width="9.140625" style="1"/>
    <col min="513" max="513" width="19.85546875" style="1" customWidth="1"/>
    <col min="514" max="514" width="22" style="1" customWidth="1"/>
    <col min="515" max="515" width="18.42578125" style="1" bestFit="1" customWidth="1"/>
    <col min="516" max="517" width="16.42578125" style="1" customWidth="1"/>
    <col min="518" max="518" width="18.85546875" style="1" customWidth="1"/>
    <col min="519" max="520" width="15.5703125" style="1" customWidth="1"/>
    <col min="521" max="521" width="11.28515625" style="1" customWidth="1"/>
    <col min="522" max="522" width="12.7109375" style="1" customWidth="1"/>
    <col min="523" max="527" width="14.7109375" style="1" customWidth="1"/>
    <col min="528" max="531" width="13.85546875" style="1" customWidth="1"/>
    <col min="532" max="532" width="14.28515625" style="1" customWidth="1"/>
    <col min="533" max="533" width="13.85546875" style="1" customWidth="1"/>
    <col min="534" max="546" width="13.42578125" style="1" customWidth="1"/>
    <col min="547" max="547" width="16.85546875" style="1" customWidth="1"/>
    <col min="548" max="548" width="12.42578125" style="1" customWidth="1"/>
    <col min="549" max="549" width="13.5703125" style="1" customWidth="1"/>
    <col min="550" max="553" width="12.42578125" style="1" customWidth="1"/>
    <col min="554" max="555" width="13.140625" style="1" customWidth="1"/>
    <col min="556" max="590" width="14.42578125" style="1" customWidth="1"/>
    <col min="591" max="602" width="12.42578125" style="1" customWidth="1"/>
    <col min="603" max="603" width="17.5703125" style="1" customWidth="1"/>
    <col min="604" max="604" width="15.140625" style="1" customWidth="1"/>
    <col min="605" max="606" width="15.42578125" style="1" customWidth="1"/>
    <col min="607" max="608" width="15.5703125" style="1" customWidth="1"/>
    <col min="609" max="609" width="17" style="1" customWidth="1"/>
    <col min="610" max="610" width="15.5703125" style="1" customWidth="1"/>
    <col min="611" max="611" width="17.7109375" style="1" customWidth="1"/>
    <col min="612" max="612" width="18.42578125" style="1" customWidth="1"/>
    <col min="613" max="613" width="17.5703125" style="1" customWidth="1"/>
    <col min="614" max="615" width="16" style="1" customWidth="1"/>
    <col min="616" max="619" width="12.42578125" style="1" customWidth="1"/>
    <col min="620" max="620" width="17.7109375" style="1" bestFit="1" customWidth="1"/>
    <col min="621" max="621" width="12.42578125" style="1" customWidth="1"/>
    <col min="622" max="622" width="13.7109375" style="1" customWidth="1"/>
    <col min="623" max="623" width="15.5703125" style="1" customWidth="1"/>
    <col min="624" max="627" width="13.7109375" style="1" customWidth="1"/>
    <col min="628" max="629" width="12.42578125" style="1" customWidth="1"/>
    <col min="630" max="630" width="14.85546875" style="1" customWidth="1"/>
    <col min="631" max="631" width="12.42578125" style="1" customWidth="1"/>
    <col min="632" max="633" width="13.42578125" style="1" customWidth="1"/>
    <col min="634" max="634" width="17" style="1" customWidth="1"/>
    <col min="635" max="636" width="12.42578125" style="1" customWidth="1"/>
    <col min="637" max="637" width="16.42578125" style="1" customWidth="1"/>
    <col min="638" max="638" width="12.42578125" style="1" customWidth="1"/>
    <col min="639" max="639" width="13.42578125" style="1" customWidth="1"/>
    <col min="640" max="640" width="12.42578125" style="1" customWidth="1"/>
    <col min="641" max="642" width="11.7109375" style="1" customWidth="1"/>
    <col min="643" max="643" width="11.42578125" style="1" customWidth="1"/>
    <col min="644" max="644" width="11.7109375" style="1" customWidth="1"/>
    <col min="645" max="645" width="11.42578125" style="1" customWidth="1"/>
    <col min="646" max="647" width="15.42578125" style="1" customWidth="1"/>
    <col min="648" max="648" width="16.140625" style="1" customWidth="1"/>
    <col min="649" max="649" width="16.5703125" style="1" customWidth="1"/>
    <col min="650" max="650" width="16.7109375" style="1" customWidth="1"/>
    <col min="651" max="651" width="15.42578125" style="1" customWidth="1"/>
    <col min="652" max="652" width="14.85546875" style="1" customWidth="1"/>
    <col min="653" max="653" width="17.140625" style="1" customWidth="1"/>
    <col min="654" max="654" width="16.7109375" style="1" customWidth="1"/>
    <col min="655" max="655" width="16.5703125" style="1" customWidth="1"/>
    <col min="656" max="656" width="16.28515625" style="1" customWidth="1"/>
    <col min="657" max="657" width="14.85546875" style="1" customWidth="1"/>
    <col min="658" max="658" width="16.140625" style="1" customWidth="1"/>
    <col min="659" max="659" width="16" style="1" customWidth="1"/>
    <col min="660" max="660" width="15.5703125" style="1" customWidth="1"/>
    <col min="661" max="661" width="16.28515625" style="1" customWidth="1"/>
    <col min="662" max="662" width="17.140625" style="1" customWidth="1"/>
    <col min="663" max="663" width="16.28515625" style="1" customWidth="1"/>
    <col min="664" max="664" width="15.7109375" style="1" customWidth="1"/>
    <col min="665" max="665" width="15.42578125" style="1" customWidth="1"/>
    <col min="666" max="768" width="9.140625" style="1"/>
    <col min="769" max="769" width="19.85546875" style="1" customWidth="1"/>
    <col min="770" max="770" width="22" style="1" customWidth="1"/>
    <col min="771" max="771" width="18.42578125" style="1" bestFit="1" customWidth="1"/>
    <col min="772" max="773" width="16.42578125" style="1" customWidth="1"/>
    <col min="774" max="774" width="18.85546875" style="1" customWidth="1"/>
    <col min="775" max="776" width="15.5703125" style="1" customWidth="1"/>
    <col min="777" max="777" width="11.28515625" style="1" customWidth="1"/>
    <col min="778" max="778" width="12.7109375" style="1" customWidth="1"/>
    <col min="779" max="783" width="14.7109375" style="1" customWidth="1"/>
    <col min="784" max="787" width="13.85546875" style="1" customWidth="1"/>
    <col min="788" max="788" width="14.28515625" style="1" customWidth="1"/>
    <col min="789" max="789" width="13.85546875" style="1" customWidth="1"/>
    <col min="790" max="802" width="13.42578125" style="1" customWidth="1"/>
    <col min="803" max="803" width="16.85546875" style="1" customWidth="1"/>
    <col min="804" max="804" width="12.42578125" style="1" customWidth="1"/>
    <col min="805" max="805" width="13.5703125" style="1" customWidth="1"/>
    <col min="806" max="809" width="12.42578125" style="1" customWidth="1"/>
    <col min="810" max="811" width="13.140625" style="1" customWidth="1"/>
    <col min="812" max="846" width="14.42578125" style="1" customWidth="1"/>
    <col min="847" max="858" width="12.42578125" style="1" customWidth="1"/>
    <col min="859" max="859" width="17.5703125" style="1" customWidth="1"/>
    <col min="860" max="860" width="15.140625" style="1" customWidth="1"/>
    <col min="861" max="862" width="15.42578125" style="1" customWidth="1"/>
    <col min="863" max="864" width="15.5703125" style="1" customWidth="1"/>
    <col min="865" max="865" width="17" style="1" customWidth="1"/>
    <col min="866" max="866" width="15.5703125" style="1" customWidth="1"/>
    <col min="867" max="867" width="17.7109375" style="1" customWidth="1"/>
    <col min="868" max="868" width="18.42578125" style="1" customWidth="1"/>
    <col min="869" max="869" width="17.5703125" style="1" customWidth="1"/>
    <col min="870" max="871" width="16" style="1" customWidth="1"/>
    <col min="872" max="875" width="12.42578125" style="1" customWidth="1"/>
    <col min="876" max="876" width="17.7109375" style="1" bestFit="1" customWidth="1"/>
    <col min="877" max="877" width="12.42578125" style="1" customWidth="1"/>
    <col min="878" max="878" width="13.7109375" style="1" customWidth="1"/>
    <col min="879" max="879" width="15.5703125" style="1" customWidth="1"/>
    <col min="880" max="883" width="13.7109375" style="1" customWidth="1"/>
    <col min="884" max="885" width="12.42578125" style="1" customWidth="1"/>
    <col min="886" max="886" width="14.85546875" style="1" customWidth="1"/>
    <col min="887" max="887" width="12.42578125" style="1" customWidth="1"/>
    <col min="888" max="889" width="13.42578125" style="1" customWidth="1"/>
    <col min="890" max="890" width="17" style="1" customWidth="1"/>
    <col min="891" max="892" width="12.42578125" style="1" customWidth="1"/>
    <col min="893" max="893" width="16.42578125" style="1" customWidth="1"/>
    <col min="894" max="894" width="12.42578125" style="1" customWidth="1"/>
    <col min="895" max="895" width="13.42578125" style="1" customWidth="1"/>
    <col min="896" max="896" width="12.42578125" style="1" customWidth="1"/>
    <col min="897" max="898" width="11.7109375" style="1" customWidth="1"/>
    <col min="899" max="899" width="11.42578125" style="1" customWidth="1"/>
    <col min="900" max="900" width="11.7109375" style="1" customWidth="1"/>
    <col min="901" max="901" width="11.42578125" style="1" customWidth="1"/>
    <col min="902" max="903" width="15.42578125" style="1" customWidth="1"/>
    <col min="904" max="904" width="16.140625" style="1" customWidth="1"/>
    <col min="905" max="905" width="16.5703125" style="1" customWidth="1"/>
    <col min="906" max="906" width="16.7109375" style="1" customWidth="1"/>
    <col min="907" max="907" width="15.42578125" style="1" customWidth="1"/>
    <col min="908" max="908" width="14.85546875" style="1" customWidth="1"/>
    <col min="909" max="909" width="17.140625" style="1" customWidth="1"/>
    <col min="910" max="910" width="16.7109375" style="1" customWidth="1"/>
    <col min="911" max="911" width="16.5703125" style="1" customWidth="1"/>
    <col min="912" max="912" width="16.28515625" style="1" customWidth="1"/>
    <col min="913" max="913" width="14.85546875" style="1" customWidth="1"/>
    <col min="914" max="914" width="16.140625" style="1" customWidth="1"/>
    <col min="915" max="915" width="16" style="1" customWidth="1"/>
    <col min="916" max="916" width="15.5703125" style="1" customWidth="1"/>
    <col min="917" max="917" width="16.28515625" style="1" customWidth="1"/>
    <col min="918" max="918" width="17.140625" style="1" customWidth="1"/>
    <col min="919" max="919" width="16.28515625" style="1" customWidth="1"/>
    <col min="920" max="920" width="15.7109375" style="1" customWidth="1"/>
    <col min="921" max="921" width="15.42578125" style="1" customWidth="1"/>
    <col min="922" max="1024" width="9.140625" style="1"/>
    <col min="1025" max="1025" width="19.85546875" style="1" customWidth="1"/>
    <col min="1026" max="1026" width="22" style="1" customWidth="1"/>
    <col min="1027" max="1027" width="18.42578125" style="1" bestFit="1" customWidth="1"/>
    <col min="1028" max="1029" width="16.42578125" style="1" customWidth="1"/>
    <col min="1030" max="1030" width="18.85546875" style="1" customWidth="1"/>
    <col min="1031" max="1032" width="15.5703125" style="1" customWidth="1"/>
    <col min="1033" max="1033" width="11.28515625" style="1" customWidth="1"/>
    <col min="1034" max="1034" width="12.7109375" style="1" customWidth="1"/>
    <col min="1035" max="1039" width="14.7109375" style="1" customWidth="1"/>
    <col min="1040" max="1043" width="13.85546875" style="1" customWidth="1"/>
    <col min="1044" max="1044" width="14.28515625" style="1" customWidth="1"/>
    <col min="1045" max="1045" width="13.85546875" style="1" customWidth="1"/>
    <col min="1046" max="1058" width="13.42578125" style="1" customWidth="1"/>
    <col min="1059" max="1059" width="16.85546875" style="1" customWidth="1"/>
    <col min="1060" max="1060" width="12.42578125" style="1" customWidth="1"/>
    <col min="1061" max="1061" width="13.5703125" style="1" customWidth="1"/>
    <col min="1062" max="1065" width="12.42578125" style="1" customWidth="1"/>
    <col min="1066" max="1067" width="13.140625" style="1" customWidth="1"/>
    <col min="1068" max="1102" width="14.42578125" style="1" customWidth="1"/>
    <col min="1103" max="1114" width="12.42578125" style="1" customWidth="1"/>
    <col min="1115" max="1115" width="17.5703125" style="1" customWidth="1"/>
    <col min="1116" max="1116" width="15.140625" style="1" customWidth="1"/>
    <col min="1117" max="1118" width="15.42578125" style="1" customWidth="1"/>
    <col min="1119" max="1120" width="15.5703125" style="1" customWidth="1"/>
    <col min="1121" max="1121" width="17" style="1" customWidth="1"/>
    <col min="1122" max="1122" width="15.5703125" style="1" customWidth="1"/>
    <col min="1123" max="1123" width="17.7109375" style="1" customWidth="1"/>
    <col min="1124" max="1124" width="18.42578125" style="1" customWidth="1"/>
    <col min="1125" max="1125" width="17.5703125" style="1" customWidth="1"/>
    <col min="1126" max="1127" width="16" style="1" customWidth="1"/>
    <col min="1128" max="1131" width="12.42578125" style="1" customWidth="1"/>
    <col min="1132" max="1132" width="17.7109375" style="1" bestFit="1" customWidth="1"/>
    <col min="1133" max="1133" width="12.42578125" style="1" customWidth="1"/>
    <col min="1134" max="1134" width="13.7109375" style="1" customWidth="1"/>
    <col min="1135" max="1135" width="15.5703125" style="1" customWidth="1"/>
    <col min="1136" max="1139" width="13.7109375" style="1" customWidth="1"/>
    <col min="1140" max="1141" width="12.42578125" style="1" customWidth="1"/>
    <col min="1142" max="1142" width="14.85546875" style="1" customWidth="1"/>
    <col min="1143" max="1143" width="12.42578125" style="1" customWidth="1"/>
    <col min="1144" max="1145" width="13.42578125" style="1" customWidth="1"/>
    <col min="1146" max="1146" width="17" style="1" customWidth="1"/>
    <col min="1147" max="1148" width="12.42578125" style="1" customWidth="1"/>
    <col min="1149" max="1149" width="16.42578125" style="1" customWidth="1"/>
    <col min="1150" max="1150" width="12.42578125" style="1" customWidth="1"/>
    <col min="1151" max="1151" width="13.42578125" style="1" customWidth="1"/>
    <col min="1152" max="1152" width="12.42578125" style="1" customWidth="1"/>
    <col min="1153" max="1154" width="11.7109375" style="1" customWidth="1"/>
    <col min="1155" max="1155" width="11.42578125" style="1" customWidth="1"/>
    <col min="1156" max="1156" width="11.7109375" style="1" customWidth="1"/>
    <col min="1157" max="1157" width="11.42578125" style="1" customWidth="1"/>
    <col min="1158" max="1159" width="15.42578125" style="1" customWidth="1"/>
    <col min="1160" max="1160" width="16.140625" style="1" customWidth="1"/>
    <col min="1161" max="1161" width="16.5703125" style="1" customWidth="1"/>
    <col min="1162" max="1162" width="16.7109375" style="1" customWidth="1"/>
    <col min="1163" max="1163" width="15.42578125" style="1" customWidth="1"/>
    <col min="1164" max="1164" width="14.85546875" style="1" customWidth="1"/>
    <col min="1165" max="1165" width="17.140625" style="1" customWidth="1"/>
    <col min="1166" max="1166" width="16.7109375" style="1" customWidth="1"/>
    <col min="1167" max="1167" width="16.5703125" style="1" customWidth="1"/>
    <col min="1168" max="1168" width="16.28515625" style="1" customWidth="1"/>
    <col min="1169" max="1169" width="14.85546875" style="1" customWidth="1"/>
    <col min="1170" max="1170" width="16.140625" style="1" customWidth="1"/>
    <col min="1171" max="1171" width="16" style="1" customWidth="1"/>
    <col min="1172" max="1172" width="15.5703125" style="1" customWidth="1"/>
    <col min="1173" max="1173" width="16.28515625" style="1" customWidth="1"/>
    <col min="1174" max="1174" width="17.140625" style="1" customWidth="1"/>
    <col min="1175" max="1175" width="16.28515625" style="1" customWidth="1"/>
    <col min="1176" max="1176" width="15.7109375" style="1" customWidth="1"/>
    <col min="1177" max="1177" width="15.42578125" style="1" customWidth="1"/>
    <col min="1178" max="1280" width="9.140625" style="1"/>
    <col min="1281" max="1281" width="19.85546875" style="1" customWidth="1"/>
    <col min="1282" max="1282" width="22" style="1" customWidth="1"/>
    <col min="1283" max="1283" width="18.42578125" style="1" bestFit="1" customWidth="1"/>
    <col min="1284" max="1285" width="16.42578125" style="1" customWidth="1"/>
    <col min="1286" max="1286" width="18.85546875" style="1" customWidth="1"/>
    <col min="1287" max="1288" width="15.5703125" style="1" customWidth="1"/>
    <col min="1289" max="1289" width="11.28515625" style="1" customWidth="1"/>
    <col min="1290" max="1290" width="12.7109375" style="1" customWidth="1"/>
    <col min="1291" max="1295" width="14.7109375" style="1" customWidth="1"/>
    <col min="1296" max="1299" width="13.85546875" style="1" customWidth="1"/>
    <col min="1300" max="1300" width="14.28515625" style="1" customWidth="1"/>
    <col min="1301" max="1301" width="13.85546875" style="1" customWidth="1"/>
    <col min="1302" max="1314" width="13.42578125" style="1" customWidth="1"/>
    <col min="1315" max="1315" width="16.85546875" style="1" customWidth="1"/>
    <col min="1316" max="1316" width="12.42578125" style="1" customWidth="1"/>
    <col min="1317" max="1317" width="13.5703125" style="1" customWidth="1"/>
    <col min="1318" max="1321" width="12.42578125" style="1" customWidth="1"/>
    <col min="1322" max="1323" width="13.140625" style="1" customWidth="1"/>
    <col min="1324" max="1358" width="14.42578125" style="1" customWidth="1"/>
    <col min="1359" max="1370" width="12.42578125" style="1" customWidth="1"/>
    <col min="1371" max="1371" width="17.5703125" style="1" customWidth="1"/>
    <col min="1372" max="1372" width="15.140625" style="1" customWidth="1"/>
    <col min="1373" max="1374" width="15.42578125" style="1" customWidth="1"/>
    <col min="1375" max="1376" width="15.5703125" style="1" customWidth="1"/>
    <col min="1377" max="1377" width="17" style="1" customWidth="1"/>
    <col min="1378" max="1378" width="15.5703125" style="1" customWidth="1"/>
    <col min="1379" max="1379" width="17.7109375" style="1" customWidth="1"/>
    <col min="1380" max="1380" width="18.42578125" style="1" customWidth="1"/>
    <col min="1381" max="1381" width="17.5703125" style="1" customWidth="1"/>
    <col min="1382" max="1383" width="16" style="1" customWidth="1"/>
    <col min="1384" max="1387" width="12.42578125" style="1" customWidth="1"/>
    <col min="1388" max="1388" width="17.7109375" style="1" bestFit="1" customWidth="1"/>
    <col min="1389" max="1389" width="12.42578125" style="1" customWidth="1"/>
    <col min="1390" max="1390" width="13.7109375" style="1" customWidth="1"/>
    <col min="1391" max="1391" width="15.5703125" style="1" customWidth="1"/>
    <col min="1392" max="1395" width="13.7109375" style="1" customWidth="1"/>
    <col min="1396" max="1397" width="12.42578125" style="1" customWidth="1"/>
    <col min="1398" max="1398" width="14.85546875" style="1" customWidth="1"/>
    <col min="1399" max="1399" width="12.42578125" style="1" customWidth="1"/>
    <col min="1400" max="1401" width="13.42578125" style="1" customWidth="1"/>
    <col min="1402" max="1402" width="17" style="1" customWidth="1"/>
    <col min="1403" max="1404" width="12.42578125" style="1" customWidth="1"/>
    <col min="1405" max="1405" width="16.42578125" style="1" customWidth="1"/>
    <col min="1406" max="1406" width="12.42578125" style="1" customWidth="1"/>
    <col min="1407" max="1407" width="13.42578125" style="1" customWidth="1"/>
    <col min="1408" max="1408" width="12.42578125" style="1" customWidth="1"/>
    <col min="1409" max="1410" width="11.7109375" style="1" customWidth="1"/>
    <col min="1411" max="1411" width="11.42578125" style="1" customWidth="1"/>
    <col min="1412" max="1412" width="11.7109375" style="1" customWidth="1"/>
    <col min="1413" max="1413" width="11.42578125" style="1" customWidth="1"/>
    <col min="1414" max="1415" width="15.42578125" style="1" customWidth="1"/>
    <col min="1416" max="1416" width="16.140625" style="1" customWidth="1"/>
    <col min="1417" max="1417" width="16.5703125" style="1" customWidth="1"/>
    <col min="1418" max="1418" width="16.7109375" style="1" customWidth="1"/>
    <col min="1419" max="1419" width="15.42578125" style="1" customWidth="1"/>
    <col min="1420" max="1420" width="14.85546875" style="1" customWidth="1"/>
    <col min="1421" max="1421" width="17.140625" style="1" customWidth="1"/>
    <col min="1422" max="1422" width="16.7109375" style="1" customWidth="1"/>
    <col min="1423" max="1423" width="16.5703125" style="1" customWidth="1"/>
    <col min="1424" max="1424" width="16.28515625" style="1" customWidth="1"/>
    <col min="1425" max="1425" width="14.85546875" style="1" customWidth="1"/>
    <col min="1426" max="1426" width="16.140625" style="1" customWidth="1"/>
    <col min="1427" max="1427" width="16" style="1" customWidth="1"/>
    <col min="1428" max="1428" width="15.5703125" style="1" customWidth="1"/>
    <col min="1429" max="1429" width="16.28515625" style="1" customWidth="1"/>
    <col min="1430" max="1430" width="17.140625" style="1" customWidth="1"/>
    <col min="1431" max="1431" width="16.28515625" style="1" customWidth="1"/>
    <col min="1432" max="1432" width="15.7109375" style="1" customWidth="1"/>
    <col min="1433" max="1433" width="15.42578125" style="1" customWidth="1"/>
    <col min="1434" max="1536" width="9.140625" style="1"/>
    <col min="1537" max="1537" width="19.85546875" style="1" customWidth="1"/>
    <col min="1538" max="1538" width="22" style="1" customWidth="1"/>
    <col min="1539" max="1539" width="18.42578125" style="1" bestFit="1" customWidth="1"/>
    <col min="1540" max="1541" width="16.42578125" style="1" customWidth="1"/>
    <col min="1542" max="1542" width="18.85546875" style="1" customWidth="1"/>
    <col min="1543" max="1544" width="15.5703125" style="1" customWidth="1"/>
    <col min="1545" max="1545" width="11.28515625" style="1" customWidth="1"/>
    <col min="1546" max="1546" width="12.7109375" style="1" customWidth="1"/>
    <col min="1547" max="1551" width="14.7109375" style="1" customWidth="1"/>
    <col min="1552" max="1555" width="13.85546875" style="1" customWidth="1"/>
    <col min="1556" max="1556" width="14.28515625" style="1" customWidth="1"/>
    <col min="1557" max="1557" width="13.85546875" style="1" customWidth="1"/>
    <col min="1558" max="1570" width="13.42578125" style="1" customWidth="1"/>
    <col min="1571" max="1571" width="16.85546875" style="1" customWidth="1"/>
    <col min="1572" max="1572" width="12.42578125" style="1" customWidth="1"/>
    <col min="1573" max="1573" width="13.5703125" style="1" customWidth="1"/>
    <col min="1574" max="1577" width="12.42578125" style="1" customWidth="1"/>
    <col min="1578" max="1579" width="13.140625" style="1" customWidth="1"/>
    <col min="1580" max="1614" width="14.42578125" style="1" customWidth="1"/>
    <col min="1615" max="1626" width="12.42578125" style="1" customWidth="1"/>
    <col min="1627" max="1627" width="17.5703125" style="1" customWidth="1"/>
    <col min="1628" max="1628" width="15.140625" style="1" customWidth="1"/>
    <col min="1629" max="1630" width="15.42578125" style="1" customWidth="1"/>
    <col min="1631" max="1632" width="15.5703125" style="1" customWidth="1"/>
    <col min="1633" max="1633" width="17" style="1" customWidth="1"/>
    <col min="1634" max="1634" width="15.5703125" style="1" customWidth="1"/>
    <col min="1635" max="1635" width="17.7109375" style="1" customWidth="1"/>
    <col min="1636" max="1636" width="18.42578125" style="1" customWidth="1"/>
    <col min="1637" max="1637" width="17.5703125" style="1" customWidth="1"/>
    <col min="1638" max="1639" width="16" style="1" customWidth="1"/>
    <col min="1640" max="1643" width="12.42578125" style="1" customWidth="1"/>
    <col min="1644" max="1644" width="17.7109375" style="1" bestFit="1" customWidth="1"/>
    <col min="1645" max="1645" width="12.42578125" style="1" customWidth="1"/>
    <col min="1646" max="1646" width="13.7109375" style="1" customWidth="1"/>
    <col min="1647" max="1647" width="15.5703125" style="1" customWidth="1"/>
    <col min="1648" max="1651" width="13.7109375" style="1" customWidth="1"/>
    <col min="1652" max="1653" width="12.42578125" style="1" customWidth="1"/>
    <col min="1654" max="1654" width="14.85546875" style="1" customWidth="1"/>
    <col min="1655" max="1655" width="12.42578125" style="1" customWidth="1"/>
    <col min="1656" max="1657" width="13.42578125" style="1" customWidth="1"/>
    <col min="1658" max="1658" width="17" style="1" customWidth="1"/>
    <col min="1659" max="1660" width="12.42578125" style="1" customWidth="1"/>
    <col min="1661" max="1661" width="16.42578125" style="1" customWidth="1"/>
    <col min="1662" max="1662" width="12.42578125" style="1" customWidth="1"/>
    <col min="1663" max="1663" width="13.42578125" style="1" customWidth="1"/>
    <col min="1664" max="1664" width="12.42578125" style="1" customWidth="1"/>
    <col min="1665" max="1666" width="11.7109375" style="1" customWidth="1"/>
    <col min="1667" max="1667" width="11.42578125" style="1" customWidth="1"/>
    <col min="1668" max="1668" width="11.7109375" style="1" customWidth="1"/>
    <col min="1669" max="1669" width="11.42578125" style="1" customWidth="1"/>
    <col min="1670" max="1671" width="15.42578125" style="1" customWidth="1"/>
    <col min="1672" max="1672" width="16.140625" style="1" customWidth="1"/>
    <col min="1673" max="1673" width="16.5703125" style="1" customWidth="1"/>
    <col min="1674" max="1674" width="16.7109375" style="1" customWidth="1"/>
    <col min="1675" max="1675" width="15.42578125" style="1" customWidth="1"/>
    <col min="1676" max="1676" width="14.85546875" style="1" customWidth="1"/>
    <col min="1677" max="1677" width="17.140625" style="1" customWidth="1"/>
    <col min="1678" max="1678" width="16.7109375" style="1" customWidth="1"/>
    <col min="1679" max="1679" width="16.5703125" style="1" customWidth="1"/>
    <col min="1680" max="1680" width="16.28515625" style="1" customWidth="1"/>
    <col min="1681" max="1681" width="14.85546875" style="1" customWidth="1"/>
    <col min="1682" max="1682" width="16.140625" style="1" customWidth="1"/>
    <col min="1683" max="1683" width="16" style="1" customWidth="1"/>
    <col min="1684" max="1684" width="15.5703125" style="1" customWidth="1"/>
    <col min="1685" max="1685" width="16.28515625" style="1" customWidth="1"/>
    <col min="1686" max="1686" width="17.140625" style="1" customWidth="1"/>
    <col min="1687" max="1687" width="16.28515625" style="1" customWidth="1"/>
    <col min="1688" max="1688" width="15.7109375" style="1" customWidth="1"/>
    <col min="1689" max="1689" width="15.42578125" style="1" customWidth="1"/>
    <col min="1690" max="1792" width="9.140625" style="1"/>
    <col min="1793" max="1793" width="19.85546875" style="1" customWidth="1"/>
    <col min="1794" max="1794" width="22" style="1" customWidth="1"/>
    <col min="1795" max="1795" width="18.42578125" style="1" bestFit="1" customWidth="1"/>
    <col min="1796" max="1797" width="16.42578125" style="1" customWidth="1"/>
    <col min="1798" max="1798" width="18.85546875" style="1" customWidth="1"/>
    <col min="1799" max="1800" width="15.5703125" style="1" customWidth="1"/>
    <col min="1801" max="1801" width="11.28515625" style="1" customWidth="1"/>
    <col min="1802" max="1802" width="12.7109375" style="1" customWidth="1"/>
    <col min="1803" max="1807" width="14.7109375" style="1" customWidth="1"/>
    <col min="1808" max="1811" width="13.85546875" style="1" customWidth="1"/>
    <col min="1812" max="1812" width="14.28515625" style="1" customWidth="1"/>
    <col min="1813" max="1813" width="13.85546875" style="1" customWidth="1"/>
    <col min="1814" max="1826" width="13.42578125" style="1" customWidth="1"/>
    <col min="1827" max="1827" width="16.85546875" style="1" customWidth="1"/>
    <col min="1828" max="1828" width="12.42578125" style="1" customWidth="1"/>
    <col min="1829" max="1829" width="13.5703125" style="1" customWidth="1"/>
    <col min="1830" max="1833" width="12.42578125" style="1" customWidth="1"/>
    <col min="1834" max="1835" width="13.140625" style="1" customWidth="1"/>
    <col min="1836" max="1870" width="14.42578125" style="1" customWidth="1"/>
    <col min="1871" max="1882" width="12.42578125" style="1" customWidth="1"/>
    <col min="1883" max="1883" width="17.5703125" style="1" customWidth="1"/>
    <col min="1884" max="1884" width="15.140625" style="1" customWidth="1"/>
    <col min="1885" max="1886" width="15.42578125" style="1" customWidth="1"/>
    <col min="1887" max="1888" width="15.5703125" style="1" customWidth="1"/>
    <col min="1889" max="1889" width="17" style="1" customWidth="1"/>
    <col min="1890" max="1890" width="15.5703125" style="1" customWidth="1"/>
    <col min="1891" max="1891" width="17.7109375" style="1" customWidth="1"/>
    <col min="1892" max="1892" width="18.42578125" style="1" customWidth="1"/>
    <col min="1893" max="1893" width="17.5703125" style="1" customWidth="1"/>
    <col min="1894" max="1895" width="16" style="1" customWidth="1"/>
    <col min="1896" max="1899" width="12.42578125" style="1" customWidth="1"/>
    <col min="1900" max="1900" width="17.7109375" style="1" bestFit="1" customWidth="1"/>
    <col min="1901" max="1901" width="12.42578125" style="1" customWidth="1"/>
    <col min="1902" max="1902" width="13.7109375" style="1" customWidth="1"/>
    <col min="1903" max="1903" width="15.5703125" style="1" customWidth="1"/>
    <col min="1904" max="1907" width="13.7109375" style="1" customWidth="1"/>
    <col min="1908" max="1909" width="12.42578125" style="1" customWidth="1"/>
    <col min="1910" max="1910" width="14.85546875" style="1" customWidth="1"/>
    <col min="1911" max="1911" width="12.42578125" style="1" customWidth="1"/>
    <col min="1912" max="1913" width="13.42578125" style="1" customWidth="1"/>
    <col min="1914" max="1914" width="17" style="1" customWidth="1"/>
    <col min="1915" max="1916" width="12.42578125" style="1" customWidth="1"/>
    <col min="1917" max="1917" width="16.42578125" style="1" customWidth="1"/>
    <col min="1918" max="1918" width="12.42578125" style="1" customWidth="1"/>
    <col min="1919" max="1919" width="13.42578125" style="1" customWidth="1"/>
    <col min="1920" max="1920" width="12.42578125" style="1" customWidth="1"/>
    <col min="1921" max="1922" width="11.7109375" style="1" customWidth="1"/>
    <col min="1923" max="1923" width="11.42578125" style="1" customWidth="1"/>
    <col min="1924" max="1924" width="11.7109375" style="1" customWidth="1"/>
    <col min="1925" max="1925" width="11.42578125" style="1" customWidth="1"/>
    <col min="1926" max="1927" width="15.42578125" style="1" customWidth="1"/>
    <col min="1928" max="1928" width="16.140625" style="1" customWidth="1"/>
    <col min="1929" max="1929" width="16.5703125" style="1" customWidth="1"/>
    <col min="1930" max="1930" width="16.7109375" style="1" customWidth="1"/>
    <col min="1931" max="1931" width="15.42578125" style="1" customWidth="1"/>
    <col min="1932" max="1932" width="14.85546875" style="1" customWidth="1"/>
    <col min="1933" max="1933" width="17.140625" style="1" customWidth="1"/>
    <col min="1934" max="1934" width="16.7109375" style="1" customWidth="1"/>
    <col min="1935" max="1935" width="16.5703125" style="1" customWidth="1"/>
    <col min="1936" max="1936" width="16.28515625" style="1" customWidth="1"/>
    <col min="1937" max="1937" width="14.85546875" style="1" customWidth="1"/>
    <col min="1938" max="1938" width="16.140625" style="1" customWidth="1"/>
    <col min="1939" max="1939" width="16" style="1" customWidth="1"/>
    <col min="1940" max="1940" width="15.5703125" style="1" customWidth="1"/>
    <col min="1941" max="1941" width="16.28515625" style="1" customWidth="1"/>
    <col min="1942" max="1942" width="17.140625" style="1" customWidth="1"/>
    <col min="1943" max="1943" width="16.28515625" style="1" customWidth="1"/>
    <col min="1944" max="1944" width="15.7109375" style="1" customWidth="1"/>
    <col min="1945" max="1945" width="15.42578125" style="1" customWidth="1"/>
    <col min="1946" max="2048" width="9.140625" style="1"/>
    <col min="2049" max="2049" width="19.85546875" style="1" customWidth="1"/>
    <col min="2050" max="2050" width="22" style="1" customWidth="1"/>
    <col min="2051" max="2051" width="18.42578125" style="1" bestFit="1" customWidth="1"/>
    <col min="2052" max="2053" width="16.42578125" style="1" customWidth="1"/>
    <col min="2054" max="2054" width="18.85546875" style="1" customWidth="1"/>
    <col min="2055" max="2056" width="15.5703125" style="1" customWidth="1"/>
    <col min="2057" max="2057" width="11.28515625" style="1" customWidth="1"/>
    <col min="2058" max="2058" width="12.7109375" style="1" customWidth="1"/>
    <col min="2059" max="2063" width="14.7109375" style="1" customWidth="1"/>
    <col min="2064" max="2067" width="13.85546875" style="1" customWidth="1"/>
    <col min="2068" max="2068" width="14.28515625" style="1" customWidth="1"/>
    <col min="2069" max="2069" width="13.85546875" style="1" customWidth="1"/>
    <col min="2070" max="2082" width="13.42578125" style="1" customWidth="1"/>
    <col min="2083" max="2083" width="16.85546875" style="1" customWidth="1"/>
    <col min="2084" max="2084" width="12.42578125" style="1" customWidth="1"/>
    <col min="2085" max="2085" width="13.5703125" style="1" customWidth="1"/>
    <col min="2086" max="2089" width="12.42578125" style="1" customWidth="1"/>
    <col min="2090" max="2091" width="13.140625" style="1" customWidth="1"/>
    <col min="2092" max="2126" width="14.42578125" style="1" customWidth="1"/>
    <col min="2127" max="2138" width="12.42578125" style="1" customWidth="1"/>
    <col min="2139" max="2139" width="17.5703125" style="1" customWidth="1"/>
    <col min="2140" max="2140" width="15.140625" style="1" customWidth="1"/>
    <col min="2141" max="2142" width="15.42578125" style="1" customWidth="1"/>
    <col min="2143" max="2144" width="15.5703125" style="1" customWidth="1"/>
    <col min="2145" max="2145" width="17" style="1" customWidth="1"/>
    <col min="2146" max="2146" width="15.5703125" style="1" customWidth="1"/>
    <col min="2147" max="2147" width="17.7109375" style="1" customWidth="1"/>
    <col min="2148" max="2148" width="18.42578125" style="1" customWidth="1"/>
    <col min="2149" max="2149" width="17.5703125" style="1" customWidth="1"/>
    <col min="2150" max="2151" width="16" style="1" customWidth="1"/>
    <col min="2152" max="2155" width="12.42578125" style="1" customWidth="1"/>
    <col min="2156" max="2156" width="17.7109375" style="1" bestFit="1" customWidth="1"/>
    <col min="2157" max="2157" width="12.42578125" style="1" customWidth="1"/>
    <col min="2158" max="2158" width="13.7109375" style="1" customWidth="1"/>
    <col min="2159" max="2159" width="15.5703125" style="1" customWidth="1"/>
    <col min="2160" max="2163" width="13.7109375" style="1" customWidth="1"/>
    <col min="2164" max="2165" width="12.42578125" style="1" customWidth="1"/>
    <col min="2166" max="2166" width="14.85546875" style="1" customWidth="1"/>
    <col min="2167" max="2167" width="12.42578125" style="1" customWidth="1"/>
    <col min="2168" max="2169" width="13.42578125" style="1" customWidth="1"/>
    <col min="2170" max="2170" width="17" style="1" customWidth="1"/>
    <col min="2171" max="2172" width="12.42578125" style="1" customWidth="1"/>
    <col min="2173" max="2173" width="16.42578125" style="1" customWidth="1"/>
    <col min="2174" max="2174" width="12.42578125" style="1" customWidth="1"/>
    <col min="2175" max="2175" width="13.42578125" style="1" customWidth="1"/>
    <col min="2176" max="2176" width="12.42578125" style="1" customWidth="1"/>
    <col min="2177" max="2178" width="11.7109375" style="1" customWidth="1"/>
    <col min="2179" max="2179" width="11.42578125" style="1" customWidth="1"/>
    <col min="2180" max="2180" width="11.7109375" style="1" customWidth="1"/>
    <col min="2181" max="2181" width="11.42578125" style="1" customWidth="1"/>
    <col min="2182" max="2183" width="15.42578125" style="1" customWidth="1"/>
    <col min="2184" max="2184" width="16.140625" style="1" customWidth="1"/>
    <col min="2185" max="2185" width="16.5703125" style="1" customWidth="1"/>
    <col min="2186" max="2186" width="16.7109375" style="1" customWidth="1"/>
    <col min="2187" max="2187" width="15.42578125" style="1" customWidth="1"/>
    <col min="2188" max="2188" width="14.85546875" style="1" customWidth="1"/>
    <col min="2189" max="2189" width="17.140625" style="1" customWidth="1"/>
    <col min="2190" max="2190" width="16.7109375" style="1" customWidth="1"/>
    <col min="2191" max="2191" width="16.5703125" style="1" customWidth="1"/>
    <col min="2192" max="2192" width="16.28515625" style="1" customWidth="1"/>
    <col min="2193" max="2193" width="14.85546875" style="1" customWidth="1"/>
    <col min="2194" max="2194" width="16.140625" style="1" customWidth="1"/>
    <col min="2195" max="2195" width="16" style="1" customWidth="1"/>
    <col min="2196" max="2196" width="15.5703125" style="1" customWidth="1"/>
    <col min="2197" max="2197" width="16.28515625" style="1" customWidth="1"/>
    <col min="2198" max="2198" width="17.140625" style="1" customWidth="1"/>
    <col min="2199" max="2199" width="16.28515625" style="1" customWidth="1"/>
    <col min="2200" max="2200" width="15.7109375" style="1" customWidth="1"/>
    <col min="2201" max="2201" width="15.42578125" style="1" customWidth="1"/>
    <col min="2202" max="2304" width="9.140625" style="1"/>
    <col min="2305" max="2305" width="19.85546875" style="1" customWidth="1"/>
    <col min="2306" max="2306" width="22" style="1" customWidth="1"/>
    <col min="2307" max="2307" width="18.42578125" style="1" bestFit="1" customWidth="1"/>
    <col min="2308" max="2309" width="16.42578125" style="1" customWidth="1"/>
    <col min="2310" max="2310" width="18.85546875" style="1" customWidth="1"/>
    <col min="2311" max="2312" width="15.5703125" style="1" customWidth="1"/>
    <col min="2313" max="2313" width="11.28515625" style="1" customWidth="1"/>
    <col min="2314" max="2314" width="12.7109375" style="1" customWidth="1"/>
    <col min="2315" max="2319" width="14.7109375" style="1" customWidth="1"/>
    <col min="2320" max="2323" width="13.85546875" style="1" customWidth="1"/>
    <col min="2324" max="2324" width="14.28515625" style="1" customWidth="1"/>
    <col min="2325" max="2325" width="13.85546875" style="1" customWidth="1"/>
    <col min="2326" max="2338" width="13.42578125" style="1" customWidth="1"/>
    <col min="2339" max="2339" width="16.85546875" style="1" customWidth="1"/>
    <col min="2340" max="2340" width="12.42578125" style="1" customWidth="1"/>
    <col min="2341" max="2341" width="13.5703125" style="1" customWidth="1"/>
    <col min="2342" max="2345" width="12.42578125" style="1" customWidth="1"/>
    <col min="2346" max="2347" width="13.140625" style="1" customWidth="1"/>
    <col min="2348" max="2382" width="14.42578125" style="1" customWidth="1"/>
    <col min="2383" max="2394" width="12.42578125" style="1" customWidth="1"/>
    <col min="2395" max="2395" width="17.5703125" style="1" customWidth="1"/>
    <col min="2396" max="2396" width="15.140625" style="1" customWidth="1"/>
    <col min="2397" max="2398" width="15.42578125" style="1" customWidth="1"/>
    <col min="2399" max="2400" width="15.5703125" style="1" customWidth="1"/>
    <col min="2401" max="2401" width="17" style="1" customWidth="1"/>
    <col min="2402" max="2402" width="15.5703125" style="1" customWidth="1"/>
    <col min="2403" max="2403" width="17.7109375" style="1" customWidth="1"/>
    <col min="2404" max="2404" width="18.42578125" style="1" customWidth="1"/>
    <col min="2405" max="2405" width="17.5703125" style="1" customWidth="1"/>
    <col min="2406" max="2407" width="16" style="1" customWidth="1"/>
    <col min="2408" max="2411" width="12.42578125" style="1" customWidth="1"/>
    <col min="2412" max="2412" width="17.7109375" style="1" bestFit="1" customWidth="1"/>
    <col min="2413" max="2413" width="12.42578125" style="1" customWidth="1"/>
    <col min="2414" max="2414" width="13.7109375" style="1" customWidth="1"/>
    <col min="2415" max="2415" width="15.5703125" style="1" customWidth="1"/>
    <col min="2416" max="2419" width="13.7109375" style="1" customWidth="1"/>
    <col min="2420" max="2421" width="12.42578125" style="1" customWidth="1"/>
    <col min="2422" max="2422" width="14.85546875" style="1" customWidth="1"/>
    <col min="2423" max="2423" width="12.42578125" style="1" customWidth="1"/>
    <col min="2424" max="2425" width="13.42578125" style="1" customWidth="1"/>
    <col min="2426" max="2426" width="17" style="1" customWidth="1"/>
    <col min="2427" max="2428" width="12.42578125" style="1" customWidth="1"/>
    <col min="2429" max="2429" width="16.42578125" style="1" customWidth="1"/>
    <col min="2430" max="2430" width="12.42578125" style="1" customWidth="1"/>
    <col min="2431" max="2431" width="13.42578125" style="1" customWidth="1"/>
    <col min="2432" max="2432" width="12.42578125" style="1" customWidth="1"/>
    <col min="2433" max="2434" width="11.7109375" style="1" customWidth="1"/>
    <col min="2435" max="2435" width="11.42578125" style="1" customWidth="1"/>
    <col min="2436" max="2436" width="11.7109375" style="1" customWidth="1"/>
    <col min="2437" max="2437" width="11.42578125" style="1" customWidth="1"/>
    <col min="2438" max="2439" width="15.42578125" style="1" customWidth="1"/>
    <col min="2440" max="2440" width="16.140625" style="1" customWidth="1"/>
    <col min="2441" max="2441" width="16.5703125" style="1" customWidth="1"/>
    <col min="2442" max="2442" width="16.7109375" style="1" customWidth="1"/>
    <col min="2443" max="2443" width="15.42578125" style="1" customWidth="1"/>
    <col min="2444" max="2444" width="14.85546875" style="1" customWidth="1"/>
    <col min="2445" max="2445" width="17.140625" style="1" customWidth="1"/>
    <col min="2446" max="2446" width="16.7109375" style="1" customWidth="1"/>
    <col min="2447" max="2447" width="16.5703125" style="1" customWidth="1"/>
    <col min="2448" max="2448" width="16.28515625" style="1" customWidth="1"/>
    <col min="2449" max="2449" width="14.85546875" style="1" customWidth="1"/>
    <col min="2450" max="2450" width="16.140625" style="1" customWidth="1"/>
    <col min="2451" max="2451" width="16" style="1" customWidth="1"/>
    <col min="2452" max="2452" width="15.5703125" style="1" customWidth="1"/>
    <col min="2453" max="2453" width="16.28515625" style="1" customWidth="1"/>
    <col min="2454" max="2454" width="17.140625" style="1" customWidth="1"/>
    <col min="2455" max="2455" width="16.28515625" style="1" customWidth="1"/>
    <col min="2456" max="2456" width="15.7109375" style="1" customWidth="1"/>
    <col min="2457" max="2457" width="15.42578125" style="1" customWidth="1"/>
    <col min="2458" max="2560" width="9.140625" style="1"/>
    <col min="2561" max="2561" width="19.85546875" style="1" customWidth="1"/>
    <col min="2562" max="2562" width="22" style="1" customWidth="1"/>
    <col min="2563" max="2563" width="18.42578125" style="1" bestFit="1" customWidth="1"/>
    <col min="2564" max="2565" width="16.42578125" style="1" customWidth="1"/>
    <col min="2566" max="2566" width="18.85546875" style="1" customWidth="1"/>
    <col min="2567" max="2568" width="15.5703125" style="1" customWidth="1"/>
    <col min="2569" max="2569" width="11.28515625" style="1" customWidth="1"/>
    <col min="2570" max="2570" width="12.7109375" style="1" customWidth="1"/>
    <col min="2571" max="2575" width="14.7109375" style="1" customWidth="1"/>
    <col min="2576" max="2579" width="13.85546875" style="1" customWidth="1"/>
    <col min="2580" max="2580" width="14.28515625" style="1" customWidth="1"/>
    <col min="2581" max="2581" width="13.85546875" style="1" customWidth="1"/>
    <col min="2582" max="2594" width="13.42578125" style="1" customWidth="1"/>
    <col min="2595" max="2595" width="16.85546875" style="1" customWidth="1"/>
    <col min="2596" max="2596" width="12.42578125" style="1" customWidth="1"/>
    <col min="2597" max="2597" width="13.5703125" style="1" customWidth="1"/>
    <col min="2598" max="2601" width="12.42578125" style="1" customWidth="1"/>
    <col min="2602" max="2603" width="13.140625" style="1" customWidth="1"/>
    <col min="2604" max="2638" width="14.42578125" style="1" customWidth="1"/>
    <col min="2639" max="2650" width="12.42578125" style="1" customWidth="1"/>
    <col min="2651" max="2651" width="17.5703125" style="1" customWidth="1"/>
    <col min="2652" max="2652" width="15.140625" style="1" customWidth="1"/>
    <col min="2653" max="2654" width="15.42578125" style="1" customWidth="1"/>
    <col min="2655" max="2656" width="15.5703125" style="1" customWidth="1"/>
    <col min="2657" max="2657" width="17" style="1" customWidth="1"/>
    <col min="2658" max="2658" width="15.5703125" style="1" customWidth="1"/>
    <col min="2659" max="2659" width="17.7109375" style="1" customWidth="1"/>
    <col min="2660" max="2660" width="18.42578125" style="1" customWidth="1"/>
    <col min="2661" max="2661" width="17.5703125" style="1" customWidth="1"/>
    <col min="2662" max="2663" width="16" style="1" customWidth="1"/>
    <col min="2664" max="2667" width="12.42578125" style="1" customWidth="1"/>
    <col min="2668" max="2668" width="17.7109375" style="1" bestFit="1" customWidth="1"/>
    <col min="2669" max="2669" width="12.42578125" style="1" customWidth="1"/>
    <col min="2670" max="2670" width="13.7109375" style="1" customWidth="1"/>
    <col min="2671" max="2671" width="15.5703125" style="1" customWidth="1"/>
    <col min="2672" max="2675" width="13.7109375" style="1" customWidth="1"/>
    <col min="2676" max="2677" width="12.42578125" style="1" customWidth="1"/>
    <col min="2678" max="2678" width="14.85546875" style="1" customWidth="1"/>
    <col min="2679" max="2679" width="12.42578125" style="1" customWidth="1"/>
    <col min="2680" max="2681" width="13.42578125" style="1" customWidth="1"/>
    <col min="2682" max="2682" width="17" style="1" customWidth="1"/>
    <col min="2683" max="2684" width="12.42578125" style="1" customWidth="1"/>
    <col min="2685" max="2685" width="16.42578125" style="1" customWidth="1"/>
    <col min="2686" max="2686" width="12.42578125" style="1" customWidth="1"/>
    <col min="2687" max="2687" width="13.42578125" style="1" customWidth="1"/>
    <col min="2688" max="2688" width="12.42578125" style="1" customWidth="1"/>
    <col min="2689" max="2690" width="11.7109375" style="1" customWidth="1"/>
    <col min="2691" max="2691" width="11.42578125" style="1" customWidth="1"/>
    <col min="2692" max="2692" width="11.7109375" style="1" customWidth="1"/>
    <col min="2693" max="2693" width="11.42578125" style="1" customWidth="1"/>
    <col min="2694" max="2695" width="15.42578125" style="1" customWidth="1"/>
    <col min="2696" max="2696" width="16.140625" style="1" customWidth="1"/>
    <col min="2697" max="2697" width="16.5703125" style="1" customWidth="1"/>
    <col min="2698" max="2698" width="16.7109375" style="1" customWidth="1"/>
    <col min="2699" max="2699" width="15.42578125" style="1" customWidth="1"/>
    <col min="2700" max="2700" width="14.85546875" style="1" customWidth="1"/>
    <col min="2701" max="2701" width="17.140625" style="1" customWidth="1"/>
    <col min="2702" max="2702" width="16.7109375" style="1" customWidth="1"/>
    <col min="2703" max="2703" width="16.5703125" style="1" customWidth="1"/>
    <col min="2704" max="2704" width="16.28515625" style="1" customWidth="1"/>
    <col min="2705" max="2705" width="14.85546875" style="1" customWidth="1"/>
    <col min="2706" max="2706" width="16.140625" style="1" customWidth="1"/>
    <col min="2707" max="2707" width="16" style="1" customWidth="1"/>
    <col min="2708" max="2708" width="15.5703125" style="1" customWidth="1"/>
    <col min="2709" max="2709" width="16.28515625" style="1" customWidth="1"/>
    <col min="2710" max="2710" width="17.140625" style="1" customWidth="1"/>
    <col min="2711" max="2711" width="16.28515625" style="1" customWidth="1"/>
    <col min="2712" max="2712" width="15.7109375" style="1" customWidth="1"/>
    <col min="2713" max="2713" width="15.42578125" style="1" customWidth="1"/>
    <col min="2714" max="2816" width="9.140625" style="1"/>
    <col min="2817" max="2817" width="19.85546875" style="1" customWidth="1"/>
    <col min="2818" max="2818" width="22" style="1" customWidth="1"/>
    <col min="2819" max="2819" width="18.42578125" style="1" bestFit="1" customWidth="1"/>
    <col min="2820" max="2821" width="16.42578125" style="1" customWidth="1"/>
    <col min="2822" max="2822" width="18.85546875" style="1" customWidth="1"/>
    <col min="2823" max="2824" width="15.5703125" style="1" customWidth="1"/>
    <col min="2825" max="2825" width="11.28515625" style="1" customWidth="1"/>
    <col min="2826" max="2826" width="12.7109375" style="1" customWidth="1"/>
    <col min="2827" max="2831" width="14.7109375" style="1" customWidth="1"/>
    <col min="2832" max="2835" width="13.85546875" style="1" customWidth="1"/>
    <col min="2836" max="2836" width="14.28515625" style="1" customWidth="1"/>
    <col min="2837" max="2837" width="13.85546875" style="1" customWidth="1"/>
    <col min="2838" max="2850" width="13.42578125" style="1" customWidth="1"/>
    <col min="2851" max="2851" width="16.85546875" style="1" customWidth="1"/>
    <col min="2852" max="2852" width="12.42578125" style="1" customWidth="1"/>
    <col min="2853" max="2853" width="13.5703125" style="1" customWidth="1"/>
    <col min="2854" max="2857" width="12.42578125" style="1" customWidth="1"/>
    <col min="2858" max="2859" width="13.140625" style="1" customWidth="1"/>
    <col min="2860" max="2894" width="14.42578125" style="1" customWidth="1"/>
    <col min="2895" max="2906" width="12.42578125" style="1" customWidth="1"/>
    <col min="2907" max="2907" width="17.5703125" style="1" customWidth="1"/>
    <col min="2908" max="2908" width="15.140625" style="1" customWidth="1"/>
    <col min="2909" max="2910" width="15.42578125" style="1" customWidth="1"/>
    <col min="2911" max="2912" width="15.5703125" style="1" customWidth="1"/>
    <col min="2913" max="2913" width="17" style="1" customWidth="1"/>
    <col min="2914" max="2914" width="15.5703125" style="1" customWidth="1"/>
    <col min="2915" max="2915" width="17.7109375" style="1" customWidth="1"/>
    <col min="2916" max="2916" width="18.42578125" style="1" customWidth="1"/>
    <col min="2917" max="2917" width="17.5703125" style="1" customWidth="1"/>
    <col min="2918" max="2919" width="16" style="1" customWidth="1"/>
    <col min="2920" max="2923" width="12.42578125" style="1" customWidth="1"/>
    <col min="2924" max="2924" width="17.7109375" style="1" bestFit="1" customWidth="1"/>
    <col min="2925" max="2925" width="12.42578125" style="1" customWidth="1"/>
    <col min="2926" max="2926" width="13.7109375" style="1" customWidth="1"/>
    <col min="2927" max="2927" width="15.5703125" style="1" customWidth="1"/>
    <col min="2928" max="2931" width="13.7109375" style="1" customWidth="1"/>
    <col min="2932" max="2933" width="12.42578125" style="1" customWidth="1"/>
    <col min="2934" max="2934" width="14.85546875" style="1" customWidth="1"/>
    <col min="2935" max="2935" width="12.42578125" style="1" customWidth="1"/>
    <col min="2936" max="2937" width="13.42578125" style="1" customWidth="1"/>
    <col min="2938" max="2938" width="17" style="1" customWidth="1"/>
    <col min="2939" max="2940" width="12.42578125" style="1" customWidth="1"/>
    <col min="2941" max="2941" width="16.42578125" style="1" customWidth="1"/>
    <col min="2942" max="2942" width="12.42578125" style="1" customWidth="1"/>
    <col min="2943" max="2943" width="13.42578125" style="1" customWidth="1"/>
    <col min="2944" max="2944" width="12.42578125" style="1" customWidth="1"/>
    <col min="2945" max="2946" width="11.7109375" style="1" customWidth="1"/>
    <col min="2947" max="2947" width="11.42578125" style="1" customWidth="1"/>
    <col min="2948" max="2948" width="11.7109375" style="1" customWidth="1"/>
    <col min="2949" max="2949" width="11.42578125" style="1" customWidth="1"/>
    <col min="2950" max="2951" width="15.42578125" style="1" customWidth="1"/>
    <col min="2952" max="2952" width="16.140625" style="1" customWidth="1"/>
    <col min="2953" max="2953" width="16.5703125" style="1" customWidth="1"/>
    <col min="2954" max="2954" width="16.7109375" style="1" customWidth="1"/>
    <col min="2955" max="2955" width="15.42578125" style="1" customWidth="1"/>
    <col min="2956" max="2956" width="14.85546875" style="1" customWidth="1"/>
    <col min="2957" max="2957" width="17.140625" style="1" customWidth="1"/>
    <col min="2958" max="2958" width="16.7109375" style="1" customWidth="1"/>
    <col min="2959" max="2959" width="16.5703125" style="1" customWidth="1"/>
    <col min="2960" max="2960" width="16.28515625" style="1" customWidth="1"/>
    <col min="2961" max="2961" width="14.85546875" style="1" customWidth="1"/>
    <col min="2962" max="2962" width="16.140625" style="1" customWidth="1"/>
    <col min="2963" max="2963" width="16" style="1" customWidth="1"/>
    <col min="2964" max="2964" width="15.5703125" style="1" customWidth="1"/>
    <col min="2965" max="2965" width="16.28515625" style="1" customWidth="1"/>
    <col min="2966" max="2966" width="17.140625" style="1" customWidth="1"/>
    <col min="2967" max="2967" width="16.28515625" style="1" customWidth="1"/>
    <col min="2968" max="2968" width="15.7109375" style="1" customWidth="1"/>
    <col min="2969" max="2969" width="15.42578125" style="1" customWidth="1"/>
    <col min="2970" max="3072" width="9.140625" style="1"/>
    <col min="3073" max="3073" width="19.85546875" style="1" customWidth="1"/>
    <col min="3074" max="3074" width="22" style="1" customWidth="1"/>
    <col min="3075" max="3075" width="18.42578125" style="1" bestFit="1" customWidth="1"/>
    <col min="3076" max="3077" width="16.42578125" style="1" customWidth="1"/>
    <col min="3078" max="3078" width="18.85546875" style="1" customWidth="1"/>
    <col min="3079" max="3080" width="15.5703125" style="1" customWidth="1"/>
    <col min="3081" max="3081" width="11.28515625" style="1" customWidth="1"/>
    <col min="3082" max="3082" width="12.7109375" style="1" customWidth="1"/>
    <col min="3083" max="3087" width="14.7109375" style="1" customWidth="1"/>
    <col min="3088" max="3091" width="13.85546875" style="1" customWidth="1"/>
    <col min="3092" max="3092" width="14.28515625" style="1" customWidth="1"/>
    <col min="3093" max="3093" width="13.85546875" style="1" customWidth="1"/>
    <col min="3094" max="3106" width="13.42578125" style="1" customWidth="1"/>
    <col min="3107" max="3107" width="16.85546875" style="1" customWidth="1"/>
    <col min="3108" max="3108" width="12.42578125" style="1" customWidth="1"/>
    <col min="3109" max="3109" width="13.5703125" style="1" customWidth="1"/>
    <col min="3110" max="3113" width="12.42578125" style="1" customWidth="1"/>
    <col min="3114" max="3115" width="13.140625" style="1" customWidth="1"/>
    <col min="3116" max="3150" width="14.42578125" style="1" customWidth="1"/>
    <col min="3151" max="3162" width="12.42578125" style="1" customWidth="1"/>
    <col min="3163" max="3163" width="17.5703125" style="1" customWidth="1"/>
    <col min="3164" max="3164" width="15.140625" style="1" customWidth="1"/>
    <col min="3165" max="3166" width="15.42578125" style="1" customWidth="1"/>
    <col min="3167" max="3168" width="15.5703125" style="1" customWidth="1"/>
    <col min="3169" max="3169" width="17" style="1" customWidth="1"/>
    <col min="3170" max="3170" width="15.5703125" style="1" customWidth="1"/>
    <col min="3171" max="3171" width="17.7109375" style="1" customWidth="1"/>
    <col min="3172" max="3172" width="18.42578125" style="1" customWidth="1"/>
    <col min="3173" max="3173" width="17.5703125" style="1" customWidth="1"/>
    <col min="3174" max="3175" width="16" style="1" customWidth="1"/>
    <col min="3176" max="3179" width="12.42578125" style="1" customWidth="1"/>
    <col min="3180" max="3180" width="17.7109375" style="1" bestFit="1" customWidth="1"/>
    <col min="3181" max="3181" width="12.42578125" style="1" customWidth="1"/>
    <col min="3182" max="3182" width="13.7109375" style="1" customWidth="1"/>
    <col min="3183" max="3183" width="15.5703125" style="1" customWidth="1"/>
    <col min="3184" max="3187" width="13.7109375" style="1" customWidth="1"/>
    <col min="3188" max="3189" width="12.42578125" style="1" customWidth="1"/>
    <col min="3190" max="3190" width="14.85546875" style="1" customWidth="1"/>
    <col min="3191" max="3191" width="12.42578125" style="1" customWidth="1"/>
    <col min="3192" max="3193" width="13.42578125" style="1" customWidth="1"/>
    <col min="3194" max="3194" width="17" style="1" customWidth="1"/>
    <col min="3195" max="3196" width="12.42578125" style="1" customWidth="1"/>
    <col min="3197" max="3197" width="16.42578125" style="1" customWidth="1"/>
    <col min="3198" max="3198" width="12.42578125" style="1" customWidth="1"/>
    <col min="3199" max="3199" width="13.42578125" style="1" customWidth="1"/>
    <col min="3200" max="3200" width="12.42578125" style="1" customWidth="1"/>
    <col min="3201" max="3202" width="11.7109375" style="1" customWidth="1"/>
    <col min="3203" max="3203" width="11.42578125" style="1" customWidth="1"/>
    <col min="3204" max="3204" width="11.7109375" style="1" customWidth="1"/>
    <col min="3205" max="3205" width="11.42578125" style="1" customWidth="1"/>
    <col min="3206" max="3207" width="15.42578125" style="1" customWidth="1"/>
    <col min="3208" max="3208" width="16.140625" style="1" customWidth="1"/>
    <col min="3209" max="3209" width="16.5703125" style="1" customWidth="1"/>
    <col min="3210" max="3210" width="16.7109375" style="1" customWidth="1"/>
    <col min="3211" max="3211" width="15.42578125" style="1" customWidth="1"/>
    <col min="3212" max="3212" width="14.85546875" style="1" customWidth="1"/>
    <col min="3213" max="3213" width="17.140625" style="1" customWidth="1"/>
    <col min="3214" max="3214" width="16.7109375" style="1" customWidth="1"/>
    <col min="3215" max="3215" width="16.5703125" style="1" customWidth="1"/>
    <col min="3216" max="3216" width="16.28515625" style="1" customWidth="1"/>
    <col min="3217" max="3217" width="14.85546875" style="1" customWidth="1"/>
    <col min="3218" max="3218" width="16.140625" style="1" customWidth="1"/>
    <col min="3219" max="3219" width="16" style="1" customWidth="1"/>
    <col min="3220" max="3220" width="15.5703125" style="1" customWidth="1"/>
    <col min="3221" max="3221" width="16.28515625" style="1" customWidth="1"/>
    <col min="3222" max="3222" width="17.140625" style="1" customWidth="1"/>
    <col min="3223" max="3223" width="16.28515625" style="1" customWidth="1"/>
    <col min="3224" max="3224" width="15.7109375" style="1" customWidth="1"/>
    <col min="3225" max="3225" width="15.42578125" style="1" customWidth="1"/>
    <col min="3226" max="3328" width="9.140625" style="1"/>
    <col min="3329" max="3329" width="19.85546875" style="1" customWidth="1"/>
    <col min="3330" max="3330" width="22" style="1" customWidth="1"/>
    <col min="3331" max="3331" width="18.42578125" style="1" bestFit="1" customWidth="1"/>
    <col min="3332" max="3333" width="16.42578125" style="1" customWidth="1"/>
    <col min="3334" max="3334" width="18.85546875" style="1" customWidth="1"/>
    <col min="3335" max="3336" width="15.5703125" style="1" customWidth="1"/>
    <col min="3337" max="3337" width="11.28515625" style="1" customWidth="1"/>
    <col min="3338" max="3338" width="12.7109375" style="1" customWidth="1"/>
    <col min="3339" max="3343" width="14.7109375" style="1" customWidth="1"/>
    <col min="3344" max="3347" width="13.85546875" style="1" customWidth="1"/>
    <col min="3348" max="3348" width="14.28515625" style="1" customWidth="1"/>
    <col min="3349" max="3349" width="13.85546875" style="1" customWidth="1"/>
    <col min="3350" max="3362" width="13.42578125" style="1" customWidth="1"/>
    <col min="3363" max="3363" width="16.85546875" style="1" customWidth="1"/>
    <col min="3364" max="3364" width="12.42578125" style="1" customWidth="1"/>
    <col min="3365" max="3365" width="13.5703125" style="1" customWidth="1"/>
    <col min="3366" max="3369" width="12.42578125" style="1" customWidth="1"/>
    <col min="3370" max="3371" width="13.140625" style="1" customWidth="1"/>
    <col min="3372" max="3406" width="14.42578125" style="1" customWidth="1"/>
    <col min="3407" max="3418" width="12.42578125" style="1" customWidth="1"/>
    <col min="3419" max="3419" width="17.5703125" style="1" customWidth="1"/>
    <col min="3420" max="3420" width="15.140625" style="1" customWidth="1"/>
    <col min="3421" max="3422" width="15.42578125" style="1" customWidth="1"/>
    <col min="3423" max="3424" width="15.5703125" style="1" customWidth="1"/>
    <col min="3425" max="3425" width="17" style="1" customWidth="1"/>
    <col min="3426" max="3426" width="15.5703125" style="1" customWidth="1"/>
    <col min="3427" max="3427" width="17.7109375" style="1" customWidth="1"/>
    <col min="3428" max="3428" width="18.42578125" style="1" customWidth="1"/>
    <col min="3429" max="3429" width="17.5703125" style="1" customWidth="1"/>
    <col min="3430" max="3431" width="16" style="1" customWidth="1"/>
    <col min="3432" max="3435" width="12.42578125" style="1" customWidth="1"/>
    <col min="3436" max="3436" width="17.7109375" style="1" bestFit="1" customWidth="1"/>
    <col min="3437" max="3437" width="12.42578125" style="1" customWidth="1"/>
    <col min="3438" max="3438" width="13.7109375" style="1" customWidth="1"/>
    <col min="3439" max="3439" width="15.5703125" style="1" customWidth="1"/>
    <col min="3440" max="3443" width="13.7109375" style="1" customWidth="1"/>
    <col min="3444" max="3445" width="12.42578125" style="1" customWidth="1"/>
    <col min="3446" max="3446" width="14.85546875" style="1" customWidth="1"/>
    <col min="3447" max="3447" width="12.42578125" style="1" customWidth="1"/>
    <col min="3448" max="3449" width="13.42578125" style="1" customWidth="1"/>
    <col min="3450" max="3450" width="17" style="1" customWidth="1"/>
    <col min="3451" max="3452" width="12.42578125" style="1" customWidth="1"/>
    <col min="3453" max="3453" width="16.42578125" style="1" customWidth="1"/>
    <col min="3454" max="3454" width="12.42578125" style="1" customWidth="1"/>
    <col min="3455" max="3455" width="13.42578125" style="1" customWidth="1"/>
    <col min="3456" max="3456" width="12.42578125" style="1" customWidth="1"/>
    <col min="3457" max="3458" width="11.7109375" style="1" customWidth="1"/>
    <col min="3459" max="3459" width="11.42578125" style="1" customWidth="1"/>
    <col min="3460" max="3460" width="11.7109375" style="1" customWidth="1"/>
    <col min="3461" max="3461" width="11.42578125" style="1" customWidth="1"/>
    <col min="3462" max="3463" width="15.42578125" style="1" customWidth="1"/>
    <col min="3464" max="3464" width="16.140625" style="1" customWidth="1"/>
    <col min="3465" max="3465" width="16.5703125" style="1" customWidth="1"/>
    <col min="3466" max="3466" width="16.7109375" style="1" customWidth="1"/>
    <col min="3467" max="3467" width="15.42578125" style="1" customWidth="1"/>
    <col min="3468" max="3468" width="14.85546875" style="1" customWidth="1"/>
    <col min="3469" max="3469" width="17.140625" style="1" customWidth="1"/>
    <col min="3470" max="3470" width="16.7109375" style="1" customWidth="1"/>
    <col min="3471" max="3471" width="16.5703125" style="1" customWidth="1"/>
    <col min="3472" max="3472" width="16.28515625" style="1" customWidth="1"/>
    <col min="3473" max="3473" width="14.85546875" style="1" customWidth="1"/>
    <col min="3474" max="3474" width="16.140625" style="1" customWidth="1"/>
    <col min="3475" max="3475" width="16" style="1" customWidth="1"/>
    <col min="3476" max="3476" width="15.5703125" style="1" customWidth="1"/>
    <col min="3477" max="3477" width="16.28515625" style="1" customWidth="1"/>
    <col min="3478" max="3478" width="17.140625" style="1" customWidth="1"/>
    <col min="3479" max="3479" width="16.28515625" style="1" customWidth="1"/>
    <col min="3480" max="3480" width="15.7109375" style="1" customWidth="1"/>
    <col min="3481" max="3481" width="15.42578125" style="1" customWidth="1"/>
    <col min="3482" max="3584" width="9.140625" style="1"/>
    <col min="3585" max="3585" width="19.85546875" style="1" customWidth="1"/>
    <col min="3586" max="3586" width="22" style="1" customWidth="1"/>
    <col min="3587" max="3587" width="18.42578125" style="1" bestFit="1" customWidth="1"/>
    <col min="3588" max="3589" width="16.42578125" style="1" customWidth="1"/>
    <col min="3590" max="3590" width="18.85546875" style="1" customWidth="1"/>
    <col min="3591" max="3592" width="15.5703125" style="1" customWidth="1"/>
    <col min="3593" max="3593" width="11.28515625" style="1" customWidth="1"/>
    <col min="3594" max="3594" width="12.7109375" style="1" customWidth="1"/>
    <col min="3595" max="3599" width="14.7109375" style="1" customWidth="1"/>
    <col min="3600" max="3603" width="13.85546875" style="1" customWidth="1"/>
    <col min="3604" max="3604" width="14.28515625" style="1" customWidth="1"/>
    <col min="3605" max="3605" width="13.85546875" style="1" customWidth="1"/>
    <col min="3606" max="3618" width="13.42578125" style="1" customWidth="1"/>
    <col min="3619" max="3619" width="16.85546875" style="1" customWidth="1"/>
    <col min="3620" max="3620" width="12.42578125" style="1" customWidth="1"/>
    <col min="3621" max="3621" width="13.5703125" style="1" customWidth="1"/>
    <col min="3622" max="3625" width="12.42578125" style="1" customWidth="1"/>
    <col min="3626" max="3627" width="13.140625" style="1" customWidth="1"/>
    <col min="3628" max="3662" width="14.42578125" style="1" customWidth="1"/>
    <col min="3663" max="3674" width="12.42578125" style="1" customWidth="1"/>
    <col min="3675" max="3675" width="17.5703125" style="1" customWidth="1"/>
    <col min="3676" max="3676" width="15.140625" style="1" customWidth="1"/>
    <col min="3677" max="3678" width="15.42578125" style="1" customWidth="1"/>
    <col min="3679" max="3680" width="15.5703125" style="1" customWidth="1"/>
    <col min="3681" max="3681" width="17" style="1" customWidth="1"/>
    <col min="3682" max="3682" width="15.5703125" style="1" customWidth="1"/>
    <col min="3683" max="3683" width="17.7109375" style="1" customWidth="1"/>
    <col min="3684" max="3684" width="18.42578125" style="1" customWidth="1"/>
    <col min="3685" max="3685" width="17.5703125" style="1" customWidth="1"/>
    <col min="3686" max="3687" width="16" style="1" customWidth="1"/>
    <col min="3688" max="3691" width="12.42578125" style="1" customWidth="1"/>
    <col min="3692" max="3692" width="17.7109375" style="1" bestFit="1" customWidth="1"/>
    <col min="3693" max="3693" width="12.42578125" style="1" customWidth="1"/>
    <col min="3694" max="3694" width="13.7109375" style="1" customWidth="1"/>
    <col min="3695" max="3695" width="15.5703125" style="1" customWidth="1"/>
    <col min="3696" max="3699" width="13.7109375" style="1" customWidth="1"/>
    <col min="3700" max="3701" width="12.42578125" style="1" customWidth="1"/>
    <col min="3702" max="3702" width="14.85546875" style="1" customWidth="1"/>
    <col min="3703" max="3703" width="12.42578125" style="1" customWidth="1"/>
    <col min="3704" max="3705" width="13.42578125" style="1" customWidth="1"/>
    <col min="3706" max="3706" width="17" style="1" customWidth="1"/>
    <col min="3707" max="3708" width="12.42578125" style="1" customWidth="1"/>
    <col min="3709" max="3709" width="16.42578125" style="1" customWidth="1"/>
    <col min="3710" max="3710" width="12.42578125" style="1" customWidth="1"/>
    <col min="3711" max="3711" width="13.42578125" style="1" customWidth="1"/>
    <col min="3712" max="3712" width="12.42578125" style="1" customWidth="1"/>
    <col min="3713" max="3714" width="11.7109375" style="1" customWidth="1"/>
    <col min="3715" max="3715" width="11.42578125" style="1" customWidth="1"/>
    <col min="3716" max="3716" width="11.7109375" style="1" customWidth="1"/>
    <col min="3717" max="3717" width="11.42578125" style="1" customWidth="1"/>
    <col min="3718" max="3719" width="15.42578125" style="1" customWidth="1"/>
    <col min="3720" max="3720" width="16.140625" style="1" customWidth="1"/>
    <col min="3721" max="3721" width="16.5703125" style="1" customWidth="1"/>
    <col min="3722" max="3722" width="16.7109375" style="1" customWidth="1"/>
    <col min="3723" max="3723" width="15.42578125" style="1" customWidth="1"/>
    <col min="3724" max="3724" width="14.85546875" style="1" customWidth="1"/>
    <col min="3725" max="3725" width="17.140625" style="1" customWidth="1"/>
    <col min="3726" max="3726" width="16.7109375" style="1" customWidth="1"/>
    <col min="3727" max="3727" width="16.5703125" style="1" customWidth="1"/>
    <col min="3728" max="3728" width="16.28515625" style="1" customWidth="1"/>
    <col min="3729" max="3729" width="14.85546875" style="1" customWidth="1"/>
    <col min="3730" max="3730" width="16.140625" style="1" customWidth="1"/>
    <col min="3731" max="3731" width="16" style="1" customWidth="1"/>
    <col min="3732" max="3732" width="15.5703125" style="1" customWidth="1"/>
    <col min="3733" max="3733" width="16.28515625" style="1" customWidth="1"/>
    <col min="3734" max="3734" width="17.140625" style="1" customWidth="1"/>
    <col min="3735" max="3735" width="16.28515625" style="1" customWidth="1"/>
    <col min="3736" max="3736" width="15.7109375" style="1" customWidth="1"/>
    <col min="3737" max="3737" width="15.42578125" style="1" customWidth="1"/>
    <col min="3738" max="3840" width="9.140625" style="1"/>
    <col min="3841" max="3841" width="19.85546875" style="1" customWidth="1"/>
    <col min="3842" max="3842" width="22" style="1" customWidth="1"/>
    <col min="3843" max="3843" width="18.42578125" style="1" bestFit="1" customWidth="1"/>
    <col min="3844" max="3845" width="16.42578125" style="1" customWidth="1"/>
    <col min="3846" max="3846" width="18.85546875" style="1" customWidth="1"/>
    <col min="3847" max="3848" width="15.5703125" style="1" customWidth="1"/>
    <col min="3849" max="3849" width="11.28515625" style="1" customWidth="1"/>
    <col min="3850" max="3850" width="12.7109375" style="1" customWidth="1"/>
    <col min="3851" max="3855" width="14.7109375" style="1" customWidth="1"/>
    <col min="3856" max="3859" width="13.85546875" style="1" customWidth="1"/>
    <col min="3860" max="3860" width="14.28515625" style="1" customWidth="1"/>
    <col min="3861" max="3861" width="13.85546875" style="1" customWidth="1"/>
    <col min="3862" max="3874" width="13.42578125" style="1" customWidth="1"/>
    <col min="3875" max="3875" width="16.85546875" style="1" customWidth="1"/>
    <col min="3876" max="3876" width="12.42578125" style="1" customWidth="1"/>
    <col min="3877" max="3877" width="13.5703125" style="1" customWidth="1"/>
    <col min="3878" max="3881" width="12.42578125" style="1" customWidth="1"/>
    <col min="3882" max="3883" width="13.140625" style="1" customWidth="1"/>
    <col min="3884" max="3918" width="14.42578125" style="1" customWidth="1"/>
    <col min="3919" max="3930" width="12.42578125" style="1" customWidth="1"/>
    <col min="3931" max="3931" width="17.5703125" style="1" customWidth="1"/>
    <col min="3932" max="3932" width="15.140625" style="1" customWidth="1"/>
    <col min="3933" max="3934" width="15.42578125" style="1" customWidth="1"/>
    <col min="3935" max="3936" width="15.5703125" style="1" customWidth="1"/>
    <col min="3937" max="3937" width="17" style="1" customWidth="1"/>
    <col min="3938" max="3938" width="15.5703125" style="1" customWidth="1"/>
    <col min="3939" max="3939" width="17.7109375" style="1" customWidth="1"/>
    <col min="3940" max="3940" width="18.42578125" style="1" customWidth="1"/>
    <col min="3941" max="3941" width="17.5703125" style="1" customWidth="1"/>
    <col min="3942" max="3943" width="16" style="1" customWidth="1"/>
    <col min="3944" max="3947" width="12.42578125" style="1" customWidth="1"/>
    <col min="3948" max="3948" width="17.7109375" style="1" bestFit="1" customWidth="1"/>
    <col min="3949" max="3949" width="12.42578125" style="1" customWidth="1"/>
    <col min="3950" max="3950" width="13.7109375" style="1" customWidth="1"/>
    <col min="3951" max="3951" width="15.5703125" style="1" customWidth="1"/>
    <col min="3952" max="3955" width="13.7109375" style="1" customWidth="1"/>
    <col min="3956" max="3957" width="12.42578125" style="1" customWidth="1"/>
    <col min="3958" max="3958" width="14.85546875" style="1" customWidth="1"/>
    <col min="3959" max="3959" width="12.42578125" style="1" customWidth="1"/>
    <col min="3960" max="3961" width="13.42578125" style="1" customWidth="1"/>
    <col min="3962" max="3962" width="17" style="1" customWidth="1"/>
    <col min="3963" max="3964" width="12.42578125" style="1" customWidth="1"/>
    <col min="3965" max="3965" width="16.42578125" style="1" customWidth="1"/>
    <col min="3966" max="3966" width="12.42578125" style="1" customWidth="1"/>
    <col min="3967" max="3967" width="13.42578125" style="1" customWidth="1"/>
    <col min="3968" max="3968" width="12.42578125" style="1" customWidth="1"/>
    <col min="3969" max="3970" width="11.7109375" style="1" customWidth="1"/>
    <col min="3971" max="3971" width="11.42578125" style="1" customWidth="1"/>
    <col min="3972" max="3972" width="11.7109375" style="1" customWidth="1"/>
    <col min="3973" max="3973" width="11.42578125" style="1" customWidth="1"/>
    <col min="3974" max="3975" width="15.42578125" style="1" customWidth="1"/>
    <col min="3976" max="3976" width="16.140625" style="1" customWidth="1"/>
    <col min="3977" max="3977" width="16.5703125" style="1" customWidth="1"/>
    <col min="3978" max="3978" width="16.7109375" style="1" customWidth="1"/>
    <col min="3979" max="3979" width="15.42578125" style="1" customWidth="1"/>
    <col min="3980" max="3980" width="14.85546875" style="1" customWidth="1"/>
    <col min="3981" max="3981" width="17.140625" style="1" customWidth="1"/>
    <col min="3982" max="3982" width="16.7109375" style="1" customWidth="1"/>
    <col min="3983" max="3983" width="16.5703125" style="1" customWidth="1"/>
    <col min="3984" max="3984" width="16.28515625" style="1" customWidth="1"/>
    <col min="3985" max="3985" width="14.85546875" style="1" customWidth="1"/>
    <col min="3986" max="3986" width="16.140625" style="1" customWidth="1"/>
    <col min="3987" max="3987" width="16" style="1" customWidth="1"/>
    <col min="3988" max="3988" width="15.5703125" style="1" customWidth="1"/>
    <col min="3989" max="3989" width="16.28515625" style="1" customWidth="1"/>
    <col min="3990" max="3990" width="17.140625" style="1" customWidth="1"/>
    <col min="3991" max="3991" width="16.28515625" style="1" customWidth="1"/>
    <col min="3992" max="3992" width="15.7109375" style="1" customWidth="1"/>
    <col min="3993" max="3993" width="15.42578125" style="1" customWidth="1"/>
    <col min="3994" max="4096" width="9.140625" style="1"/>
    <col min="4097" max="4097" width="19.85546875" style="1" customWidth="1"/>
    <col min="4098" max="4098" width="22" style="1" customWidth="1"/>
    <col min="4099" max="4099" width="18.42578125" style="1" bestFit="1" customWidth="1"/>
    <col min="4100" max="4101" width="16.42578125" style="1" customWidth="1"/>
    <col min="4102" max="4102" width="18.85546875" style="1" customWidth="1"/>
    <col min="4103" max="4104" width="15.5703125" style="1" customWidth="1"/>
    <col min="4105" max="4105" width="11.28515625" style="1" customWidth="1"/>
    <col min="4106" max="4106" width="12.7109375" style="1" customWidth="1"/>
    <col min="4107" max="4111" width="14.7109375" style="1" customWidth="1"/>
    <col min="4112" max="4115" width="13.85546875" style="1" customWidth="1"/>
    <col min="4116" max="4116" width="14.28515625" style="1" customWidth="1"/>
    <col min="4117" max="4117" width="13.85546875" style="1" customWidth="1"/>
    <col min="4118" max="4130" width="13.42578125" style="1" customWidth="1"/>
    <col min="4131" max="4131" width="16.85546875" style="1" customWidth="1"/>
    <col min="4132" max="4132" width="12.42578125" style="1" customWidth="1"/>
    <col min="4133" max="4133" width="13.5703125" style="1" customWidth="1"/>
    <col min="4134" max="4137" width="12.42578125" style="1" customWidth="1"/>
    <col min="4138" max="4139" width="13.140625" style="1" customWidth="1"/>
    <col min="4140" max="4174" width="14.42578125" style="1" customWidth="1"/>
    <col min="4175" max="4186" width="12.42578125" style="1" customWidth="1"/>
    <col min="4187" max="4187" width="17.5703125" style="1" customWidth="1"/>
    <col min="4188" max="4188" width="15.140625" style="1" customWidth="1"/>
    <col min="4189" max="4190" width="15.42578125" style="1" customWidth="1"/>
    <col min="4191" max="4192" width="15.5703125" style="1" customWidth="1"/>
    <col min="4193" max="4193" width="17" style="1" customWidth="1"/>
    <col min="4194" max="4194" width="15.5703125" style="1" customWidth="1"/>
    <col min="4195" max="4195" width="17.7109375" style="1" customWidth="1"/>
    <col min="4196" max="4196" width="18.42578125" style="1" customWidth="1"/>
    <col min="4197" max="4197" width="17.5703125" style="1" customWidth="1"/>
    <col min="4198" max="4199" width="16" style="1" customWidth="1"/>
    <col min="4200" max="4203" width="12.42578125" style="1" customWidth="1"/>
    <col min="4204" max="4204" width="17.7109375" style="1" bestFit="1" customWidth="1"/>
    <col min="4205" max="4205" width="12.42578125" style="1" customWidth="1"/>
    <col min="4206" max="4206" width="13.7109375" style="1" customWidth="1"/>
    <col min="4207" max="4207" width="15.5703125" style="1" customWidth="1"/>
    <col min="4208" max="4211" width="13.7109375" style="1" customWidth="1"/>
    <col min="4212" max="4213" width="12.42578125" style="1" customWidth="1"/>
    <col min="4214" max="4214" width="14.85546875" style="1" customWidth="1"/>
    <col min="4215" max="4215" width="12.42578125" style="1" customWidth="1"/>
    <col min="4216" max="4217" width="13.42578125" style="1" customWidth="1"/>
    <col min="4218" max="4218" width="17" style="1" customWidth="1"/>
    <col min="4219" max="4220" width="12.42578125" style="1" customWidth="1"/>
    <col min="4221" max="4221" width="16.42578125" style="1" customWidth="1"/>
    <col min="4222" max="4222" width="12.42578125" style="1" customWidth="1"/>
    <col min="4223" max="4223" width="13.42578125" style="1" customWidth="1"/>
    <col min="4224" max="4224" width="12.42578125" style="1" customWidth="1"/>
    <col min="4225" max="4226" width="11.7109375" style="1" customWidth="1"/>
    <col min="4227" max="4227" width="11.42578125" style="1" customWidth="1"/>
    <col min="4228" max="4228" width="11.7109375" style="1" customWidth="1"/>
    <col min="4229" max="4229" width="11.42578125" style="1" customWidth="1"/>
    <col min="4230" max="4231" width="15.42578125" style="1" customWidth="1"/>
    <col min="4232" max="4232" width="16.140625" style="1" customWidth="1"/>
    <col min="4233" max="4233" width="16.5703125" style="1" customWidth="1"/>
    <col min="4234" max="4234" width="16.7109375" style="1" customWidth="1"/>
    <col min="4235" max="4235" width="15.42578125" style="1" customWidth="1"/>
    <col min="4236" max="4236" width="14.85546875" style="1" customWidth="1"/>
    <col min="4237" max="4237" width="17.140625" style="1" customWidth="1"/>
    <col min="4238" max="4238" width="16.7109375" style="1" customWidth="1"/>
    <col min="4239" max="4239" width="16.5703125" style="1" customWidth="1"/>
    <col min="4240" max="4240" width="16.28515625" style="1" customWidth="1"/>
    <col min="4241" max="4241" width="14.85546875" style="1" customWidth="1"/>
    <col min="4242" max="4242" width="16.140625" style="1" customWidth="1"/>
    <col min="4243" max="4243" width="16" style="1" customWidth="1"/>
    <col min="4244" max="4244" width="15.5703125" style="1" customWidth="1"/>
    <col min="4245" max="4245" width="16.28515625" style="1" customWidth="1"/>
    <col min="4246" max="4246" width="17.140625" style="1" customWidth="1"/>
    <col min="4247" max="4247" width="16.28515625" style="1" customWidth="1"/>
    <col min="4248" max="4248" width="15.7109375" style="1" customWidth="1"/>
    <col min="4249" max="4249" width="15.42578125" style="1" customWidth="1"/>
    <col min="4250" max="4352" width="9.140625" style="1"/>
    <col min="4353" max="4353" width="19.85546875" style="1" customWidth="1"/>
    <col min="4354" max="4354" width="22" style="1" customWidth="1"/>
    <col min="4355" max="4355" width="18.42578125" style="1" bestFit="1" customWidth="1"/>
    <col min="4356" max="4357" width="16.42578125" style="1" customWidth="1"/>
    <col min="4358" max="4358" width="18.85546875" style="1" customWidth="1"/>
    <col min="4359" max="4360" width="15.5703125" style="1" customWidth="1"/>
    <col min="4361" max="4361" width="11.28515625" style="1" customWidth="1"/>
    <col min="4362" max="4362" width="12.7109375" style="1" customWidth="1"/>
    <col min="4363" max="4367" width="14.7109375" style="1" customWidth="1"/>
    <col min="4368" max="4371" width="13.85546875" style="1" customWidth="1"/>
    <col min="4372" max="4372" width="14.28515625" style="1" customWidth="1"/>
    <col min="4373" max="4373" width="13.85546875" style="1" customWidth="1"/>
    <col min="4374" max="4386" width="13.42578125" style="1" customWidth="1"/>
    <col min="4387" max="4387" width="16.85546875" style="1" customWidth="1"/>
    <col min="4388" max="4388" width="12.42578125" style="1" customWidth="1"/>
    <col min="4389" max="4389" width="13.5703125" style="1" customWidth="1"/>
    <col min="4390" max="4393" width="12.42578125" style="1" customWidth="1"/>
    <col min="4394" max="4395" width="13.140625" style="1" customWidth="1"/>
    <col min="4396" max="4430" width="14.42578125" style="1" customWidth="1"/>
    <col min="4431" max="4442" width="12.42578125" style="1" customWidth="1"/>
    <col min="4443" max="4443" width="17.5703125" style="1" customWidth="1"/>
    <col min="4444" max="4444" width="15.140625" style="1" customWidth="1"/>
    <col min="4445" max="4446" width="15.42578125" style="1" customWidth="1"/>
    <col min="4447" max="4448" width="15.5703125" style="1" customWidth="1"/>
    <col min="4449" max="4449" width="17" style="1" customWidth="1"/>
    <col min="4450" max="4450" width="15.5703125" style="1" customWidth="1"/>
    <col min="4451" max="4451" width="17.7109375" style="1" customWidth="1"/>
    <col min="4452" max="4452" width="18.42578125" style="1" customWidth="1"/>
    <col min="4453" max="4453" width="17.5703125" style="1" customWidth="1"/>
    <col min="4454" max="4455" width="16" style="1" customWidth="1"/>
    <col min="4456" max="4459" width="12.42578125" style="1" customWidth="1"/>
    <col min="4460" max="4460" width="17.7109375" style="1" bestFit="1" customWidth="1"/>
    <col min="4461" max="4461" width="12.42578125" style="1" customWidth="1"/>
    <col min="4462" max="4462" width="13.7109375" style="1" customWidth="1"/>
    <col min="4463" max="4463" width="15.5703125" style="1" customWidth="1"/>
    <col min="4464" max="4467" width="13.7109375" style="1" customWidth="1"/>
    <col min="4468" max="4469" width="12.42578125" style="1" customWidth="1"/>
    <col min="4470" max="4470" width="14.85546875" style="1" customWidth="1"/>
    <col min="4471" max="4471" width="12.42578125" style="1" customWidth="1"/>
    <col min="4472" max="4473" width="13.42578125" style="1" customWidth="1"/>
    <col min="4474" max="4474" width="17" style="1" customWidth="1"/>
    <col min="4475" max="4476" width="12.42578125" style="1" customWidth="1"/>
    <col min="4477" max="4477" width="16.42578125" style="1" customWidth="1"/>
    <col min="4478" max="4478" width="12.42578125" style="1" customWidth="1"/>
    <col min="4479" max="4479" width="13.42578125" style="1" customWidth="1"/>
    <col min="4480" max="4480" width="12.42578125" style="1" customWidth="1"/>
    <col min="4481" max="4482" width="11.7109375" style="1" customWidth="1"/>
    <col min="4483" max="4483" width="11.42578125" style="1" customWidth="1"/>
    <col min="4484" max="4484" width="11.7109375" style="1" customWidth="1"/>
    <col min="4485" max="4485" width="11.42578125" style="1" customWidth="1"/>
    <col min="4486" max="4487" width="15.42578125" style="1" customWidth="1"/>
    <col min="4488" max="4488" width="16.140625" style="1" customWidth="1"/>
    <col min="4489" max="4489" width="16.5703125" style="1" customWidth="1"/>
    <col min="4490" max="4490" width="16.7109375" style="1" customWidth="1"/>
    <col min="4491" max="4491" width="15.42578125" style="1" customWidth="1"/>
    <col min="4492" max="4492" width="14.85546875" style="1" customWidth="1"/>
    <col min="4493" max="4493" width="17.140625" style="1" customWidth="1"/>
    <col min="4494" max="4494" width="16.7109375" style="1" customWidth="1"/>
    <col min="4495" max="4495" width="16.5703125" style="1" customWidth="1"/>
    <col min="4496" max="4496" width="16.28515625" style="1" customWidth="1"/>
    <col min="4497" max="4497" width="14.85546875" style="1" customWidth="1"/>
    <col min="4498" max="4498" width="16.140625" style="1" customWidth="1"/>
    <col min="4499" max="4499" width="16" style="1" customWidth="1"/>
    <col min="4500" max="4500" width="15.5703125" style="1" customWidth="1"/>
    <col min="4501" max="4501" width="16.28515625" style="1" customWidth="1"/>
    <col min="4502" max="4502" width="17.140625" style="1" customWidth="1"/>
    <col min="4503" max="4503" width="16.28515625" style="1" customWidth="1"/>
    <col min="4504" max="4504" width="15.7109375" style="1" customWidth="1"/>
    <col min="4505" max="4505" width="15.42578125" style="1" customWidth="1"/>
    <col min="4506" max="4608" width="9.140625" style="1"/>
    <col min="4609" max="4609" width="19.85546875" style="1" customWidth="1"/>
    <col min="4610" max="4610" width="22" style="1" customWidth="1"/>
    <col min="4611" max="4611" width="18.42578125" style="1" bestFit="1" customWidth="1"/>
    <col min="4612" max="4613" width="16.42578125" style="1" customWidth="1"/>
    <col min="4614" max="4614" width="18.85546875" style="1" customWidth="1"/>
    <col min="4615" max="4616" width="15.5703125" style="1" customWidth="1"/>
    <col min="4617" max="4617" width="11.28515625" style="1" customWidth="1"/>
    <col min="4618" max="4618" width="12.7109375" style="1" customWidth="1"/>
    <col min="4619" max="4623" width="14.7109375" style="1" customWidth="1"/>
    <col min="4624" max="4627" width="13.85546875" style="1" customWidth="1"/>
    <col min="4628" max="4628" width="14.28515625" style="1" customWidth="1"/>
    <col min="4629" max="4629" width="13.85546875" style="1" customWidth="1"/>
    <col min="4630" max="4642" width="13.42578125" style="1" customWidth="1"/>
    <col min="4643" max="4643" width="16.85546875" style="1" customWidth="1"/>
    <col min="4644" max="4644" width="12.42578125" style="1" customWidth="1"/>
    <col min="4645" max="4645" width="13.5703125" style="1" customWidth="1"/>
    <col min="4646" max="4649" width="12.42578125" style="1" customWidth="1"/>
    <col min="4650" max="4651" width="13.140625" style="1" customWidth="1"/>
    <col min="4652" max="4686" width="14.42578125" style="1" customWidth="1"/>
    <col min="4687" max="4698" width="12.42578125" style="1" customWidth="1"/>
    <col min="4699" max="4699" width="17.5703125" style="1" customWidth="1"/>
    <col min="4700" max="4700" width="15.140625" style="1" customWidth="1"/>
    <col min="4701" max="4702" width="15.42578125" style="1" customWidth="1"/>
    <col min="4703" max="4704" width="15.5703125" style="1" customWidth="1"/>
    <col min="4705" max="4705" width="17" style="1" customWidth="1"/>
    <col min="4706" max="4706" width="15.5703125" style="1" customWidth="1"/>
    <col min="4707" max="4707" width="17.7109375" style="1" customWidth="1"/>
    <col min="4708" max="4708" width="18.42578125" style="1" customWidth="1"/>
    <col min="4709" max="4709" width="17.5703125" style="1" customWidth="1"/>
    <col min="4710" max="4711" width="16" style="1" customWidth="1"/>
    <col min="4712" max="4715" width="12.42578125" style="1" customWidth="1"/>
    <col min="4716" max="4716" width="17.7109375" style="1" bestFit="1" customWidth="1"/>
    <col min="4717" max="4717" width="12.42578125" style="1" customWidth="1"/>
    <col min="4718" max="4718" width="13.7109375" style="1" customWidth="1"/>
    <col min="4719" max="4719" width="15.5703125" style="1" customWidth="1"/>
    <col min="4720" max="4723" width="13.7109375" style="1" customWidth="1"/>
    <col min="4724" max="4725" width="12.42578125" style="1" customWidth="1"/>
    <col min="4726" max="4726" width="14.85546875" style="1" customWidth="1"/>
    <col min="4727" max="4727" width="12.42578125" style="1" customWidth="1"/>
    <col min="4728" max="4729" width="13.42578125" style="1" customWidth="1"/>
    <col min="4730" max="4730" width="17" style="1" customWidth="1"/>
    <col min="4731" max="4732" width="12.42578125" style="1" customWidth="1"/>
    <col min="4733" max="4733" width="16.42578125" style="1" customWidth="1"/>
    <col min="4734" max="4734" width="12.42578125" style="1" customWidth="1"/>
    <col min="4735" max="4735" width="13.42578125" style="1" customWidth="1"/>
    <col min="4736" max="4736" width="12.42578125" style="1" customWidth="1"/>
    <col min="4737" max="4738" width="11.7109375" style="1" customWidth="1"/>
    <col min="4739" max="4739" width="11.42578125" style="1" customWidth="1"/>
    <col min="4740" max="4740" width="11.7109375" style="1" customWidth="1"/>
    <col min="4741" max="4741" width="11.42578125" style="1" customWidth="1"/>
    <col min="4742" max="4743" width="15.42578125" style="1" customWidth="1"/>
    <col min="4744" max="4744" width="16.140625" style="1" customWidth="1"/>
    <col min="4745" max="4745" width="16.5703125" style="1" customWidth="1"/>
    <col min="4746" max="4746" width="16.7109375" style="1" customWidth="1"/>
    <col min="4747" max="4747" width="15.42578125" style="1" customWidth="1"/>
    <col min="4748" max="4748" width="14.85546875" style="1" customWidth="1"/>
    <col min="4749" max="4749" width="17.140625" style="1" customWidth="1"/>
    <col min="4750" max="4750" width="16.7109375" style="1" customWidth="1"/>
    <col min="4751" max="4751" width="16.5703125" style="1" customWidth="1"/>
    <col min="4752" max="4752" width="16.28515625" style="1" customWidth="1"/>
    <col min="4753" max="4753" width="14.85546875" style="1" customWidth="1"/>
    <col min="4754" max="4754" width="16.140625" style="1" customWidth="1"/>
    <col min="4755" max="4755" width="16" style="1" customWidth="1"/>
    <col min="4756" max="4756" width="15.5703125" style="1" customWidth="1"/>
    <col min="4757" max="4757" width="16.28515625" style="1" customWidth="1"/>
    <col min="4758" max="4758" width="17.140625" style="1" customWidth="1"/>
    <col min="4759" max="4759" width="16.28515625" style="1" customWidth="1"/>
    <col min="4760" max="4760" width="15.7109375" style="1" customWidth="1"/>
    <col min="4761" max="4761" width="15.42578125" style="1" customWidth="1"/>
    <col min="4762" max="4864" width="9.140625" style="1"/>
    <col min="4865" max="4865" width="19.85546875" style="1" customWidth="1"/>
    <col min="4866" max="4866" width="22" style="1" customWidth="1"/>
    <col min="4867" max="4867" width="18.42578125" style="1" bestFit="1" customWidth="1"/>
    <col min="4868" max="4869" width="16.42578125" style="1" customWidth="1"/>
    <col min="4870" max="4870" width="18.85546875" style="1" customWidth="1"/>
    <col min="4871" max="4872" width="15.5703125" style="1" customWidth="1"/>
    <col min="4873" max="4873" width="11.28515625" style="1" customWidth="1"/>
    <col min="4874" max="4874" width="12.7109375" style="1" customWidth="1"/>
    <col min="4875" max="4879" width="14.7109375" style="1" customWidth="1"/>
    <col min="4880" max="4883" width="13.85546875" style="1" customWidth="1"/>
    <col min="4884" max="4884" width="14.28515625" style="1" customWidth="1"/>
    <col min="4885" max="4885" width="13.85546875" style="1" customWidth="1"/>
    <col min="4886" max="4898" width="13.42578125" style="1" customWidth="1"/>
    <col min="4899" max="4899" width="16.85546875" style="1" customWidth="1"/>
    <col min="4900" max="4900" width="12.42578125" style="1" customWidth="1"/>
    <col min="4901" max="4901" width="13.5703125" style="1" customWidth="1"/>
    <col min="4902" max="4905" width="12.42578125" style="1" customWidth="1"/>
    <col min="4906" max="4907" width="13.140625" style="1" customWidth="1"/>
    <col min="4908" max="4942" width="14.42578125" style="1" customWidth="1"/>
    <col min="4943" max="4954" width="12.42578125" style="1" customWidth="1"/>
    <col min="4955" max="4955" width="17.5703125" style="1" customWidth="1"/>
    <col min="4956" max="4956" width="15.140625" style="1" customWidth="1"/>
    <col min="4957" max="4958" width="15.42578125" style="1" customWidth="1"/>
    <col min="4959" max="4960" width="15.5703125" style="1" customWidth="1"/>
    <col min="4961" max="4961" width="17" style="1" customWidth="1"/>
    <col min="4962" max="4962" width="15.5703125" style="1" customWidth="1"/>
    <col min="4963" max="4963" width="17.7109375" style="1" customWidth="1"/>
    <col min="4964" max="4964" width="18.42578125" style="1" customWidth="1"/>
    <col min="4965" max="4965" width="17.5703125" style="1" customWidth="1"/>
    <col min="4966" max="4967" width="16" style="1" customWidth="1"/>
    <col min="4968" max="4971" width="12.42578125" style="1" customWidth="1"/>
    <col min="4972" max="4972" width="17.7109375" style="1" bestFit="1" customWidth="1"/>
    <col min="4973" max="4973" width="12.42578125" style="1" customWidth="1"/>
    <col min="4974" max="4974" width="13.7109375" style="1" customWidth="1"/>
    <col min="4975" max="4975" width="15.5703125" style="1" customWidth="1"/>
    <col min="4976" max="4979" width="13.7109375" style="1" customWidth="1"/>
    <col min="4980" max="4981" width="12.42578125" style="1" customWidth="1"/>
    <col min="4982" max="4982" width="14.85546875" style="1" customWidth="1"/>
    <col min="4983" max="4983" width="12.42578125" style="1" customWidth="1"/>
    <col min="4984" max="4985" width="13.42578125" style="1" customWidth="1"/>
    <col min="4986" max="4986" width="17" style="1" customWidth="1"/>
    <col min="4987" max="4988" width="12.42578125" style="1" customWidth="1"/>
    <col min="4989" max="4989" width="16.42578125" style="1" customWidth="1"/>
    <col min="4990" max="4990" width="12.42578125" style="1" customWidth="1"/>
    <col min="4991" max="4991" width="13.42578125" style="1" customWidth="1"/>
    <col min="4992" max="4992" width="12.42578125" style="1" customWidth="1"/>
    <col min="4993" max="4994" width="11.7109375" style="1" customWidth="1"/>
    <col min="4995" max="4995" width="11.42578125" style="1" customWidth="1"/>
    <col min="4996" max="4996" width="11.7109375" style="1" customWidth="1"/>
    <col min="4997" max="4997" width="11.42578125" style="1" customWidth="1"/>
    <col min="4998" max="4999" width="15.42578125" style="1" customWidth="1"/>
    <col min="5000" max="5000" width="16.140625" style="1" customWidth="1"/>
    <col min="5001" max="5001" width="16.5703125" style="1" customWidth="1"/>
    <col min="5002" max="5002" width="16.7109375" style="1" customWidth="1"/>
    <col min="5003" max="5003" width="15.42578125" style="1" customWidth="1"/>
    <col min="5004" max="5004" width="14.85546875" style="1" customWidth="1"/>
    <col min="5005" max="5005" width="17.140625" style="1" customWidth="1"/>
    <col min="5006" max="5006" width="16.7109375" style="1" customWidth="1"/>
    <col min="5007" max="5007" width="16.5703125" style="1" customWidth="1"/>
    <col min="5008" max="5008" width="16.28515625" style="1" customWidth="1"/>
    <col min="5009" max="5009" width="14.85546875" style="1" customWidth="1"/>
    <col min="5010" max="5010" width="16.140625" style="1" customWidth="1"/>
    <col min="5011" max="5011" width="16" style="1" customWidth="1"/>
    <col min="5012" max="5012" width="15.5703125" style="1" customWidth="1"/>
    <col min="5013" max="5013" width="16.28515625" style="1" customWidth="1"/>
    <col min="5014" max="5014" width="17.140625" style="1" customWidth="1"/>
    <col min="5015" max="5015" width="16.28515625" style="1" customWidth="1"/>
    <col min="5016" max="5016" width="15.7109375" style="1" customWidth="1"/>
    <col min="5017" max="5017" width="15.42578125" style="1" customWidth="1"/>
    <col min="5018" max="5120" width="9.140625" style="1"/>
    <col min="5121" max="5121" width="19.85546875" style="1" customWidth="1"/>
    <col min="5122" max="5122" width="22" style="1" customWidth="1"/>
    <col min="5123" max="5123" width="18.42578125" style="1" bestFit="1" customWidth="1"/>
    <col min="5124" max="5125" width="16.42578125" style="1" customWidth="1"/>
    <col min="5126" max="5126" width="18.85546875" style="1" customWidth="1"/>
    <col min="5127" max="5128" width="15.5703125" style="1" customWidth="1"/>
    <col min="5129" max="5129" width="11.28515625" style="1" customWidth="1"/>
    <col min="5130" max="5130" width="12.7109375" style="1" customWidth="1"/>
    <col min="5131" max="5135" width="14.7109375" style="1" customWidth="1"/>
    <col min="5136" max="5139" width="13.85546875" style="1" customWidth="1"/>
    <col min="5140" max="5140" width="14.28515625" style="1" customWidth="1"/>
    <col min="5141" max="5141" width="13.85546875" style="1" customWidth="1"/>
    <col min="5142" max="5154" width="13.42578125" style="1" customWidth="1"/>
    <col min="5155" max="5155" width="16.85546875" style="1" customWidth="1"/>
    <col min="5156" max="5156" width="12.42578125" style="1" customWidth="1"/>
    <col min="5157" max="5157" width="13.5703125" style="1" customWidth="1"/>
    <col min="5158" max="5161" width="12.42578125" style="1" customWidth="1"/>
    <col min="5162" max="5163" width="13.140625" style="1" customWidth="1"/>
    <col min="5164" max="5198" width="14.42578125" style="1" customWidth="1"/>
    <col min="5199" max="5210" width="12.42578125" style="1" customWidth="1"/>
    <col min="5211" max="5211" width="17.5703125" style="1" customWidth="1"/>
    <col min="5212" max="5212" width="15.140625" style="1" customWidth="1"/>
    <col min="5213" max="5214" width="15.42578125" style="1" customWidth="1"/>
    <col min="5215" max="5216" width="15.5703125" style="1" customWidth="1"/>
    <col min="5217" max="5217" width="17" style="1" customWidth="1"/>
    <col min="5218" max="5218" width="15.5703125" style="1" customWidth="1"/>
    <col min="5219" max="5219" width="17.7109375" style="1" customWidth="1"/>
    <col min="5220" max="5220" width="18.42578125" style="1" customWidth="1"/>
    <col min="5221" max="5221" width="17.5703125" style="1" customWidth="1"/>
    <col min="5222" max="5223" width="16" style="1" customWidth="1"/>
    <col min="5224" max="5227" width="12.42578125" style="1" customWidth="1"/>
    <col min="5228" max="5228" width="17.7109375" style="1" bestFit="1" customWidth="1"/>
    <col min="5229" max="5229" width="12.42578125" style="1" customWidth="1"/>
    <col min="5230" max="5230" width="13.7109375" style="1" customWidth="1"/>
    <col min="5231" max="5231" width="15.5703125" style="1" customWidth="1"/>
    <col min="5232" max="5235" width="13.7109375" style="1" customWidth="1"/>
    <col min="5236" max="5237" width="12.42578125" style="1" customWidth="1"/>
    <col min="5238" max="5238" width="14.85546875" style="1" customWidth="1"/>
    <col min="5239" max="5239" width="12.42578125" style="1" customWidth="1"/>
    <col min="5240" max="5241" width="13.42578125" style="1" customWidth="1"/>
    <col min="5242" max="5242" width="17" style="1" customWidth="1"/>
    <col min="5243" max="5244" width="12.42578125" style="1" customWidth="1"/>
    <col min="5245" max="5245" width="16.42578125" style="1" customWidth="1"/>
    <col min="5246" max="5246" width="12.42578125" style="1" customWidth="1"/>
    <col min="5247" max="5247" width="13.42578125" style="1" customWidth="1"/>
    <col min="5248" max="5248" width="12.42578125" style="1" customWidth="1"/>
    <col min="5249" max="5250" width="11.7109375" style="1" customWidth="1"/>
    <col min="5251" max="5251" width="11.42578125" style="1" customWidth="1"/>
    <col min="5252" max="5252" width="11.7109375" style="1" customWidth="1"/>
    <col min="5253" max="5253" width="11.42578125" style="1" customWidth="1"/>
    <col min="5254" max="5255" width="15.42578125" style="1" customWidth="1"/>
    <col min="5256" max="5256" width="16.140625" style="1" customWidth="1"/>
    <col min="5257" max="5257" width="16.5703125" style="1" customWidth="1"/>
    <col min="5258" max="5258" width="16.7109375" style="1" customWidth="1"/>
    <col min="5259" max="5259" width="15.42578125" style="1" customWidth="1"/>
    <col min="5260" max="5260" width="14.85546875" style="1" customWidth="1"/>
    <col min="5261" max="5261" width="17.140625" style="1" customWidth="1"/>
    <col min="5262" max="5262" width="16.7109375" style="1" customWidth="1"/>
    <col min="5263" max="5263" width="16.5703125" style="1" customWidth="1"/>
    <col min="5264" max="5264" width="16.28515625" style="1" customWidth="1"/>
    <col min="5265" max="5265" width="14.85546875" style="1" customWidth="1"/>
    <col min="5266" max="5266" width="16.140625" style="1" customWidth="1"/>
    <col min="5267" max="5267" width="16" style="1" customWidth="1"/>
    <col min="5268" max="5268" width="15.5703125" style="1" customWidth="1"/>
    <col min="5269" max="5269" width="16.28515625" style="1" customWidth="1"/>
    <col min="5270" max="5270" width="17.140625" style="1" customWidth="1"/>
    <col min="5271" max="5271" width="16.28515625" style="1" customWidth="1"/>
    <col min="5272" max="5272" width="15.7109375" style="1" customWidth="1"/>
    <col min="5273" max="5273" width="15.42578125" style="1" customWidth="1"/>
    <col min="5274" max="5376" width="9.140625" style="1"/>
    <col min="5377" max="5377" width="19.85546875" style="1" customWidth="1"/>
    <col min="5378" max="5378" width="22" style="1" customWidth="1"/>
    <col min="5379" max="5379" width="18.42578125" style="1" bestFit="1" customWidth="1"/>
    <col min="5380" max="5381" width="16.42578125" style="1" customWidth="1"/>
    <col min="5382" max="5382" width="18.85546875" style="1" customWidth="1"/>
    <col min="5383" max="5384" width="15.5703125" style="1" customWidth="1"/>
    <col min="5385" max="5385" width="11.28515625" style="1" customWidth="1"/>
    <col min="5386" max="5386" width="12.7109375" style="1" customWidth="1"/>
    <col min="5387" max="5391" width="14.7109375" style="1" customWidth="1"/>
    <col min="5392" max="5395" width="13.85546875" style="1" customWidth="1"/>
    <col min="5396" max="5396" width="14.28515625" style="1" customWidth="1"/>
    <col min="5397" max="5397" width="13.85546875" style="1" customWidth="1"/>
    <col min="5398" max="5410" width="13.42578125" style="1" customWidth="1"/>
    <col min="5411" max="5411" width="16.85546875" style="1" customWidth="1"/>
    <col min="5412" max="5412" width="12.42578125" style="1" customWidth="1"/>
    <col min="5413" max="5413" width="13.5703125" style="1" customWidth="1"/>
    <col min="5414" max="5417" width="12.42578125" style="1" customWidth="1"/>
    <col min="5418" max="5419" width="13.140625" style="1" customWidth="1"/>
    <col min="5420" max="5454" width="14.42578125" style="1" customWidth="1"/>
    <col min="5455" max="5466" width="12.42578125" style="1" customWidth="1"/>
    <col min="5467" max="5467" width="17.5703125" style="1" customWidth="1"/>
    <col min="5468" max="5468" width="15.140625" style="1" customWidth="1"/>
    <col min="5469" max="5470" width="15.42578125" style="1" customWidth="1"/>
    <col min="5471" max="5472" width="15.5703125" style="1" customWidth="1"/>
    <col min="5473" max="5473" width="17" style="1" customWidth="1"/>
    <col min="5474" max="5474" width="15.5703125" style="1" customWidth="1"/>
    <col min="5475" max="5475" width="17.7109375" style="1" customWidth="1"/>
    <col min="5476" max="5476" width="18.42578125" style="1" customWidth="1"/>
    <col min="5477" max="5477" width="17.5703125" style="1" customWidth="1"/>
    <col min="5478" max="5479" width="16" style="1" customWidth="1"/>
    <col min="5480" max="5483" width="12.42578125" style="1" customWidth="1"/>
    <col min="5484" max="5484" width="17.7109375" style="1" bestFit="1" customWidth="1"/>
    <col min="5485" max="5485" width="12.42578125" style="1" customWidth="1"/>
    <col min="5486" max="5486" width="13.7109375" style="1" customWidth="1"/>
    <col min="5487" max="5487" width="15.5703125" style="1" customWidth="1"/>
    <col min="5488" max="5491" width="13.7109375" style="1" customWidth="1"/>
    <col min="5492" max="5493" width="12.42578125" style="1" customWidth="1"/>
    <col min="5494" max="5494" width="14.85546875" style="1" customWidth="1"/>
    <col min="5495" max="5495" width="12.42578125" style="1" customWidth="1"/>
    <col min="5496" max="5497" width="13.42578125" style="1" customWidth="1"/>
    <col min="5498" max="5498" width="17" style="1" customWidth="1"/>
    <col min="5499" max="5500" width="12.42578125" style="1" customWidth="1"/>
    <col min="5501" max="5501" width="16.42578125" style="1" customWidth="1"/>
    <col min="5502" max="5502" width="12.42578125" style="1" customWidth="1"/>
    <col min="5503" max="5503" width="13.42578125" style="1" customWidth="1"/>
    <col min="5504" max="5504" width="12.42578125" style="1" customWidth="1"/>
    <col min="5505" max="5506" width="11.7109375" style="1" customWidth="1"/>
    <col min="5507" max="5507" width="11.42578125" style="1" customWidth="1"/>
    <col min="5508" max="5508" width="11.7109375" style="1" customWidth="1"/>
    <col min="5509" max="5509" width="11.42578125" style="1" customWidth="1"/>
    <col min="5510" max="5511" width="15.42578125" style="1" customWidth="1"/>
    <col min="5512" max="5512" width="16.140625" style="1" customWidth="1"/>
    <col min="5513" max="5513" width="16.5703125" style="1" customWidth="1"/>
    <col min="5514" max="5514" width="16.7109375" style="1" customWidth="1"/>
    <col min="5515" max="5515" width="15.42578125" style="1" customWidth="1"/>
    <col min="5516" max="5516" width="14.85546875" style="1" customWidth="1"/>
    <col min="5517" max="5517" width="17.140625" style="1" customWidth="1"/>
    <col min="5518" max="5518" width="16.7109375" style="1" customWidth="1"/>
    <col min="5519" max="5519" width="16.5703125" style="1" customWidth="1"/>
    <col min="5520" max="5520" width="16.28515625" style="1" customWidth="1"/>
    <col min="5521" max="5521" width="14.85546875" style="1" customWidth="1"/>
    <col min="5522" max="5522" width="16.140625" style="1" customWidth="1"/>
    <col min="5523" max="5523" width="16" style="1" customWidth="1"/>
    <col min="5524" max="5524" width="15.5703125" style="1" customWidth="1"/>
    <col min="5525" max="5525" width="16.28515625" style="1" customWidth="1"/>
    <col min="5526" max="5526" width="17.140625" style="1" customWidth="1"/>
    <col min="5527" max="5527" width="16.28515625" style="1" customWidth="1"/>
    <col min="5528" max="5528" width="15.7109375" style="1" customWidth="1"/>
    <col min="5529" max="5529" width="15.42578125" style="1" customWidth="1"/>
    <col min="5530" max="5632" width="9.140625" style="1"/>
    <col min="5633" max="5633" width="19.85546875" style="1" customWidth="1"/>
    <col min="5634" max="5634" width="22" style="1" customWidth="1"/>
    <col min="5635" max="5635" width="18.42578125" style="1" bestFit="1" customWidth="1"/>
    <col min="5636" max="5637" width="16.42578125" style="1" customWidth="1"/>
    <col min="5638" max="5638" width="18.85546875" style="1" customWidth="1"/>
    <col min="5639" max="5640" width="15.5703125" style="1" customWidth="1"/>
    <col min="5641" max="5641" width="11.28515625" style="1" customWidth="1"/>
    <col min="5642" max="5642" width="12.7109375" style="1" customWidth="1"/>
    <col min="5643" max="5647" width="14.7109375" style="1" customWidth="1"/>
    <col min="5648" max="5651" width="13.85546875" style="1" customWidth="1"/>
    <col min="5652" max="5652" width="14.28515625" style="1" customWidth="1"/>
    <col min="5653" max="5653" width="13.85546875" style="1" customWidth="1"/>
    <col min="5654" max="5666" width="13.42578125" style="1" customWidth="1"/>
    <col min="5667" max="5667" width="16.85546875" style="1" customWidth="1"/>
    <col min="5668" max="5668" width="12.42578125" style="1" customWidth="1"/>
    <col min="5669" max="5669" width="13.5703125" style="1" customWidth="1"/>
    <col min="5670" max="5673" width="12.42578125" style="1" customWidth="1"/>
    <col min="5674" max="5675" width="13.140625" style="1" customWidth="1"/>
    <col min="5676" max="5710" width="14.42578125" style="1" customWidth="1"/>
    <col min="5711" max="5722" width="12.42578125" style="1" customWidth="1"/>
    <col min="5723" max="5723" width="17.5703125" style="1" customWidth="1"/>
    <col min="5724" max="5724" width="15.140625" style="1" customWidth="1"/>
    <col min="5725" max="5726" width="15.42578125" style="1" customWidth="1"/>
    <col min="5727" max="5728" width="15.5703125" style="1" customWidth="1"/>
    <col min="5729" max="5729" width="17" style="1" customWidth="1"/>
    <col min="5730" max="5730" width="15.5703125" style="1" customWidth="1"/>
    <col min="5731" max="5731" width="17.7109375" style="1" customWidth="1"/>
    <col min="5732" max="5732" width="18.42578125" style="1" customWidth="1"/>
    <col min="5733" max="5733" width="17.5703125" style="1" customWidth="1"/>
    <col min="5734" max="5735" width="16" style="1" customWidth="1"/>
    <col min="5736" max="5739" width="12.42578125" style="1" customWidth="1"/>
    <col min="5740" max="5740" width="17.7109375" style="1" bestFit="1" customWidth="1"/>
    <col min="5741" max="5741" width="12.42578125" style="1" customWidth="1"/>
    <col min="5742" max="5742" width="13.7109375" style="1" customWidth="1"/>
    <col min="5743" max="5743" width="15.5703125" style="1" customWidth="1"/>
    <col min="5744" max="5747" width="13.7109375" style="1" customWidth="1"/>
    <col min="5748" max="5749" width="12.42578125" style="1" customWidth="1"/>
    <col min="5750" max="5750" width="14.85546875" style="1" customWidth="1"/>
    <col min="5751" max="5751" width="12.42578125" style="1" customWidth="1"/>
    <col min="5752" max="5753" width="13.42578125" style="1" customWidth="1"/>
    <col min="5754" max="5754" width="17" style="1" customWidth="1"/>
    <col min="5755" max="5756" width="12.42578125" style="1" customWidth="1"/>
    <col min="5757" max="5757" width="16.42578125" style="1" customWidth="1"/>
    <col min="5758" max="5758" width="12.42578125" style="1" customWidth="1"/>
    <col min="5759" max="5759" width="13.42578125" style="1" customWidth="1"/>
    <col min="5760" max="5760" width="12.42578125" style="1" customWidth="1"/>
    <col min="5761" max="5762" width="11.7109375" style="1" customWidth="1"/>
    <col min="5763" max="5763" width="11.42578125" style="1" customWidth="1"/>
    <col min="5764" max="5764" width="11.7109375" style="1" customWidth="1"/>
    <col min="5765" max="5765" width="11.42578125" style="1" customWidth="1"/>
    <col min="5766" max="5767" width="15.42578125" style="1" customWidth="1"/>
    <col min="5768" max="5768" width="16.140625" style="1" customWidth="1"/>
    <col min="5769" max="5769" width="16.5703125" style="1" customWidth="1"/>
    <col min="5770" max="5770" width="16.7109375" style="1" customWidth="1"/>
    <col min="5771" max="5771" width="15.42578125" style="1" customWidth="1"/>
    <col min="5772" max="5772" width="14.85546875" style="1" customWidth="1"/>
    <col min="5773" max="5773" width="17.140625" style="1" customWidth="1"/>
    <col min="5774" max="5774" width="16.7109375" style="1" customWidth="1"/>
    <col min="5775" max="5775" width="16.5703125" style="1" customWidth="1"/>
    <col min="5776" max="5776" width="16.28515625" style="1" customWidth="1"/>
    <col min="5777" max="5777" width="14.85546875" style="1" customWidth="1"/>
    <col min="5778" max="5778" width="16.140625" style="1" customWidth="1"/>
    <col min="5779" max="5779" width="16" style="1" customWidth="1"/>
    <col min="5780" max="5780" width="15.5703125" style="1" customWidth="1"/>
    <col min="5781" max="5781" width="16.28515625" style="1" customWidth="1"/>
    <col min="5782" max="5782" width="17.140625" style="1" customWidth="1"/>
    <col min="5783" max="5783" width="16.28515625" style="1" customWidth="1"/>
    <col min="5784" max="5784" width="15.7109375" style="1" customWidth="1"/>
    <col min="5785" max="5785" width="15.42578125" style="1" customWidth="1"/>
    <col min="5786" max="5888" width="9.140625" style="1"/>
    <col min="5889" max="5889" width="19.85546875" style="1" customWidth="1"/>
    <col min="5890" max="5890" width="22" style="1" customWidth="1"/>
    <col min="5891" max="5891" width="18.42578125" style="1" bestFit="1" customWidth="1"/>
    <col min="5892" max="5893" width="16.42578125" style="1" customWidth="1"/>
    <col min="5894" max="5894" width="18.85546875" style="1" customWidth="1"/>
    <col min="5895" max="5896" width="15.5703125" style="1" customWidth="1"/>
    <col min="5897" max="5897" width="11.28515625" style="1" customWidth="1"/>
    <col min="5898" max="5898" width="12.7109375" style="1" customWidth="1"/>
    <col min="5899" max="5903" width="14.7109375" style="1" customWidth="1"/>
    <col min="5904" max="5907" width="13.85546875" style="1" customWidth="1"/>
    <col min="5908" max="5908" width="14.28515625" style="1" customWidth="1"/>
    <col min="5909" max="5909" width="13.85546875" style="1" customWidth="1"/>
    <col min="5910" max="5922" width="13.42578125" style="1" customWidth="1"/>
    <col min="5923" max="5923" width="16.85546875" style="1" customWidth="1"/>
    <col min="5924" max="5924" width="12.42578125" style="1" customWidth="1"/>
    <col min="5925" max="5925" width="13.5703125" style="1" customWidth="1"/>
    <col min="5926" max="5929" width="12.42578125" style="1" customWidth="1"/>
    <col min="5930" max="5931" width="13.140625" style="1" customWidth="1"/>
    <col min="5932" max="5966" width="14.42578125" style="1" customWidth="1"/>
    <col min="5967" max="5978" width="12.42578125" style="1" customWidth="1"/>
    <col min="5979" max="5979" width="17.5703125" style="1" customWidth="1"/>
    <col min="5980" max="5980" width="15.140625" style="1" customWidth="1"/>
    <col min="5981" max="5982" width="15.42578125" style="1" customWidth="1"/>
    <col min="5983" max="5984" width="15.5703125" style="1" customWidth="1"/>
    <col min="5985" max="5985" width="17" style="1" customWidth="1"/>
    <col min="5986" max="5986" width="15.5703125" style="1" customWidth="1"/>
    <col min="5987" max="5987" width="17.7109375" style="1" customWidth="1"/>
    <col min="5988" max="5988" width="18.42578125" style="1" customWidth="1"/>
    <col min="5989" max="5989" width="17.5703125" style="1" customWidth="1"/>
    <col min="5990" max="5991" width="16" style="1" customWidth="1"/>
    <col min="5992" max="5995" width="12.42578125" style="1" customWidth="1"/>
    <col min="5996" max="5996" width="17.7109375" style="1" bestFit="1" customWidth="1"/>
    <col min="5997" max="5997" width="12.42578125" style="1" customWidth="1"/>
    <col min="5998" max="5998" width="13.7109375" style="1" customWidth="1"/>
    <col min="5999" max="5999" width="15.5703125" style="1" customWidth="1"/>
    <col min="6000" max="6003" width="13.7109375" style="1" customWidth="1"/>
    <col min="6004" max="6005" width="12.42578125" style="1" customWidth="1"/>
    <col min="6006" max="6006" width="14.85546875" style="1" customWidth="1"/>
    <col min="6007" max="6007" width="12.42578125" style="1" customWidth="1"/>
    <col min="6008" max="6009" width="13.42578125" style="1" customWidth="1"/>
    <col min="6010" max="6010" width="17" style="1" customWidth="1"/>
    <col min="6011" max="6012" width="12.42578125" style="1" customWidth="1"/>
    <col min="6013" max="6013" width="16.42578125" style="1" customWidth="1"/>
    <col min="6014" max="6014" width="12.42578125" style="1" customWidth="1"/>
    <col min="6015" max="6015" width="13.42578125" style="1" customWidth="1"/>
    <col min="6016" max="6016" width="12.42578125" style="1" customWidth="1"/>
    <col min="6017" max="6018" width="11.7109375" style="1" customWidth="1"/>
    <col min="6019" max="6019" width="11.42578125" style="1" customWidth="1"/>
    <col min="6020" max="6020" width="11.7109375" style="1" customWidth="1"/>
    <col min="6021" max="6021" width="11.42578125" style="1" customWidth="1"/>
    <col min="6022" max="6023" width="15.42578125" style="1" customWidth="1"/>
    <col min="6024" max="6024" width="16.140625" style="1" customWidth="1"/>
    <col min="6025" max="6025" width="16.5703125" style="1" customWidth="1"/>
    <col min="6026" max="6026" width="16.7109375" style="1" customWidth="1"/>
    <col min="6027" max="6027" width="15.42578125" style="1" customWidth="1"/>
    <col min="6028" max="6028" width="14.85546875" style="1" customWidth="1"/>
    <col min="6029" max="6029" width="17.140625" style="1" customWidth="1"/>
    <col min="6030" max="6030" width="16.7109375" style="1" customWidth="1"/>
    <col min="6031" max="6031" width="16.5703125" style="1" customWidth="1"/>
    <col min="6032" max="6032" width="16.28515625" style="1" customWidth="1"/>
    <col min="6033" max="6033" width="14.85546875" style="1" customWidth="1"/>
    <col min="6034" max="6034" width="16.140625" style="1" customWidth="1"/>
    <col min="6035" max="6035" width="16" style="1" customWidth="1"/>
    <col min="6036" max="6036" width="15.5703125" style="1" customWidth="1"/>
    <col min="6037" max="6037" width="16.28515625" style="1" customWidth="1"/>
    <col min="6038" max="6038" width="17.140625" style="1" customWidth="1"/>
    <col min="6039" max="6039" width="16.28515625" style="1" customWidth="1"/>
    <col min="6040" max="6040" width="15.7109375" style="1" customWidth="1"/>
    <col min="6041" max="6041" width="15.42578125" style="1" customWidth="1"/>
    <col min="6042" max="6144" width="9.140625" style="1"/>
    <col min="6145" max="6145" width="19.85546875" style="1" customWidth="1"/>
    <col min="6146" max="6146" width="22" style="1" customWidth="1"/>
    <col min="6147" max="6147" width="18.42578125" style="1" bestFit="1" customWidth="1"/>
    <col min="6148" max="6149" width="16.42578125" style="1" customWidth="1"/>
    <col min="6150" max="6150" width="18.85546875" style="1" customWidth="1"/>
    <col min="6151" max="6152" width="15.5703125" style="1" customWidth="1"/>
    <col min="6153" max="6153" width="11.28515625" style="1" customWidth="1"/>
    <col min="6154" max="6154" width="12.7109375" style="1" customWidth="1"/>
    <col min="6155" max="6159" width="14.7109375" style="1" customWidth="1"/>
    <col min="6160" max="6163" width="13.85546875" style="1" customWidth="1"/>
    <col min="6164" max="6164" width="14.28515625" style="1" customWidth="1"/>
    <col min="6165" max="6165" width="13.85546875" style="1" customWidth="1"/>
    <col min="6166" max="6178" width="13.42578125" style="1" customWidth="1"/>
    <col min="6179" max="6179" width="16.85546875" style="1" customWidth="1"/>
    <col min="6180" max="6180" width="12.42578125" style="1" customWidth="1"/>
    <col min="6181" max="6181" width="13.5703125" style="1" customWidth="1"/>
    <col min="6182" max="6185" width="12.42578125" style="1" customWidth="1"/>
    <col min="6186" max="6187" width="13.140625" style="1" customWidth="1"/>
    <col min="6188" max="6222" width="14.42578125" style="1" customWidth="1"/>
    <col min="6223" max="6234" width="12.42578125" style="1" customWidth="1"/>
    <col min="6235" max="6235" width="17.5703125" style="1" customWidth="1"/>
    <col min="6236" max="6236" width="15.140625" style="1" customWidth="1"/>
    <col min="6237" max="6238" width="15.42578125" style="1" customWidth="1"/>
    <col min="6239" max="6240" width="15.5703125" style="1" customWidth="1"/>
    <col min="6241" max="6241" width="17" style="1" customWidth="1"/>
    <col min="6242" max="6242" width="15.5703125" style="1" customWidth="1"/>
    <col min="6243" max="6243" width="17.7109375" style="1" customWidth="1"/>
    <col min="6244" max="6244" width="18.42578125" style="1" customWidth="1"/>
    <col min="6245" max="6245" width="17.5703125" style="1" customWidth="1"/>
    <col min="6246" max="6247" width="16" style="1" customWidth="1"/>
    <col min="6248" max="6251" width="12.42578125" style="1" customWidth="1"/>
    <col min="6252" max="6252" width="17.7109375" style="1" bestFit="1" customWidth="1"/>
    <col min="6253" max="6253" width="12.42578125" style="1" customWidth="1"/>
    <col min="6254" max="6254" width="13.7109375" style="1" customWidth="1"/>
    <col min="6255" max="6255" width="15.5703125" style="1" customWidth="1"/>
    <col min="6256" max="6259" width="13.7109375" style="1" customWidth="1"/>
    <col min="6260" max="6261" width="12.42578125" style="1" customWidth="1"/>
    <col min="6262" max="6262" width="14.85546875" style="1" customWidth="1"/>
    <col min="6263" max="6263" width="12.42578125" style="1" customWidth="1"/>
    <col min="6264" max="6265" width="13.42578125" style="1" customWidth="1"/>
    <col min="6266" max="6266" width="17" style="1" customWidth="1"/>
    <col min="6267" max="6268" width="12.42578125" style="1" customWidth="1"/>
    <col min="6269" max="6269" width="16.42578125" style="1" customWidth="1"/>
    <col min="6270" max="6270" width="12.42578125" style="1" customWidth="1"/>
    <col min="6271" max="6271" width="13.42578125" style="1" customWidth="1"/>
    <col min="6272" max="6272" width="12.42578125" style="1" customWidth="1"/>
    <col min="6273" max="6274" width="11.7109375" style="1" customWidth="1"/>
    <col min="6275" max="6275" width="11.42578125" style="1" customWidth="1"/>
    <col min="6276" max="6276" width="11.7109375" style="1" customWidth="1"/>
    <col min="6277" max="6277" width="11.42578125" style="1" customWidth="1"/>
    <col min="6278" max="6279" width="15.42578125" style="1" customWidth="1"/>
    <col min="6280" max="6280" width="16.140625" style="1" customWidth="1"/>
    <col min="6281" max="6281" width="16.5703125" style="1" customWidth="1"/>
    <col min="6282" max="6282" width="16.7109375" style="1" customWidth="1"/>
    <col min="6283" max="6283" width="15.42578125" style="1" customWidth="1"/>
    <col min="6284" max="6284" width="14.85546875" style="1" customWidth="1"/>
    <col min="6285" max="6285" width="17.140625" style="1" customWidth="1"/>
    <col min="6286" max="6286" width="16.7109375" style="1" customWidth="1"/>
    <col min="6287" max="6287" width="16.5703125" style="1" customWidth="1"/>
    <col min="6288" max="6288" width="16.28515625" style="1" customWidth="1"/>
    <col min="6289" max="6289" width="14.85546875" style="1" customWidth="1"/>
    <col min="6290" max="6290" width="16.140625" style="1" customWidth="1"/>
    <col min="6291" max="6291" width="16" style="1" customWidth="1"/>
    <col min="6292" max="6292" width="15.5703125" style="1" customWidth="1"/>
    <col min="6293" max="6293" width="16.28515625" style="1" customWidth="1"/>
    <col min="6294" max="6294" width="17.140625" style="1" customWidth="1"/>
    <col min="6295" max="6295" width="16.28515625" style="1" customWidth="1"/>
    <col min="6296" max="6296" width="15.7109375" style="1" customWidth="1"/>
    <col min="6297" max="6297" width="15.42578125" style="1" customWidth="1"/>
    <col min="6298" max="6400" width="9.140625" style="1"/>
    <col min="6401" max="6401" width="19.85546875" style="1" customWidth="1"/>
    <col min="6402" max="6402" width="22" style="1" customWidth="1"/>
    <col min="6403" max="6403" width="18.42578125" style="1" bestFit="1" customWidth="1"/>
    <col min="6404" max="6405" width="16.42578125" style="1" customWidth="1"/>
    <col min="6406" max="6406" width="18.85546875" style="1" customWidth="1"/>
    <col min="6407" max="6408" width="15.5703125" style="1" customWidth="1"/>
    <col min="6409" max="6409" width="11.28515625" style="1" customWidth="1"/>
    <col min="6410" max="6410" width="12.7109375" style="1" customWidth="1"/>
    <col min="6411" max="6415" width="14.7109375" style="1" customWidth="1"/>
    <col min="6416" max="6419" width="13.85546875" style="1" customWidth="1"/>
    <col min="6420" max="6420" width="14.28515625" style="1" customWidth="1"/>
    <col min="6421" max="6421" width="13.85546875" style="1" customWidth="1"/>
    <col min="6422" max="6434" width="13.42578125" style="1" customWidth="1"/>
    <col min="6435" max="6435" width="16.85546875" style="1" customWidth="1"/>
    <col min="6436" max="6436" width="12.42578125" style="1" customWidth="1"/>
    <col min="6437" max="6437" width="13.5703125" style="1" customWidth="1"/>
    <col min="6438" max="6441" width="12.42578125" style="1" customWidth="1"/>
    <col min="6442" max="6443" width="13.140625" style="1" customWidth="1"/>
    <col min="6444" max="6478" width="14.42578125" style="1" customWidth="1"/>
    <col min="6479" max="6490" width="12.42578125" style="1" customWidth="1"/>
    <col min="6491" max="6491" width="17.5703125" style="1" customWidth="1"/>
    <col min="6492" max="6492" width="15.140625" style="1" customWidth="1"/>
    <col min="6493" max="6494" width="15.42578125" style="1" customWidth="1"/>
    <col min="6495" max="6496" width="15.5703125" style="1" customWidth="1"/>
    <col min="6497" max="6497" width="17" style="1" customWidth="1"/>
    <col min="6498" max="6498" width="15.5703125" style="1" customWidth="1"/>
    <col min="6499" max="6499" width="17.7109375" style="1" customWidth="1"/>
    <col min="6500" max="6500" width="18.42578125" style="1" customWidth="1"/>
    <col min="6501" max="6501" width="17.5703125" style="1" customWidth="1"/>
    <col min="6502" max="6503" width="16" style="1" customWidth="1"/>
    <col min="6504" max="6507" width="12.42578125" style="1" customWidth="1"/>
    <col min="6508" max="6508" width="17.7109375" style="1" bestFit="1" customWidth="1"/>
    <col min="6509" max="6509" width="12.42578125" style="1" customWidth="1"/>
    <col min="6510" max="6510" width="13.7109375" style="1" customWidth="1"/>
    <col min="6511" max="6511" width="15.5703125" style="1" customWidth="1"/>
    <col min="6512" max="6515" width="13.7109375" style="1" customWidth="1"/>
    <col min="6516" max="6517" width="12.42578125" style="1" customWidth="1"/>
    <col min="6518" max="6518" width="14.85546875" style="1" customWidth="1"/>
    <col min="6519" max="6519" width="12.42578125" style="1" customWidth="1"/>
    <col min="6520" max="6521" width="13.42578125" style="1" customWidth="1"/>
    <col min="6522" max="6522" width="17" style="1" customWidth="1"/>
    <col min="6523" max="6524" width="12.42578125" style="1" customWidth="1"/>
    <col min="6525" max="6525" width="16.42578125" style="1" customWidth="1"/>
    <col min="6526" max="6526" width="12.42578125" style="1" customWidth="1"/>
    <col min="6527" max="6527" width="13.42578125" style="1" customWidth="1"/>
    <col min="6528" max="6528" width="12.42578125" style="1" customWidth="1"/>
    <col min="6529" max="6530" width="11.7109375" style="1" customWidth="1"/>
    <col min="6531" max="6531" width="11.42578125" style="1" customWidth="1"/>
    <col min="6532" max="6532" width="11.7109375" style="1" customWidth="1"/>
    <col min="6533" max="6533" width="11.42578125" style="1" customWidth="1"/>
    <col min="6534" max="6535" width="15.42578125" style="1" customWidth="1"/>
    <col min="6536" max="6536" width="16.140625" style="1" customWidth="1"/>
    <col min="6537" max="6537" width="16.5703125" style="1" customWidth="1"/>
    <col min="6538" max="6538" width="16.7109375" style="1" customWidth="1"/>
    <col min="6539" max="6539" width="15.42578125" style="1" customWidth="1"/>
    <col min="6540" max="6540" width="14.85546875" style="1" customWidth="1"/>
    <col min="6541" max="6541" width="17.140625" style="1" customWidth="1"/>
    <col min="6542" max="6542" width="16.7109375" style="1" customWidth="1"/>
    <col min="6543" max="6543" width="16.5703125" style="1" customWidth="1"/>
    <col min="6544" max="6544" width="16.28515625" style="1" customWidth="1"/>
    <col min="6545" max="6545" width="14.85546875" style="1" customWidth="1"/>
    <col min="6546" max="6546" width="16.140625" style="1" customWidth="1"/>
    <col min="6547" max="6547" width="16" style="1" customWidth="1"/>
    <col min="6548" max="6548" width="15.5703125" style="1" customWidth="1"/>
    <col min="6549" max="6549" width="16.28515625" style="1" customWidth="1"/>
    <col min="6550" max="6550" width="17.140625" style="1" customWidth="1"/>
    <col min="6551" max="6551" width="16.28515625" style="1" customWidth="1"/>
    <col min="6552" max="6552" width="15.7109375" style="1" customWidth="1"/>
    <col min="6553" max="6553" width="15.42578125" style="1" customWidth="1"/>
    <col min="6554" max="6656" width="9.140625" style="1"/>
    <col min="6657" max="6657" width="19.85546875" style="1" customWidth="1"/>
    <col min="6658" max="6658" width="22" style="1" customWidth="1"/>
    <col min="6659" max="6659" width="18.42578125" style="1" bestFit="1" customWidth="1"/>
    <col min="6660" max="6661" width="16.42578125" style="1" customWidth="1"/>
    <col min="6662" max="6662" width="18.85546875" style="1" customWidth="1"/>
    <col min="6663" max="6664" width="15.5703125" style="1" customWidth="1"/>
    <col min="6665" max="6665" width="11.28515625" style="1" customWidth="1"/>
    <col min="6666" max="6666" width="12.7109375" style="1" customWidth="1"/>
    <col min="6667" max="6671" width="14.7109375" style="1" customWidth="1"/>
    <col min="6672" max="6675" width="13.85546875" style="1" customWidth="1"/>
    <col min="6676" max="6676" width="14.28515625" style="1" customWidth="1"/>
    <col min="6677" max="6677" width="13.85546875" style="1" customWidth="1"/>
    <col min="6678" max="6690" width="13.42578125" style="1" customWidth="1"/>
    <col min="6691" max="6691" width="16.85546875" style="1" customWidth="1"/>
    <col min="6692" max="6692" width="12.42578125" style="1" customWidth="1"/>
    <col min="6693" max="6693" width="13.5703125" style="1" customWidth="1"/>
    <col min="6694" max="6697" width="12.42578125" style="1" customWidth="1"/>
    <col min="6698" max="6699" width="13.140625" style="1" customWidth="1"/>
    <col min="6700" max="6734" width="14.42578125" style="1" customWidth="1"/>
    <col min="6735" max="6746" width="12.42578125" style="1" customWidth="1"/>
    <col min="6747" max="6747" width="17.5703125" style="1" customWidth="1"/>
    <col min="6748" max="6748" width="15.140625" style="1" customWidth="1"/>
    <col min="6749" max="6750" width="15.42578125" style="1" customWidth="1"/>
    <col min="6751" max="6752" width="15.5703125" style="1" customWidth="1"/>
    <col min="6753" max="6753" width="17" style="1" customWidth="1"/>
    <col min="6754" max="6754" width="15.5703125" style="1" customWidth="1"/>
    <col min="6755" max="6755" width="17.7109375" style="1" customWidth="1"/>
    <col min="6756" max="6756" width="18.42578125" style="1" customWidth="1"/>
    <col min="6757" max="6757" width="17.5703125" style="1" customWidth="1"/>
    <col min="6758" max="6759" width="16" style="1" customWidth="1"/>
    <col min="6760" max="6763" width="12.42578125" style="1" customWidth="1"/>
    <col min="6764" max="6764" width="17.7109375" style="1" bestFit="1" customWidth="1"/>
    <col min="6765" max="6765" width="12.42578125" style="1" customWidth="1"/>
    <col min="6766" max="6766" width="13.7109375" style="1" customWidth="1"/>
    <col min="6767" max="6767" width="15.5703125" style="1" customWidth="1"/>
    <col min="6768" max="6771" width="13.7109375" style="1" customWidth="1"/>
    <col min="6772" max="6773" width="12.42578125" style="1" customWidth="1"/>
    <col min="6774" max="6774" width="14.85546875" style="1" customWidth="1"/>
    <col min="6775" max="6775" width="12.42578125" style="1" customWidth="1"/>
    <col min="6776" max="6777" width="13.42578125" style="1" customWidth="1"/>
    <col min="6778" max="6778" width="17" style="1" customWidth="1"/>
    <col min="6779" max="6780" width="12.42578125" style="1" customWidth="1"/>
    <col min="6781" max="6781" width="16.42578125" style="1" customWidth="1"/>
    <col min="6782" max="6782" width="12.42578125" style="1" customWidth="1"/>
    <col min="6783" max="6783" width="13.42578125" style="1" customWidth="1"/>
    <col min="6784" max="6784" width="12.42578125" style="1" customWidth="1"/>
    <col min="6785" max="6786" width="11.7109375" style="1" customWidth="1"/>
    <col min="6787" max="6787" width="11.42578125" style="1" customWidth="1"/>
    <col min="6788" max="6788" width="11.7109375" style="1" customWidth="1"/>
    <col min="6789" max="6789" width="11.42578125" style="1" customWidth="1"/>
    <col min="6790" max="6791" width="15.42578125" style="1" customWidth="1"/>
    <col min="6792" max="6792" width="16.140625" style="1" customWidth="1"/>
    <col min="6793" max="6793" width="16.5703125" style="1" customWidth="1"/>
    <col min="6794" max="6794" width="16.7109375" style="1" customWidth="1"/>
    <col min="6795" max="6795" width="15.42578125" style="1" customWidth="1"/>
    <col min="6796" max="6796" width="14.85546875" style="1" customWidth="1"/>
    <col min="6797" max="6797" width="17.140625" style="1" customWidth="1"/>
    <col min="6798" max="6798" width="16.7109375" style="1" customWidth="1"/>
    <col min="6799" max="6799" width="16.5703125" style="1" customWidth="1"/>
    <col min="6800" max="6800" width="16.28515625" style="1" customWidth="1"/>
    <col min="6801" max="6801" width="14.85546875" style="1" customWidth="1"/>
    <col min="6802" max="6802" width="16.140625" style="1" customWidth="1"/>
    <col min="6803" max="6803" width="16" style="1" customWidth="1"/>
    <col min="6804" max="6804" width="15.5703125" style="1" customWidth="1"/>
    <col min="6805" max="6805" width="16.28515625" style="1" customWidth="1"/>
    <col min="6806" max="6806" width="17.140625" style="1" customWidth="1"/>
    <col min="6807" max="6807" width="16.28515625" style="1" customWidth="1"/>
    <col min="6808" max="6808" width="15.7109375" style="1" customWidth="1"/>
    <col min="6809" max="6809" width="15.42578125" style="1" customWidth="1"/>
    <col min="6810" max="6912" width="9.140625" style="1"/>
    <col min="6913" max="6913" width="19.85546875" style="1" customWidth="1"/>
    <col min="6914" max="6914" width="22" style="1" customWidth="1"/>
    <col min="6915" max="6915" width="18.42578125" style="1" bestFit="1" customWidth="1"/>
    <col min="6916" max="6917" width="16.42578125" style="1" customWidth="1"/>
    <col min="6918" max="6918" width="18.85546875" style="1" customWidth="1"/>
    <col min="6919" max="6920" width="15.5703125" style="1" customWidth="1"/>
    <col min="6921" max="6921" width="11.28515625" style="1" customWidth="1"/>
    <col min="6922" max="6922" width="12.7109375" style="1" customWidth="1"/>
    <col min="6923" max="6927" width="14.7109375" style="1" customWidth="1"/>
    <col min="6928" max="6931" width="13.85546875" style="1" customWidth="1"/>
    <col min="6932" max="6932" width="14.28515625" style="1" customWidth="1"/>
    <col min="6933" max="6933" width="13.85546875" style="1" customWidth="1"/>
    <col min="6934" max="6946" width="13.42578125" style="1" customWidth="1"/>
    <col min="6947" max="6947" width="16.85546875" style="1" customWidth="1"/>
    <col min="6948" max="6948" width="12.42578125" style="1" customWidth="1"/>
    <col min="6949" max="6949" width="13.5703125" style="1" customWidth="1"/>
    <col min="6950" max="6953" width="12.42578125" style="1" customWidth="1"/>
    <col min="6954" max="6955" width="13.140625" style="1" customWidth="1"/>
    <col min="6956" max="6990" width="14.42578125" style="1" customWidth="1"/>
    <col min="6991" max="7002" width="12.42578125" style="1" customWidth="1"/>
    <col min="7003" max="7003" width="17.5703125" style="1" customWidth="1"/>
    <col min="7004" max="7004" width="15.140625" style="1" customWidth="1"/>
    <col min="7005" max="7006" width="15.42578125" style="1" customWidth="1"/>
    <col min="7007" max="7008" width="15.5703125" style="1" customWidth="1"/>
    <col min="7009" max="7009" width="17" style="1" customWidth="1"/>
    <col min="7010" max="7010" width="15.5703125" style="1" customWidth="1"/>
    <col min="7011" max="7011" width="17.7109375" style="1" customWidth="1"/>
    <col min="7012" max="7012" width="18.42578125" style="1" customWidth="1"/>
    <col min="7013" max="7013" width="17.5703125" style="1" customWidth="1"/>
    <col min="7014" max="7015" width="16" style="1" customWidth="1"/>
    <col min="7016" max="7019" width="12.42578125" style="1" customWidth="1"/>
    <col min="7020" max="7020" width="17.7109375" style="1" bestFit="1" customWidth="1"/>
    <col min="7021" max="7021" width="12.42578125" style="1" customWidth="1"/>
    <col min="7022" max="7022" width="13.7109375" style="1" customWidth="1"/>
    <col min="7023" max="7023" width="15.5703125" style="1" customWidth="1"/>
    <col min="7024" max="7027" width="13.7109375" style="1" customWidth="1"/>
    <col min="7028" max="7029" width="12.42578125" style="1" customWidth="1"/>
    <col min="7030" max="7030" width="14.85546875" style="1" customWidth="1"/>
    <col min="7031" max="7031" width="12.42578125" style="1" customWidth="1"/>
    <col min="7032" max="7033" width="13.42578125" style="1" customWidth="1"/>
    <col min="7034" max="7034" width="17" style="1" customWidth="1"/>
    <col min="7035" max="7036" width="12.42578125" style="1" customWidth="1"/>
    <col min="7037" max="7037" width="16.42578125" style="1" customWidth="1"/>
    <col min="7038" max="7038" width="12.42578125" style="1" customWidth="1"/>
    <col min="7039" max="7039" width="13.42578125" style="1" customWidth="1"/>
    <col min="7040" max="7040" width="12.42578125" style="1" customWidth="1"/>
    <col min="7041" max="7042" width="11.7109375" style="1" customWidth="1"/>
    <col min="7043" max="7043" width="11.42578125" style="1" customWidth="1"/>
    <col min="7044" max="7044" width="11.7109375" style="1" customWidth="1"/>
    <col min="7045" max="7045" width="11.42578125" style="1" customWidth="1"/>
    <col min="7046" max="7047" width="15.42578125" style="1" customWidth="1"/>
    <col min="7048" max="7048" width="16.140625" style="1" customWidth="1"/>
    <col min="7049" max="7049" width="16.5703125" style="1" customWidth="1"/>
    <col min="7050" max="7050" width="16.7109375" style="1" customWidth="1"/>
    <col min="7051" max="7051" width="15.42578125" style="1" customWidth="1"/>
    <col min="7052" max="7052" width="14.85546875" style="1" customWidth="1"/>
    <col min="7053" max="7053" width="17.140625" style="1" customWidth="1"/>
    <col min="7054" max="7054" width="16.7109375" style="1" customWidth="1"/>
    <col min="7055" max="7055" width="16.5703125" style="1" customWidth="1"/>
    <col min="7056" max="7056" width="16.28515625" style="1" customWidth="1"/>
    <col min="7057" max="7057" width="14.85546875" style="1" customWidth="1"/>
    <col min="7058" max="7058" width="16.140625" style="1" customWidth="1"/>
    <col min="7059" max="7059" width="16" style="1" customWidth="1"/>
    <col min="7060" max="7060" width="15.5703125" style="1" customWidth="1"/>
    <col min="7061" max="7061" width="16.28515625" style="1" customWidth="1"/>
    <col min="7062" max="7062" width="17.140625" style="1" customWidth="1"/>
    <col min="7063" max="7063" width="16.28515625" style="1" customWidth="1"/>
    <col min="7064" max="7064" width="15.7109375" style="1" customWidth="1"/>
    <col min="7065" max="7065" width="15.42578125" style="1" customWidth="1"/>
    <col min="7066" max="7168" width="9.140625" style="1"/>
    <col min="7169" max="7169" width="19.85546875" style="1" customWidth="1"/>
    <col min="7170" max="7170" width="22" style="1" customWidth="1"/>
    <col min="7171" max="7171" width="18.42578125" style="1" bestFit="1" customWidth="1"/>
    <col min="7172" max="7173" width="16.42578125" style="1" customWidth="1"/>
    <col min="7174" max="7174" width="18.85546875" style="1" customWidth="1"/>
    <col min="7175" max="7176" width="15.5703125" style="1" customWidth="1"/>
    <col min="7177" max="7177" width="11.28515625" style="1" customWidth="1"/>
    <col min="7178" max="7178" width="12.7109375" style="1" customWidth="1"/>
    <col min="7179" max="7183" width="14.7109375" style="1" customWidth="1"/>
    <col min="7184" max="7187" width="13.85546875" style="1" customWidth="1"/>
    <col min="7188" max="7188" width="14.28515625" style="1" customWidth="1"/>
    <col min="7189" max="7189" width="13.85546875" style="1" customWidth="1"/>
    <col min="7190" max="7202" width="13.42578125" style="1" customWidth="1"/>
    <col min="7203" max="7203" width="16.85546875" style="1" customWidth="1"/>
    <col min="7204" max="7204" width="12.42578125" style="1" customWidth="1"/>
    <col min="7205" max="7205" width="13.5703125" style="1" customWidth="1"/>
    <col min="7206" max="7209" width="12.42578125" style="1" customWidth="1"/>
    <col min="7210" max="7211" width="13.140625" style="1" customWidth="1"/>
    <col min="7212" max="7246" width="14.42578125" style="1" customWidth="1"/>
    <col min="7247" max="7258" width="12.42578125" style="1" customWidth="1"/>
    <col min="7259" max="7259" width="17.5703125" style="1" customWidth="1"/>
    <col min="7260" max="7260" width="15.140625" style="1" customWidth="1"/>
    <col min="7261" max="7262" width="15.42578125" style="1" customWidth="1"/>
    <col min="7263" max="7264" width="15.5703125" style="1" customWidth="1"/>
    <col min="7265" max="7265" width="17" style="1" customWidth="1"/>
    <col min="7266" max="7266" width="15.5703125" style="1" customWidth="1"/>
    <col min="7267" max="7267" width="17.7109375" style="1" customWidth="1"/>
    <col min="7268" max="7268" width="18.42578125" style="1" customWidth="1"/>
    <col min="7269" max="7269" width="17.5703125" style="1" customWidth="1"/>
    <col min="7270" max="7271" width="16" style="1" customWidth="1"/>
    <col min="7272" max="7275" width="12.42578125" style="1" customWidth="1"/>
    <col min="7276" max="7276" width="17.7109375" style="1" bestFit="1" customWidth="1"/>
    <col min="7277" max="7277" width="12.42578125" style="1" customWidth="1"/>
    <col min="7278" max="7278" width="13.7109375" style="1" customWidth="1"/>
    <col min="7279" max="7279" width="15.5703125" style="1" customWidth="1"/>
    <col min="7280" max="7283" width="13.7109375" style="1" customWidth="1"/>
    <col min="7284" max="7285" width="12.42578125" style="1" customWidth="1"/>
    <col min="7286" max="7286" width="14.85546875" style="1" customWidth="1"/>
    <col min="7287" max="7287" width="12.42578125" style="1" customWidth="1"/>
    <col min="7288" max="7289" width="13.42578125" style="1" customWidth="1"/>
    <col min="7290" max="7290" width="17" style="1" customWidth="1"/>
    <col min="7291" max="7292" width="12.42578125" style="1" customWidth="1"/>
    <col min="7293" max="7293" width="16.42578125" style="1" customWidth="1"/>
    <col min="7294" max="7294" width="12.42578125" style="1" customWidth="1"/>
    <col min="7295" max="7295" width="13.42578125" style="1" customWidth="1"/>
    <col min="7296" max="7296" width="12.42578125" style="1" customWidth="1"/>
    <col min="7297" max="7298" width="11.7109375" style="1" customWidth="1"/>
    <col min="7299" max="7299" width="11.42578125" style="1" customWidth="1"/>
    <col min="7300" max="7300" width="11.7109375" style="1" customWidth="1"/>
    <col min="7301" max="7301" width="11.42578125" style="1" customWidth="1"/>
    <col min="7302" max="7303" width="15.42578125" style="1" customWidth="1"/>
    <col min="7304" max="7304" width="16.140625" style="1" customWidth="1"/>
    <col min="7305" max="7305" width="16.5703125" style="1" customWidth="1"/>
    <col min="7306" max="7306" width="16.7109375" style="1" customWidth="1"/>
    <col min="7307" max="7307" width="15.42578125" style="1" customWidth="1"/>
    <col min="7308" max="7308" width="14.85546875" style="1" customWidth="1"/>
    <col min="7309" max="7309" width="17.140625" style="1" customWidth="1"/>
    <col min="7310" max="7310" width="16.7109375" style="1" customWidth="1"/>
    <col min="7311" max="7311" width="16.5703125" style="1" customWidth="1"/>
    <col min="7312" max="7312" width="16.28515625" style="1" customWidth="1"/>
    <col min="7313" max="7313" width="14.85546875" style="1" customWidth="1"/>
    <col min="7314" max="7314" width="16.140625" style="1" customWidth="1"/>
    <col min="7315" max="7315" width="16" style="1" customWidth="1"/>
    <col min="7316" max="7316" width="15.5703125" style="1" customWidth="1"/>
    <col min="7317" max="7317" width="16.28515625" style="1" customWidth="1"/>
    <col min="7318" max="7318" width="17.140625" style="1" customWidth="1"/>
    <col min="7319" max="7319" width="16.28515625" style="1" customWidth="1"/>
    <col min="7320" max="7320" width="15.7109375" style="1" customWidth="1"/>
    <col min="7321" max="7321" width="15.42578125" style="1" customWidth="1"/>
    <col min="7322" max="7424" width="9.140625" style="1"/>
    <col min="7425" max="7425" width="19.85546875" style="1" customWidth="1"/>
    <col min="7426" max="7426" width="22" style="1" customWidth="1"/>
    <col min="7427" max="7427" width="18.42578125" style="1" bestFit="1" customWidth="1"/>
    <col min="7428" max="7429" width="16.42578125" style="1" customWidth="1"/>
    <col min="7430" max="7430" width="18.85546875" style="1" customWidth="1"/>
    <col min="7431" max="7432" width="15.5703125" style="1" customWidth="1"/>
    <col min="7433" max="7433" width="11.28515625" style="1" customWidth="1"/>
    <col min="7434" max="7434" width="12.7109375" style="1" customWidth="1"/>
    <col min="7435" max="7439" width="14.7109375" style="1" customWidth="1"/>
    <col min="7440" max="7443" width="13.85546875" style="1" customWidth="1"/>
    <col min="7444" max="7444" width="14.28515625" style="1" customWidth="1"/>
    <col min="7445" max="7445" width="13.85546875" style="1" customWidth="1"/>
    <col min="7446" max="7458" width="13.42578125" style="1" customWidth="1"/>
    <col min="7459" max="7459" width="16.85546875" style="1" customWidth="1"/>
    <col min="7460" max="7460" width="12.42578125" style="1" customWidth="1"/>
    <col min="7461" max="7461" width="13.5703125" style="1" customWidth="1"/>
    <col min="7462" max="7465" width="12.42578125" style="1" customWidth="1"/>
    <col min="7466" max="7467" width="13.140625" style="1" customWidth="1"/>
    <col min="7468" max="7502" width="14.42578125" style="1" customWidth="1"/>
    <col min="7503" max="7514" width="12.42578125" style="1" customWidth="1"/>
    <col min="7515" max="7515" width="17.5703125" style="1" customWidth="1"/>
    <col min="7516" max="7516" width="15.140625" style="1" customWidth="1"/>
    <col min="7517" max="7518" width="15.42578125" style="1" customWidth="1"/>
    <col min="7519" max="7520" width="15.5703125" style="1" customWidth="1"/>
    <col min="7521" max="7521" width="17" style="1" customWidth="1"/>
    <col min="7522" max="7522" width="15.5703125" style="1" customWidth="1"/>
    <col min="7523" max="7523" width="17.7109375" style="1" customWidth="1"/>
    <col min="7524" max="7524" width="18.42578125" style="1" customWidth="1"/>
    <col min="7525" max="7525" width="17.5703125" style="1" customWidth="1"/>
    <col min="7526" max="7527" width="16" style="1" customWidth="1"/>
    <col min="7528" max="7531" width="12.42578125" style="1" customWidth="1"/>
    <col min="7532" max="7532" width="17.7109375" style="1" bestFit="1" customWidth="1"/>
    <col min="7533" max="7533" width="12.42578125" style="1" customWidth="1"/>
    <col min="7534" max="7534" width="13.7109375" style="1" customWidth="1"/>
    <col min="7535" max="7535" width="15.5703125" style="1" customWidth="1"/>
    <col min="7536" max="7539" width="13.7109375" style="1" customWidth="1"/>
    <col min="7540" max="7541" width="12.42578125" style="1" customWidth="1"/>
    <col min="7542" max="7542" width="14.85546875" style="1" customWidth="1"/>
    <col min="7543" max="7543" width="12.42578125" style="1" customWidth="1"/>
    <col min="7544" max="7545" width="13.42578125" style="1" customWidth="1"/>
    <col min="7546" max="7546" width="17" style="1" customWidth="1"/>
    <col min="7547" max="7548" width="12.42578125" style="1" customWidth="1"/>
    <col min="7549" max="7549" width="16.42578125" style="1" customWidth="1"/>
    <col min="7550" max="7550" width="12.42578125" style="1" customWidth="1"/>
    <col min="7551" max="7551" width="13.42578125" style="1" customWidth="1"/>
    <col min="7552" max="7552" width="12.42578125" style="1" customWidth="1"/>
    <col min="7553" max="7554" width="11.7109375" style="1" customWidth="1"/>
    <col min="7555" max="7555" width="11.42578125" style="1" customWidth="1"/>
    <col min="7556" max="7556" width="11.7109375" style="1" customWidth="1"/>
    <col min="7557" max="7557" width="11.42578125" style="1" customWidth="1"/>
    <col min="7558" max="7559" width="15.42578125" style="1" customWidth="1"/>
    <col min="7560" max="7560" width="16.140625" style="1" customWidth="1"/>
    <col min="7561" max="7561" width="16.5703125" style="1" customWidth="1"/>
    <col min="7562" max="7562" width="16.7109375" style="1" customWidth="1"/>
    <col min="7563" max="7563" width="15.42578125" style="1" customWidth="1"/>
    <col min="7564" max="7564" width="14.85546875" style="1" customWidth="1"/>
    <col min="7565" max="7565" width="17.140625" style="1" customWidth="1"/>
    <col min="7566" max="7566" width="16.7109375" style="1" customWidth="1"/>
    <col min="7567" max="7567" width="16.5703125" style="1" customWidth="1"/>
    <col min="7568" max="7568" width="16.28515625" style="1" customWidth="1"/>
    <col min="7569" max="7569" width="14.85546875" style="1" customWidth="1"/>
    <col min="7570" max="7570" width="16.140625" style="1" customWidth="1"/>
    <col min="7571" max="7571" width="16" style="1" customWidth="1"/>
    <col min="7572" max="7572" width="15.5703125" style="1" customWidth="1"/>
    <col min="7573" max="7573" width="16.28515625" style="1" customWidth="1"/>
    <col min="7574" max="7574" width="17.140625" style="1" customWidth="1"/>
    <col min="7575" max="7575" width="16.28515625" style="1" customWidth="1"/>
    <col min="7576" max="7576" width="15.7109375" style="1" customWidth="1"/>
    <col min="7577" max="7577" width="15.42578125" style="1" customWidth="1"/>
    <col min="7578" max="7680" width="9.140625" style="1"/>
    <col min="7681" max="7681" width="19.85546875" style="1" customWidth="1"/>
    <col min="7682" max="7682" width="22" style="1" customWidth="1"/>
    <col min="7683" max="7683" width="18.42578125" style="1" bestFit="1" customWidth="1"/>
    <col min="7684" max="7685" width="16.42578125" style="1" customWidth="1"/>
    <col min="7686" max="7686" width="18.85546875" style="1" customWidth="1"/>
    <col min="7687" max="7688" width="15.5703125" style="1" customWidth="1"/>
    <col min="7689" max="7689" width="11.28515625" style="1" customWidth="1"/>
    <col min="7690" max="7690" width="12.7109375" style="1" customWidth="1"/>
    <col min="7691" max="7695" width="14.7109375" style="1" customWidth="1"/>
    <col min="7696" max="7699" width="13.85546875" style="1" customWidth="1"/>
    <col min="7700" max="7700" width="14.28515625" style="1" customWidth="1"/>
    <col min="7701" max="7701" width="13.85546875" style="1" customWidth="1"/>
    <col min="7702" max="7714" width="13.42578125" style="1" customWidth="1"/>
    <col min="7715" max="7715" width="16.85546875" style="1" customWidth="1"/>
    <col min="7716" max="7716" width="12.42578125" style="1" customWidth="1"/>
    <col min="7717" max="7717" width="13.5703125" style="1" customWidth="1"/>
    <col min="7718" max="7721" width="12.42578125" style="1" customWidth="1"/>
    <col min="7722" max="7723" width="13.140625" style="1" customWidth="1"/>
    <col min="7724" max="7758" width="14.42578125" style="1" customWidth="1"/>
    <col min="7759" max="7770" width="12.42578125" style="1" customWidth="1"/>
    <col min="7771" max="7771" width="17.5703125" style="1" customWidth="1"/>
    <col min="7772" max="7772" width="15.140625" style="1" customWidth="1"/>
    <col min="7773" max="7774" width="15.42578125" style="1" customWidth="1"/>
    <col min="7775" max="7776" width="15.5703125" style="1" customWidth="1"/>
    <col min="7777" max="7777" width="17" style="1" customWidth="1"/>
    <col min="7778" max="7778" width="15.5703125" style="1" customWidth="1"/>
    <col min="7779" max="7779" width="17.7109375" style="1" customWidth="1"/>
    <col min="7780" max="7780" width="18.42578125" style="1" customWidth="1"/>
    <col min="7781" max="7781" width="17.5703125" style="1" customWidth="1"/>
    <col min="7782" max="7783" width="16" style="1" customWidth="1"/>
    <col min="7784" max="7787" width="12.42578125" style="1" customWidth="1"/>
    <col min="7788" max="7788" width="17.7109375" style="1" bestFit="1" customWidth="1"/>
    <col min="7789" max="7789" width="12.42578125" style="1" customWidth="1"/>
    <col min="7790" max="7790" width="13.7109375" style="1" customWidth="1"/>
    <col min="7791" max="7791" width="15.5703125" style="1" customWidth="1"/>
    <col min="7792" max="7795" width="13.7109375" style="1" customWidth="1"/>
    <col min="7796" max="7797" width="12.42578125" style="1" customWidth="1"/>
    <col min="7798" max="7798" width="14.85546875" style="1" customWidth="1"/>
    <col min="7799" max="7799" width="12.42578125" style="1" customWidth="1"/>
    <col min="7800" max="7801" width="13.42578125" style="1" customWidth="1"/>
    <col min="7802" max="7802" width="17" style="1" customWidth="1"/>
    <col min="7803" max="7804" width="12.42578125" style="1" customWidth="1"/>
    <col min="7805" max="7805" width="16.42578125" style="1" customWidth="1"/>
    <col min="7806" max="7806" width="12.42578125" style="1" customWidth="1"/>
    <col min="7807" max="7807" width="13.42578125" style="1" customWidth="1"/>
    <col min="7808" max="7808" width="12.42578125" style="1" customWidth="1"/>
    <col min="7809" max="7810" width="11.7109375" style="1" customWidth="1"/>
    <col min="7811" max="7811" width="11.42578125" style="1" customWidth="1"/>
    <col min="7812" max="7812" width="11.7109375" style="1" customWidth="1"/>
    <col min="7813" max="7813" width="11.42578125" style="1" customWidth="1"/>
    <col min="7814" max="7815" width="15.42578125" style="1" customWidth="1"/>
    <col min="7816" max="7816" width="16.140625" style="1" customWidth="1"/>
    <col min="7817" max="7817" width="16.5703125" style="1" customWidth="1"/>
    <col min="7818" max="7818" width="16.7109375" style="1" customWidth="1"/>
    <col min="7819" max="7819" width="15.42578125" style="1" customWidth="1"/>
    <col min="7820" max="7820" width="14.85546875" style="1" customWidth="1"/>
    <col min="7821" max="7821" width="17.140625" style="1" customWidth="1"/>
    <col min="7822" max="7822" width="16.7109375" style="1" customWidth="1"/>
    <col min="7823" max="7823" width="16.5703125" style="1" customWidth="1"/>
    <col min="7824" max="7824" width="16.28515625" style="1" customWidth="1"/>
    <col min="7825" max="7825" width="14.85546875" style="1" customWidth="1"/>
    <col min="7826" max="7826" width="16.140625" style="1" customWidth="1"/>
    <col min="7827" max="7827" width="16" style="1" customWidth="1"/>
    <col min="7828" max="7828" width="15.5703125" style="1" customWidth="1"/>
    <col min="7829" max="7829" width="16.28515625" style="1" customWidth="1"/>
    <col min="7830" max="7830" width="17.140625" style="1" customWidth="1"/>
    <col min="7831" max="7831" width="16.28515625" style="1" customWidth="1"/>
    <col min="7832" max="7832" width="15.7109375" style="1" customWidth="1"/>
    <col min="7833" max="7833" width="15.42578125" style="1" customWidth="1"/>
    <col min="7834" max="7936" width="9.140625" style="1"/>
    <col min="7937" max="7937" width="19.85546875" style="1" customWidth="1"/>
    <col min="7938" max="7938" width="22" style="1" customWidth="1"/>
    <col min="7939" max="7939" width="18.42578125" style="1" bestFit="1" customWidth="1"/>
    <col min="7940" max="7941" width="16.42578125" style="1" customWidth="1"/>
    <col min="7942" max="7942" width="18.85546875" style="1" customWidth="1"/>
    <col min="7943" max="7944" width="15.5703125" style="1" customWidth="1"/>
    <col min="7945" max="7945" width="11.28515625" style="1" customWidth="1"/>
    <col min="7946" max="7946" width="12.7109375" style="1" customWidth="1"/>
    <col min="7947" max="7951" width="14.7109375" style="1" customWidth="1"/>
    <col min="7952" max="7955" width="13.85546875" style="1" customWidth="1"/>
    <col min="7956" max="7956" width="14.28515625" style="1" customWidth="1"/>
    <col min="7957" max="7957" width="13.85546875" style="1" customWidth="1"/>
    <col min="7958" max="7970" width="13.42578125" style="1" customWidth="1"/>
    <col min="7971" max="7971" width="16.85546875" style="1" customWidth="1"/>
    <col min="7972" max="7972" width="12.42578125" style="1" customWidth="1"/>
    <col min="7973" max="7973" width="13.5703125" style="1" customWidth="1"/>
    <col min="7974" max="7977" width="12.42578125" style="1" customWidth="1"/>
    <col min="7978" max="7979" width="13.140625" style="1" customWidth="1"/>
    <col min="7980" max="8014" width="14.42578125" style="1" customWidth="1"/>
    <col min="8015" max="8026" width="12.42578125" style="1" customWidth="1"/>
    <col min="8027" max="8027" width="17.5703125" style="1" customWidth="1"/>
    <col min="8028" max="8028" width="15.140625" style="1" customWidth="1"/>
    <col min="8029" max="8030" width="15.42578125" style="1" customWidth="1"/>
    <col min="8031" max="8032" width="15.5703125" style="1" customWidth="1"/>
    <col min="8033" max="8033" width="17" style="1" customWidth="1"/>
    <col min="8034" max="8034" width="15.5703125" style="1" customWidth="1"/>
    <col min="8035" max="8035" width="17.7109375" style="1" customWidth="1"/>
    <col min="8036" max="8036" width="18.42578125" style="1" customWidth="1"/>
    <col min="8037" max="8037" width="17.5703125" style="1" customWidth="1"/>
    <col min="8038" max="8039" width="16" style="1" customWidth="1"/>
    <col min="8040" max="8043" width="12.42578125" style="1" customWidth="1"/>
    <col min="8044" max="8044" width="17.7109375" style="1" bestFit="1" customWidth="1"/>
    <col min="8045" max="8045" width="12.42578125" style="1" customWidth="1"/>
    <col min="8046" max="8046" width="13.7109375" style="1" customWidth="1"/>
    <col min="8047" max="8047" width="15.5703125" style="1" customWidth="1"/>
    <col min="8048" max="8051" width="13.7109375" style="1" customWidth="1"/>
    <col min="8052" max="8053" width="12.42578125" style="1" customWidth="1"/>
    <col min="8054" max="8054" width="14.85546875" style="1" customWidth="1"/>
    <col min="8055" max="8055" width="12.42578125" style="1" customWidth="1"/>
    <col min="8056" max="8057" width="13.42578125" style="1" customWidth="1"/>
    <col min="8058" max="8058" width="17" style="1" customWidth="1"/>
    <col min="8059" max="8060" width="12.42578125" style="1" customWidth="1"/>
    <col min="8061" max="8061" width="16.42578125" style="1" customWidth="1"/>
    <col min="8062" max="8062" width="12.42578125" style="1" customWidth="1"/>
    <col min="8063" max="8063" width="13.42578125" style="1" customWidth="1"/>
    <col min="8064" max="8064" width="12.42578125" style="1" customWidth="1"/>
    <col min="8065" max="8066" width="11.7109375" style="1" customWidth="1"/>
    <col min="8067" max="8067" width="11.42578125" style="1" customWidth="1"/>
    <col min="8068" max="8068" width="11.7109375" style="1" customWidth="1"/>
    <col min="8069" max="8069" width="11.42578125" style="1" customWidth="1"/>
    <col min="8070" max="8071" width="15.42578125" style="1" customWidth="1"/>
    <col min="8072" max="8072" width="16.140625" style="1" customWidth="1"/>
    <col min="8073" max="8073" width="16.5703125" style="1" customWidth="1"/>
    <col min="8074" max="8074" width="16.7109375" style="1" customWidth="1"/>
    <col min="8075" max="8075" width="15.42578125" style="1" customWidth="1"/>
    <col min="8076" max="8076" width="14.85546875" style="1" customWidth="1"/>
    <col min="8077" max="8077" width="17.140625" style="1" customWidth="1"/>
    <col min="8078" max="8078" width="16.7109375" style="1" customWidth="1"/>
    <col min="8079" max="8079" width="16.5703125" style="1" customWidth="1"/>
    <col min="8080" max="8080" width="16.28515625" style="1" customWidth="1"/>
    <col min="8081" max="8081" width="14.85546875" style="1" customWidth="1"/>
    <col min="8082" max="8082" width="16.140625" style="1" customWidth="1"/>
    <col min="8083" max="8083" width="16" style="1" customWidth="1"/>
    <col min="8084" max="8084" width="15.5703125" style="1" customWidth="1"/>
    <col min="8085" max="8085" width="16.28515625" style="1" customWidth="1"/>
    <col min="8086" max="8086" width="17.140625" style="1" customWidth="1"/>
    <col min="8087" max="8087" width="16.28515625" style="1" customWidth="1"/>
    <col min="8088" max="8088" width="15.7109375" style="1" customWidth="1"/>
    <col min="8089" max="8089" width="15.42578125" style="1" customWidth="1"/>
    <col min="8090" max="8192" width="9.140625" style="1"/>
    <col min="8193" max="8193" width="19.85546875" style="1" customWidth="1"/>
    <col min="8194" max="8194" width="22" style="1" customWidth="1"/>
    <col min="8195" max="8195" width="18.42578125" style="1" bestFit="1" customWidth="1"/>
    <col min="8196" max="8197" width="16.42578125" style="1" customWidth="1"/>
    <col min="8198" max="8198" width="18.85546875" style="1" customWidth="1"/>
    <col min="8199" max="8200" width="15.5703125" style="1" customWidth="1"/>
    <col min="8201" max="8201" width="11.28515625" style="1" customWidth="1"/>
    <col min="8202" max="8202" width="12.7109375" style="1" customWidth="1"/>
    <col min="8203" max="8207" width="14.7109375" style="1" customWidth="1"/>
    <col min="8208" max="8211" width="13.85546875" style="1" customWidth="1"/>
    <col min="8212" max="8212" width="14.28515625" style="1" customWidth="1"/>
    <col min="8213" max="8213" width="13.85546875" style="1" customWidth="1"/>
    <col min="8214" max="8226" width="13.42578125" style="1" customWidth="1"/>
    <col min="8227" max="8227" width="16.85546875" style="1" customWidth="1"/>
    <col min="8228" max="8228" width="12.42578125" style="1" customWidth="1"/>
    <col min="8229" max="8229" width="13.5703125" style="1" customWidth="1"/>
    <col min="8230" max="8233" width="12.42578125" style="1" customWidth="1"/>
    <col min="8234" max="8235" width="13.140625" style="1" customWidth="1"/>
    <col min="8236" max="8270" width="14.42578125" style="1" customWidth="1"/>
    <col min="8271" max="8282" width="12.42578125" style="1" customWidth="1"/>
    <col min="8283" max="8283" width="17.5703125" style="1" customWidth="1"/>
    <col min="8284" max="8284" width="15.140625" style="1" customWidth="1"/>
    <col min="8285" max="8286" width="15.42578125" style="1" customWidth="1"/>
    <col min="8287" max="8288" width="15.5703125" style="1" customWidth="1"/>
    <col min="8289" max="8289" width="17" style="1" customWidth="1"/>
    <col min="8290" max="8290" width="15.5703125" style="1" customWidth="1"/>
    <col min="8291" max="8291" width="17.7109375" style="1" customWidth="1"/>
    <col min="8292" max="8292" width="18.42578125" style="1" customWidth="1"/>
    <col min="8293" max="8293" width="17.5703125" style="1" customWidth="1"/>
    <col min="8294" max="8295" width="16" style="1" customWidth="1"/>
    <col min="8296" max="8299" width="12.42578125" style="1" customWidth="1"/>
    <col min="8300" max="8300" width="17.7109375" style="1" bestFit="1" customWidth="1"/>
    <col min="8301" max="8301" width="12.42578125" style="1" customWidth="1"/>
    <col min="8302" max="8302" width="13.7109375" style="1" customWidth="1"/>
    <col min="8303" max="8303" width="15.5703125" style="1" customWidth="1"/>
    <col min="8304" max="8307" width="13.7109375" style="1" customWidth="1"/>
    <col min="8308" max="8309" width="12.42578125" style="1" customWidth="1"/>
    <col min="8310" max="8310" width="14.85546875" style="1" customWidth="1"/>
    <col min="8311" max="8311" width="12.42578125" style="1" customWidth="1"/>
    <col min="8312" max="8313" width="13.42578125" style="1" customWidth="1"/>
    <col min="8314" max="8314" width="17" style="1" customWidth="1"/>
    <col min="8315" max="8316" width="12.42578125" style="1" customWidth="1"/>
    <col min="8317" max="8317" width="16.42578125" style="1" customWidth="1"/>
    <col min="8318" max="8318" width="12.42578125" style="1" customWidth="1"/>
    <col min="8319" max="8319" width="13.42578125" style="1" customWidth="1"/>
    <col min="8320" max="8320" width="12.42578125" style="1" customWidth="1"/>
    <col min="8321" max="8322" width="11.7109375" style="1" customWidth="1"/>
    <col min="8323" max="8323" width="11.42578125" style="1" customWidth="1"/>
    <col min="8324" max="8324" width="11.7109375" style="1" customWidth="1"/>
    <col min="8325" max="8325" width="11.42578125" style="1" customWidth="1"/>
    <col min="8326" max="8327" width="15.42578125" style="1" customWidth="1"/>
    <col min="8328" max="8328" width="16.140625" style="1" customWidth="1"/>
    <col min="8329" max="8329" width="16.5703125" style="1" customWidth="1"/>
    <col min="8330" max="8330" width="16.7109375" style="1" customWidth="1"/>
    <col min="8331" max="8331" width="15.42578125" style="1" customWidth="1"/>
    <col min="8332" max="8332" width="14.85546875" style="1" customWidth="1"/>
    <col min="8333" max="8333" width="17.140625" style="1" customWidth="1"/>
    <col min="8334" max="8334" width="16.7109375" style="1" customWidth="1"/>
    <col min="8335" max="8335" width="16.5703125" style="1" customWidth="1"/>
    <col min="8336" max="8336" width="16.28515625" style="1" customWidth="1"/>
    <col min="8337" max="8337" width="14.85546875" style="1" customWidth="1"/>
    <col min="8338" max="8338" width="16.140625" style="1" customWidth="1"/>
    <col min="8339" max="8339" width="16" style="1" customWidth="1"/>
    <col min="8340" max="8340" width="15.5703125" style="1" customWidth="1"/>
    <col min="8341" max="8341" width="16.28515625" style="1" customWidth="1"/>
    <col min="8342" max="8342" width="17.140625" style="1" customWidth="1"/>
    <col min="8343" max="8343" width="16.28515625" style="1" customWidth="1"/>
    <col min="8344" max="8344" width="15.7109375" style="1" customWidth="1"/>
    <col min="8345" max="8345" width="15.42578125" style="1" customWidth="1"/>
    <col min="8346" max="8448" width="9.140625" style="1"/>
    <col min="8449" max="8449" width="19.85546875" style="1" customWidth="1"/>
    <col min="8450" max="8450" width="22" style="1" customWidth="1"/>
    <col min="8451" max="8451" width="18.42578125" style="1" bestFit="1" customWidth="1"/>
    <col min="8452" max="8453" width="16.42578125" style="1" customWidth="1"/>
    <col min="8454" max="8454" width="18.85546875" style="1" customWidth="1"/>
    <col min="8455" max="8456" width="15.5703125" style="1" customWidth="1"/>
    <col min="8457" max="8457" width="11.28515625" style="1" customWidth="1"/>
    <col min="8458" max="8458" width="12.7109375" style="1" customWidth="1"/>
    <col min="8459" max="8463" width="14.7109375" style="1" customWidth="1"/>
    <col min="8464" max="8467" width="13.85546875" style="1" customWidth="1"/>
    <col min="8468" max="8468" width="14.28515625" style="1" customWidth="1"/>
    <col min="8469" max="8469" width="13.85546875" style="1" customWidth="1"/>
    <col min="8470" max="8482" width="13.42578125" style="1" customWidth="1"/>
    <col min="8483" max="8483" width="16.85546875" style="1" customWidth="1"/>
    <col min="8484" max="8484" width="12.42578125" style="1" customWidth="1"/>
    <col min="8485" max="8485" width="13.5703125" style="1" customWidth="1"/>
    <col min="8486" max="8489" width="12.42578125" style="1" customWidth="1"/>
    <col min="8490" max="8491" width="13.140625" style="1" customWidth="1"/>
    <col min="8492" max="8526" width="14.42578125" style="1" customWidth="1"/>
    <col min="8527" max="8538" width="12.42578125" style="1" customWidth="1"/>
    <col min="8539" max="8539" width="17.5703125" style="1" customWidth="1"/>
    <col min="8540" max="8540" width="15.140625" style="1" customWidth="1"/>
    <col min="8541" max="8542" width="15.42578125" style="1" customWidth="1"/>
    <col min="8543" max="8544" width="15.5703125" style="1" customWidth="1"/>
    <col min="8545" max="8545" width="17" style="1" customWidth="1"/>
    <col min="8546" max="8546" width="15.5703125" style="1" customWidth="1"/>
    <col min="8547" max="8547" width="17.7109375" style="1" customWidth="1"/>
    <col min="8548" max="8548" width="18.42578125" style="1" customWidth="1"/>
    <col min="8549" max="8549" width="17.5703125" style="1" customWidth="1"/>
    <col min="8550" max="8551" width="16" style="1" customWidth="1"/>
    <col min="8552" max="8555" width="12.42578125" style="1" customWidth="1"/>
    <col min="8556" max="8556" width="17.7109375" style="1" bestFit="1" customWidth="1"/>
    <col min="8557" max="8557" width="12.42578125" style="1" customWidth="1"/>
    <col min="8558" max="8558" width="13.7109375" style="1" customWidth="1"/>
    <col min="8559" max="8559" width="15.5703125" style="1" customWidth="1"/>
    <col min="8560" max="8563" width="13.7109375" style="1" customWidth="1"/>
    <col min="8564" max="8565" width="12.42578125" style="1" customWidth="1"/>
    <col min="8566" max="8566" width="14.85546875" style="1" customWidth="1"/>
    <col min="8567" max="8567" width="12.42578125" style="1" customWidth="1"/>
    <col min="8568" max="8569" width="13.42578125" style="1" customWidth="1"/>
    <col min="8570" max="8570" width="17" style="1" customWidth="1"/>
    <col min="8571" max="8572" width="12.42578125" style="1" customWidth="1"/>
    <col min="8573" max="8573" width="16.42578125" style="1" customWidth="1"/>
    <col min="8574" max="8574" width="12.42578125" style="1" customWidth="1"/>
    <col min="8575" max="8575" width="13.42578125" style="1" customWidth="1"/>
    <col min="8576" max="8576" width="12.42578125" style="1" customWidth="1"/>
    <col min="8577" max="8578" width="11.7109375" style="1" customWidth="1"/>
    <col min="8579" max="8579" width="11.42578125" style="1" customWidth="1"/>
    <col min="8580" max="8580" width="11.7109375" style="1" customWidth="1"/>
    <col min="8581" max="8581" width="11.42578125" style="1" customWidth="1"/>
    <col min="8582" max="8583" width="15.42578125" style="1" customWidth="1"/>
    <col min="8584" max="8584" width="16.140625" style="1" customWidth="1"/>
    <col min="8585" max="8585" width="16.5703125" style="1" customWidth="1"/>
    <col min="8586" max="8586" width="16.7109375" style="1" customWidth="1"/>
    <col min="8587" max="8587" width="15.42578125" style="1" customWidth="1"/>
    <col min="8588" max="8588" width="14.85546875" style="1" customWidth="1"/>
    <col min="8589" max="8589" width="17.140625" style="1" customWidth="1"/>
    <col min="8590" max="8590" width="16.7109375" style="1" customWidth="1"/>
    <col min="8591" max="8591" width="16.5703125" style="1" customWidth="1"/>
    <col min="8592" max="8592" width="16.28515625" style="1" customWidth="1"/>
    <col min="8593" max="8593" width="14.85546875" style="1" customWidth="1"/>
    <col min="8594" max="8594" width="16.140625" style="1" customWidth="1"/>
    <col min="8595" max="8595" width="16" style="1" customWidth="1"/>
    <col min="8596" max="8596" width="15.5703125" style="1" customWidth="1"/>
    <col min="8597" max="8597" width="16.28515625" style="1" customWidth="1"/>
    <col min="8598" max="8598" width="17.140625" style="1" customWidth="1"/>
    <col min="8599" max="8599" width="16.28515625" style="1" customWidth="1"/>
    <col min="8600" max="8600" width="15.7109375" style="1" customWidth="1"/>
    <col min="8601" max="8601" width="15.42578125" style="1" customWidth="1"/>
    <col min="8602" max="8704" width="9.140625" style="1"/>
    <col min="8705" max="8705" width="19.85546875" style="1" customWidth="1"/>
    <col min="8706" max="8706" width="22" style="1" customWidth="1"/>
    <col min="8707" max="8707" width="18.42578125" style="1" bestFit="1" customWidth="1"/>
    <col min="8708" max="8709" width="16.42578125" style="1" customWidth="1"/>
    <col min="8710" max="8710" width="18.85546875" style="1" customWidth="1"/>
    <col min="8711" max="8712" width="15.5703125" style="1" customWidth="1"/>
    <col min="8713" max="8713" width="11.28515625" style="1" customWidth="1"/>
    <col min="8714" max="8714" width="12.7109375" style="1" customWidth="1"/>
    <col min="8715" max="8719" width="14.7109375" style="1" customWidth="1"/>
    <col min="8720" max="8723" width="13.85546875" style="1" customWidth="1"/>
    <col min="8724" max="8724" width="14.28515625" style="1" customWidth="1"/>
    <col min="8725" max="8725" width="13.85546875" style="1" customWidth="1"/>
    <col min="8726" max="8738" width="13.42578125" style="1" customWidth="1"/>
    <col min="8739" max="8739" width="16.85546875" style="1" customWidth="1"/>
    <col min="8740" max="8740" width="12.42578125" style="1" customWidth="1"/>
    <col min="8741" max="8741" width="13.5703125" style="1" customWidth="1"/>
    <col min="8742" max="8745" width="12.42578125" style="1" customWidth="1"/>
    <col min="8746" max="8747" width="13.140625" style="1" customWidth="1"/>
    <col min="8748" max="8782" width="14.42578125" style="1" customWidth="1"/>
    <col min="8783" max="8794" width="12.42578125" style="1" customWidth="1"/>
    <col min="8795" max="8795" width="17.5703125" style="1" customWidth="1"/>
    <col min="8796" max="8796" width="15.140625" style="1" customWidth="1"/>
    <col min="8797" max="8798" width="15.42578125" style="1" customWidth="1"/>
    <col min="8799" max="8800" width="15.5703125" style="1" customWidth="1"/>
    <col min="8801" max="8801" width="17" style="1" customWidth="1"/>
    <col min="8802" max="8802" width="15.5703125" style="1" customWidth="1"/>
    <col min="8803" max="8803" width="17.7109375" style="1" customWidth="1"/>
    <col min="8804" max="8804" width="18.42578125" style="1" customWidth="1"/>
    <col min="8805" max="8805" width="17.5703125" style="1" customWidth="1"/>
    <col min="8806" max="8807" width="16" style="1" customWidth="1"/>
    <col min="8808" max="8811" width="12.42578125" style="1" customWidth="1"/>
    <col min="8812" max="8812" width="17.7109375" style="1" bestFit="1" customWidth="1"/>
    <col min="8813" max="8813" width="12.42578125" style="1" customWidth="1"/>
    <col min="8814" max="8814" width="13.7109375" style="1" customWidth="1"/>
    <col min="8815" max="8815" width="15.5703125" style="1" customWidth="1"/>
    <col min="8816" max="8819" width="13.7109375" style="1" customWidth="1"/>
    <col min="8820" max="8821" width="12.42578125" style="1" customWidth="1"/>
    <col min="8822" max="8822" width="14.85546875" style="1" customWidth="1"/>
    <col min="8823" max="8823" width="12.42578125" style="1" customWidth="1"/>
    <col min="8824" max="8825" width="13.42578125" style="1" customWidth="1"/>
    <col min="8826" max="8826" width="17" style="1" customWidth="1"/>
    <col min="8827" max="8828" width="12.42578125" style="1" customWidth="1"/>
    <col min="8829" max="8829" width="16.42578125" style="1" customWidth="1"/>
    <col min="8830" max="8830" width="12.42578125" style="1" customWidth="1"/>
    <col min="8831" max="8831" width="13.42578125" style="1" customWidth="1"/>
    <col min="8832" max="8832" width="12.42578125" style="1" customWidth="1"/>
    <col min="8833" max="8834" width="11.7109375" style="1" customWidth="1"/>
    <col min="8835" max="8835" width="11.42578125" style="1" customWidth="1"/>
    <col min="8836" max="8836" width="11.7109375" style="1" customWidth="1"/>
    <col min="8837" max="8837" width="11.42578125" style="1" customWidth="1"/>
    <col min="8838" max="8839" width="15.42578125" style="1" customWidth="1"/>
    <col min="8840" max="8840" width="16.140625" style="1" customWidth="1"/>
    <col min="8841" max="8841" width="16.5703125" style="1" customWidth="1"/>
    <col min="8842" max="8842" width="16.7109375" style="1" customWidth="1"/>
    <col min="8843" max="8843" width="15.42578125" style="1" customWidth="1"/>
    <col min="8844" max="8844" width="14.85546875" style="1" customWidth="1"/>
    <col min="8845" max="8845" width="17.140625" style="1" customWidth="1"/>
    <col min="8846" max="8846" width="16.7109375" style="1" customWidth="1"/>
    <col min="8847" max="8847" width="16.5703125" style="1" customWidth="1"/>
    <col min="8848" max="8848" width="16.28515625" style="1" customWidth="1"/>
    <col min="8849" max="8849" width="14.85546875" style="1" customWidth="1"/>
    <col min="8850" max="8850" width="16.140625" style="1" customWidth="1"/>
    <col min="8851" max="8851" width="16" style="1" customWidth="1"/>
    <col min="8852" max="8852" width="15.5703125" style="1" customWidth="1"/>
    <col min="8853" max="8853" width="16.28515625" style="1" customWidth="1"/>
    <col min="8854" max="8854" width="17.140625" style="1" customWidth="1"/>
    <col min="8855" max="8855" width="16.28515625" style="1" customWidth="1"/>
    <col min="8856" max="8856" width="15.7109375" style="1" customWidth="1"/>
    <col min="8857" max="8857" width="15.42578125" style="1" customWidth="1"/>
    <col min="8858" max="8960" width="9.140625" style="1"/>
    <col min="8961" max="8961" width="19.85546875" style="1" customWidth="1"/>
    <col min="8962" max="8962" width="22" style="1" customWidth="1"/>
    <col min="8963" max="8963" width="18.42578125" style="1" bestFit="1" customWidth="1"/>
    <col min="8964" max="8965" width="16.42578125" style="1" customWidth="1"/>
    <col min="8966" max="8966" width="18.85546875" style="1" customWidth="1"/>
    <col min="8967" max="8968" width="15.5703125" style="1" customWidth="1"/>
    <col min="8969" max="8969" width="11.28515625" style="1" customWidth="1"/>
    <col min="8970" max="8970" width="12.7109375" style="1" customWidth="1"/>
    <col min="8971" max="8975" width="14.7109375" style="1" customWidth="1"/>
    <col min="8976" max="8979" width="13.85546875" style="1" customWidth="1"/>
    <col min="8980" max="8980" width="14.28515625" style="1" customWidth="1"/>
    <col min="8981" max="8981" width="13.85546875" style="1" customWidth="1"/>
    <col min="8982" max="8994" width="13.42578125" style="1" customWidth="1"/>
    <col min="8995" max="8995" width="16.85546875" style="1" customWidth="1"/>
    <col min="8996" max="8996" width="12.42578125" style="1" customWidth="1"/>
    <col min="8997" max="8997" width="13.5703125" style="1" customWidth="1"/>
    <col min="8998" max="9001" width="12.42578125" style="1" customWidth="1"/>
    <col min="9002" max="9003" width="13.140625" style="1" customWidth="1"/>
    <col min="9004" max="9038" width="14.42578125" style="1" customWidth="1"/>
    <col min="9039" max="9050" width="12.42578125" style="1" customWidth="1"/>
    <col min="9051" max="9051" width="17.5703125" style="1" customWidth="1"/>
    <col min="9052" max="9052" width="15.140625" style="1" customWidth="1"/>
    <col min="9053" max="9054" width="15.42578125" style="1" customWidth="1"/>
    <col min="9055" max="9056" width="15.5703125" style="1" customWidth="1"/>
    <col min="9057" max="9057" width="17" style="1" customWidth="1"/>
    <col min="9058" max="9058" width="15.5703125" style="1" customWidth="1"/>
    <col min="9059" max="9059" width="17.7109375" style="1" customWidth="1"/>
    <col min="9060" max="9060" width="18.42578125" style="1" customWidth="1"/>
    <col min="9061" max="9061" width="17.5703125" style="1" customWidth="1"/>
    <col min="9062" max="9063" width="16" style="1" customWidth="1"/>
    <col min="9064" max="9067" width="12.42578125" style="1" customWidth="1"/>
    <col min="9068" max="9068" width="17.7109375" style="1" bestFit="1" customWidth="1"/>
    <col min="9069" max="9069" width="12.42578125" style="1" customWidth="1"/>
    <col min="9070" max="9070" width="13.7109375" style="1" customWidth="1"/>
    <col min="9071" max="9071" width="15.5703125" style="1" customWidth="1"/>
    <col min="9072" max="9075" width="13.7109375" style="1" customWidth="1"/>
    <col min="9076" max="9077" width="12.42578125" style="1" customWidth="1"/>
    <col min="9078" max="9078" width="14.85546875" style="1" customWidth="1"/>
    <col min="9079" max="9079" width="12.42578125" style="1" customWidth="1"/>
    <col min="9080" max="9081" width="13.42578125" style="1" customWidth="1"/>
    <col min="9082" max="9082" width="17" style="1" customWidth="1"/>
    <col min="9083" max="9084" width="12.42578125" style="1" customWidth="1"/>
    <col min="9085" max="9085" width="16.42578125" style="1" customWidth="1"/>
    <col min="9086" max="9086" width="12.42578125" style="1" customWidth="1"/>
    <col min="9087" max="9087" width="13.42578125" style="1" customWidth="1"/>
    <col min="9088" max="9088" width="12.42578125" style="1" customWidth="1"/>
    <col min="9089" max="9090" width="11.7109375" style="1" customWidth="1"/>
    <col min="9091" max="9091" width="11.42578125" style="1" customWidth="1"/>
    <col min="9092" max="9092" width="11.7109375" style="1" customWidth="1"/>
    <col min="9093" max="9093" width="11.42578125" style="1" customWidth="1"/>
    <col min="9094" max="9095" width="15.42578125" style="1" customWidth="1"/>
    <col min="9096" max="9096" width="16.140625" style="1" customWidth="1"/>
    <col min="9097" max="9097" width="16.5703125" style="1" customWidth="1"/>
    <col min="9098" max="9098" width="16.7109375" style="1" customWidth="1"/>
    <col min="9099" max="9099" width="15.42578125" style="1" customWidth="1"/>
    <col min="9100" max="9100" width="14.85546875" style="1" customWidth="1"/>
    <col min="9101" max="9101" width="17.140625" style="1" customWidth="1"/>
    <col min="9102" max="9102" width="16.7109375" style="1" customWidth="1"/>
    <col min="9103" max="9103" width="16.5703125" style="1" customWidth="1"/>
    <col min="9104" max="9104" width="16.28515625" style="1" customWidth="1"/>
    <col min="9105" max="9105" width="14.85546875" style="1" customWidth="1"/>
    <col min="9106" max="9106" width="16.140625" style="1" customWidth="1"/>
    <col min="9107" max="9107" width="16" style="1" customWidth="1"/>
    <col min="9108" max="9108" width="15.5703125" style="1" customWidth="1"/>
    <col min="9109" max="9109" width="16.28515625" style="1" customWidth="1"/>
    <col min="9110" max="9110" width="17.140625" style="1" customWidth="1"/>
    <col min="9111" max="9111" width="16.28515625" style="1" customWidth="1"/>
    <col min="9112" max="9112" width="15.7109375" style="1" customWidth="1"/>
    <col min="9113" max="9113" width="15.42578125" style="1" customWidth="1"/>
    <col min="9114" max="9216" width="9.140625" style="1"/>
    <col min="9217" max="9217" width="19.85546875" style="1" customWidth="1"/>
    <col min="9218" max="9218" width="22" style="1" customWidth="1"/>
    <col min="9219" max="9219" width="18.42578125" style="1" bestFit="1" customWidth="1"/>
    <col min="9220" max="9221" width="16.42578125" style="1" customWidth="1"/>
    <col min="9222" max="9222" width="18.85546875" style="1" customWidth="1"/>
    <col min="9223" max="9224" width="15.5703125" style="1" customWidth="1"/>
    <col min="9225" max="9225" width="11.28515625" style="1" customWidth="1"/>
    <col min="9226" max="9226" width="12.7109375" style="1" customWidth="1"/>
    <col min="9227" max="9231" width="14.7109375" style="1" customWidth="1"/>
    <col min="9232" max="9235" width="13.85546875" style="1" customWidth="1"/>
    <col min="9236" max="9236" width="14.28515625" style="1" customWidth="1"/>
    <col min="9237" max="9237" width="13.85546875" style="1" customWidth="1"/>
    <col min="9238" max="9250" width="13.42578125" style="1" customWidth="1"/>
    <col min="9251" max="9251" width="16.85546875" style="1" customWidth="1"/>
    <col min="9252" max="9252" width="12.42578125" style="1" customWidth="1"/>
    <col min="9253" max="9253" width="13.5703125" style="1" customWidth="1"/>
    <col min="9254" max="9257" width="12.42578125" style="1" customWidth="1"/>
    <col min="9258" max="9259" width="13.140625" style="1" customWidth="1"/>
    <col min="9260" max="9294" width="14.42578125" style="1" customWidth="1"/>
    <col min="9295" max="9306" width="12.42578125" style="1" customWidth="1"/>
    <col min="9307" max="9307" width="17.5703125" style="1" customWidth="1"/>
    <col min="9308" max="9308" width="15.140625" style="1" customWidth="1"/>
    <col min="9309" max="9310" width="15.42578125" style="1" customWidth="1"/>
    <col min="9311" max="9312" width="15.5703125" style="1" customWidth="1"/>
    <col min="9313" max="9313" width="17" style="1" customWidth="1"/>
    <col min="9314" max="9314" width="15.5703125" style="1" customWidth="1"/>
    <col min="9315" max="9315" width="17.7109375" style="1" customWidth="1"/>
    <col min="9316" max="9316" width="18.42578125" style="1" customWidth="1"/>
    <col min="9317" max="9317" width="17.5703125" style="1" customWidth="1"/>
    <col min="9318" max="9319" width="16" style="1" customWidth="1"/>
    <col min="9320" max="9323" width="12.42578125" style="1" customWidth="1"/>
    <col min="9324" max="9324" width="17.7109375" style="1" bestFit="1" customWidth="1"/>
    <col min="9325" max="9325" width="12.42578125" style="1" customWidth="1"/>
    <col min="9326" max="9326" width="13.7109375" style="1" customWidth="1"/>
    <col min="9327" max="9327" width="15.5703125" style="1" customWidth="1"/>
    <col min="9328" max="9331" width="13.7109375" style="1" customWidth="1"/>
    <col min="9332" max="9333" width="12.42578125" style="1" customWidth="1"/>
    <col min="9334" max="9334" width="14.85546875" style="1" customWidth="1"/>
    <col min="9335" max="9335" width="12.42578125" style="1" customWidth="1"/>
    <col min="9336" max="9337" width="13.42578125" style="1" customWidth="1"/>
    <col min="9338" max="9338" width="17" style="1" customWidth="1"/>
    <col min="9339" max="9340" width="12.42578125" style="1" customWidth="1"/>
    <col min="9341" max="9341" width="16.42578125" style="1" customWidth="1"/>
    <col min="9342" max="9342" width="12.42578125" style="1" customWidth="1"/>
    <col min="9343" max="9343" width="13.42578125" style="1" customWidth="1"/>
    <col min="9344" max="9344" width="12.42578125" style="1" customWidth="1"/>
    <col min="9345" max="9346" width="11.7109375" style="1" customWidth="1"/>
    <col min="9347" max="9347" width="11.42578125" style="1" customWidth="1"/>
    <col min="9348" max="9348" width="11.7109375" style="1" customWidth="1"/>
    <col min="9349" max="9349" width="11.42578125" style="1" customWidth="1"/>
    <col min="9350" max="9351" width="15.42578125" style="1" customWidth="1"/>
    <col min="9352" max="9352" width="16.140625" style="1" customWidth="1"/>
    <col min="9353" max="9353" width="16.5703125" style="1" customWidth="1"/>
    <col min="9354" max="9354" width="16.7109375" style="1" customWidth="1"/>
    <col min="9355" max="9355" width="15.42578125" style="1" customWidth="1"/>
    <col min="9356" max="9356" width="14.85546875" style="1" customWidth="1"/>
    <col min="9357" max="9357" width="17.140625" style="1" customWidth="1"/>
    <col min="9358" max="9358" width="16.7109375" style="1" customWidth="1"/>
    <col min="9359" max="9359" width="16.5703125" style="1" customWidth="1"/>
    <col min="9360" max="9360" width="16.28515625" style="1" customWidth="1"/>
    <col min="9361" max="9361" width="14.85546875" style="1" customWidth="1"/>
    <col min="9362" max="9362" width="16.140625" style="1" customWidth="1"/>
    <col min="9363" max="9363" width="16" style="1" customWidth="1"/>
    <col min="9364" max="9364" width="15.5703125" style="1" customWidth="1"/>
    <col min="9365" max="9365" width="16.28515625" style="1" customWidth="1"/>
    <col min="9366" max="9366" width="17.140625" style="1" customWidth="1"/>
    <col min="9367" max="9367" width="16.28515625" style="1" customWidth="1"/>
    <col min="9368" max="9368" width="15.7109375" style="1" customWidth="1"/>
    <col min="9369" max="9369" width="15.42578125" style="1" customWidth="1"/>
    <col min="9370" max="9472" width="9.140625" style="1"/>
    <col min="9473" max="9473" width="19.85546875" style="1" customWidth="1"/>
    <col min="9474" max="9474" width="22" style="1" customWidth="1"/>
    <col min="9475" max="9475" width="18.42578125" style="1" bestFit="1" customWidth="1"/>
    <col min="9476" max="9477" width="16.42578125" style="1" customWidth="1"/>
    <col min="9478" max="9478" width="18.85546875" style="1" customWidth="1"/>
    <col min="9479" max="9480" width="15.5703125" style="1" customWidth="1"/>
    <col min="9481" max="9481" width="11.28515625" style="1" customWidth="1"/>
    <col min="9482" max="9482" width="12.7109375" style="1" customWidth="1"/>
    <col min="9483" max="9487" width="14.7109375" style="1" customWidth="1"/>
    <col min="9488" max="9491" width="13.85546875" style="1" customWidth="1"/>
    <col min="9492" max="9492" width="14.28515625" style="1" customWidth="1"/>
    <col min="9493" max="9493" width="13.85546875" style="1" customWidth="1"/>
    <col min="9494" max="9506" width="13.42578125" style="1" customWidth="1"/>
    <col min="9507" max="9507" width="16.85546875" style="1" customWidth="1"/>
    <col min="9508" max="9508" width="12.42578125" style="1" customWidth="1"/>
    <col min="9509" max="9509" width="13.5703125" style="1" customWidth="1"/>
    <col min="9510" max="9513" width="12.42578125" style="1" customWidth="1"/>
    <col min="9514" max="9515" width="13.140625" style="1" customWidth="1"/>
    <col min="9516" max="9550" width="14.42578125" style="1" customWidth="1"/>
    <col min="9551" max="9562" width="12.42578125" style="1" customWidth="1"/>
    <col min="9563" max="9563" width="17.5703125" style="1" customWidth="1"/>
    <col min="9564" max="9564" width="15.140625" style="1" customWidth="1"/>
    <col min="9565" max="9566" width="15.42578125" style="1" customWidth="1"/>
    <col min="9567" max="9568" width="15.5703125" style="1" customWidth="1"/>
    <col min="9569" max="9569" width="17" style="1" customWidth="1"/>
    <col min="9570" max="9570" width="15.5703125" style="1" customWidth="1"/>
    <col min="9571" max="9571" width="17.7109375" style="1" customWidth="1"/>
    <col min="9572" max="9572" width="18.42578125" style="1" customWidth="1"/>
    <col min="9573" max="9573" width="17.5703125" style="1" customWidth="1"/>
    <col min="9574" max="9575" width="16" style="1" customWidth="1"/>
    <col min="9576" max="9579" width="12.42578125" style="1" customWidth="1"/>
    <col min="9580" max="9580" width="17.7109375" style="1" bestFit="1" customWidth="1"/>
    <col min="9581" max="9581" width="12.42578125" style="1" customWidth="1"/>
    <col min="9582" max="9582" width="13.7109375" style="1" customWidth="1"/>
    <col min="9583" max="9583" width="15.5703125" style="1" customWidth="1"/>
    <col min="9584" max="9587" width="13.7109375" style="1" customWidth="1"/>
    <col min="9588" max="9589" width="12.42578125" style="1" customWidth="1"/>
    <col min="9590" max="9590" width="14.85546875" style="1" customWidth="1"/>
    <col min="9591" max="9591" width="12.42578125" style="1" customWidth="1"/>
    <col min="9592" max="9593" width="13.42578125" style="1" customWidth="1"/>
    <col min="9594" max="9594" width="17" style="1" customWidth="1"/>
    <col min="9595" max="9596" width="12.42578125" style="1" customWidth="1"/>
    <col min="9597" max="9597" width="16.42578125" style="1" customWidth="1"/>
    <col min="9598" max="9598" width="12.42578125" style="1" customWidth="1"/>
    <col min="9599" max="9599" width="13.42578125" style="1" customWidth="1"/>
    <col min="9600" max="9600" width="12.42578125" style="1" customWidth="1"/>
    <col min="9601" max="9602" width="11.7109375" style="1" customWidth="1"/>
    <col min="9603" max="9603" width="11.42578125" style="1" customWidth="1"/>
    <col min="9604" max="9604" width="11.7109375" style="1" customWidth="1"/>
    <col min="9605" max="9605" width="11.42578125" style="1" customWidth="1"/>
    <col min="9606" max="9607" width="15.42578125" style="1" customWidth="1"/>
    <col min="9608" max="9608" width="16.140625" style="1" customWidth="1"/>
    <col min="9609" max="9609" width="16.5703125" style="1" customWidth="1"/>
    <col min="9610" max="9610" width="16.7109375" style="1" customWidth="1"/>
    <col min="9611" max="9611" width="15.42578125" style="1" customWidth="1"/>
    <col min="9612" max="9612" width="14.85546875" style="1" customWidth="1"/>
    <col min="9613" max="9613" width="17.140625" style="1" customWidth="1"/>
    <col min="9614" max="9614" width="16.7109375" style="1" customWidth="1"/>
    <col min="9615" max="9615" width="16.5703125" style="1" customWidth="1"/>
    <col min="9616" max="9616" width="16.28515625" style="1" customWidth="1"/>
    <col min="9617" max="9617" width="14.85546875" style="1" customWidth="1"/>
    <col min="9618" max="9618" width="16.140625" style="1" customWidth="1"/>
    <col min="9619" max="9619" width="16" style="1" customWidth="1"/>
    <col min="9620" max="9620" width="15.5703125" style="1" customWidth="1"/>
    <col min="9621" max="9621" width="16.28515625" style="1" customWidth="1"/>
    <col min="9622" max="9622" width="17.140625" style="1" customWidth="1"/>
    <col min="9623" max="9623" width="16.28515625" style="1" customWidth="1"/>
    <col min="9624" max="9624" width="15.7109375" style="1" customWidth="1"/>
    <col min="9625" max="9625" width="15.42578125" style="1" customWidth="1"/>
    <col min="9626" max="9728" width="9.140625" style="1"/>
    <col min="9729" max="9729" width="19.85546875" style="1" customWidth="1"/>
    <col min="9730" max="9730" width="22" style="1" customWidth="1"/>
    <col min="9731" max="9731" width="18.42578125" style="1" bestFit="1" customWidth="1"/>
    <col min="9732" max="9733" width="16.42578125" style="1" customWidth="1"/>
    <col min="9734" max="9734" width="18.85546875" style="1" customWidth="1"/>
    <col min="9735" max="9736" width="15.5703125" style="1" customWidth="1"/>
    <col min="9737" max="9737" width="11.28515625" style="1" customWidth="1"/>
    <col min="9738" max="9738" width="12.7109375" style="1" customWidth="1"/>
    <col min="9739" max="9743" width="14.7109375" style="1" customWidth="1"/>
    <col min="9744" max="9747" width="13.85546875" style="1" customWidth="1"/>
    <col min="9748" max="9748" width="14.28515625" style="1" customWidth="1"/>
    <col min="9749" max="9749" width="13.85546875" style="1" customWidth="1"/>
    <col min="9750" max="9762" width="13.42578125" style="1" customWidth="1"/>
    <col min="9763" max="9763" width="16.85546875" style="1" customWidth="1"/>
    <col min="9764" max="9764" width="12.42578125" style="1" customWidth="1"/>
    <col min="9765" max="9765" width="13.5703125" style="1" customWidth="1"/>
    <col min="9766" max="9769" width="12.42578125" style="1" customWidth="1"/>
    <col min="9770" max="9771" width="13.140625" style="1" customWidth="1"/>
    <col min="9772" max="9806" width="14.42578125" style="1" customWidth="1"/>
    <col min="9807" max="9818" width="12.42578125" style="1" customWidth="1"/>
    <col min="9819" max="9819" width="17.5703125" style="1" customWidth="1"/>
    <col min="9820" max="9820" width="15.140625" style="1" customWidth="1"/>
    <col min="9821" max="9822" width="15.42578125" style="1" customWidth="1"/>
    <col min="9823" max="9824" width="15.5703125" style="1" customWidth="1"/>
    <col min="9825" max="9825" width="17" style="1" customWidth="1"/>
    <col min="9826" max="9826" width="15.5703125" style="1" customWidth="1"/>
    <col min="9827" max="9827" width="17.7109375" style="1" customWidth="1"/>
    <col min="9828" max="9828" width="18.42578125" style="1" customWidth="1"/>
    <col min="9829" max="9829" width="17.5703125" style="1" customWidth="1"/>
    <col min="9830" max="9831" width="16" style="1" customWidth="1"/>
    <col min="9832" max="9835" width="12.42578125" style="1" customWidth="1"/>
    <col min="9836" max="9836" width="17.7109375" style="1" bestFit="1" customWidth="1"/>
    <col min="9837" max="9837" width="12.42578125" style="1" customWidth="1"/>
    <col min="9838" max="9838" width="13.7109375" style="1" customWidth="1"/>
    <col min="9839" max="9839" width="15.5703125" style="1" customWidth="1"/>
    <col min="9840" max="9843" width="13.7109375" style="1" customWidth="1"/>
    <col min="9844" max="9845" width="12.42578125" style="1" customWidth="1"/>
    <col min="9846" max="9846" width="14.85546875" style="1" customWidth="1"/>
    <col min="9847" max="9847" width="12.42578125" style="1" customWidth="1"/>
    <col min="9848" max="9849" width="13.42578125" style="1" customWidth="1"/>
    <col min="9850" max="9850" width="17" style="1" customWidth="1"/>
    <col min="9851" max="9852" width="12.42578125" style="1" customWidth="1"/>
    <col min="9853" max="9853" width="16.42578125" style="1" customWidth="1"/>
    <col min="9854" max="9854" width="12.42578125" style="1" customWidth="1"/>
    <col min="9855" max="9855" width="13.42578125" style="1" customWidth="1"/>
    <col min="9856" max="9856" width="12.42578125" style="1" customWidth="1"/>
    <col min="9857" max="9858" width="11.7109375" style="1" customWidth="1"/>
    <col min="9859" max="9859" width="11.42578125" style="1" customWidth="1"/>
    <col min="9860" max="9860" width="11.7109375" style="1" customWidth="1"/>
    <col min="9861" max="9861" width="11.42578125" style="1" customWidth="1"/>
    <col min="9862" max="9863" width="15.42578125" style="1" customWidth="1"/>
    <col min="9864" max="9864" width="16.140625" style="1" customWidth="1"/>
    <col min="9865" max="9865" width="16.5703125" style="1" customWidth="1"/>
    <col min="9866" max="9866" width="16.7109375" style="1" customWidth="1"/>
    <col min="9867" max="9867" width="15.42578125" style="1" customWidth="1"/>
    <col min="9868" max="9868" width="14.85546875" style="1" customWidth="1"/>
    <col min="9869" max="9869" width="17.140625" style="1" customWidth="1"/>
    <col min="9870" max="9870" width="16.7109375" style="1" customWidth="1"/>
    <col min="9871" max="9871" width="16.5703125" style="1" customWidth="1"/>
    <col min="9872" max="9872" width="16.28515625" style="1" customWidth="1"/>
    <col min="9873" max="9873" width="14.85546875" style="1" customWidth="1"/>
    <col min="9874" max="9874" width="16.140625" style="1" customWidth="1"/>
    <col min="9875" max="9875" width="16" style="1" customWidth="1"/>
    <col min="9876" max="9876" width="15.5703125" style="1" customWidth="1"/>
    <col min="9877" max="9877" width="16.28515625" style="1" customWidth="1"/>
    <col min="9878" max="9878" width="17.140625" style="1" customWidth="1"/>
    <col min="9879" max="9879" width="16.28515625" style="1" customWidth="1"/>
    <col min="9880" max="9880" width="15.7109375" style="1" customWidth="1"/>
    <col min="9881" max="9881" width="15.42578125" style="1" customWidth="1"/>
    <col min="9882" max="9984" width="9.140625" style="1"/>
    <col min="9985" max="9985" width="19.85546875" style="1" customWidth="1"/>
    <col min="9986" max="9986" width="22" style="1" customWidth="1"/>
    <col min="9987" max="9987" width="18.42578125" style="1" bestFit="1" customWidth="1"/>
    <col min="9988" max="9989" width="16.42578125" style="1" customWidth="1"/>
    <col min="9990" max="9990" width="18.85546875" style="1" customWidth="1"/>
    <col min="9991" max="9992" width="15.5703125" style="1" customWidth="1"/>
    <col min="9993" max="9993" width="11.28515625" style="1" customWidth="1"/>
    <col min="9994" max="9994" width="12.7109375" style="1" customWidth="1"/>
    <col min="9995" max="9999" width="14.7109375" style="1" customWidth="1"/>
    <col min="10000" max="10003" width="13.85546875" style="1" customWidth="1"/>
    <col min="10004" max="10004" width="14.28515625" style="1" customWidth="1"/>
    <col min="10005" max="10005" width="13.85546875" style="1" customWidth="1"/>
    <col min="10006" max="10018" width="13.42578125" style="1" customWidth="1"/>
    <col min="10019" max="10019" width="16.85546875" style="1" customWidth="1"/>
    <col min="10020" max="10020" width="12.42578125" style="1" customWidth="1"/>
    <col min="10021" max="10021" width="13.5703125" style="1" customWidth="1"/>
    <col min="10022" max="10025" width="12.42578125" style="1" customWidth="1"/>
    <col min="10026" max="10027" width="13.140625" style="1" customWidth="1"/>
    <col min="10028" max="10062" width="14.42578125" style="1" customWidth="1"/>
    <col min="10063" max="10074" width="12.42578125" style="1" customWidth="1"/>
    <col min="10075" max="10075" width="17.5703125" style="1" customWidth="1"/>
    <col min="10076" max="10076" width="15.140625" style="1" customWidth="1"/>
    <col min="10077" max="10078" width="15.42578125" style="1" customWidth="1"/>
    <col min="10079" max="10080" width="15.5703125" style="1" customWidth="1"/>
    <col min="10081" max="10081" width="17" style="1" customWidth="1"/>
    <col min="10082" max="10082" width="15.5703125" style="1" customWidth="1"/>
    <col min="10083" max="10083" width="17.7109375" style="1" customWidth="1"/>
    <col min="10084" max="10084" width="18.42578125" style="1" customWidth="1"/>
    <col min="10085" max="10085" width="17.5703125" style="1" customWidth="1"/>
    <col min="10086" max="10087" width="16" style="1" customWidth="1"/>
    <col min="10088" max="10091" width="12.42578125" style="1" customWidth="1"/>
    <col min="10092" max="10092" width="17.7109375" style="1" bestFit="1" customWidth="1"/>
    <col min="10093" max="10093" width="12.42578125" style="1" customWidth="1"/>
    <col min="10094" max="10094" width="13.7109375" style="1" customWidth="1"/>
    <col min="10095" max="10095" width="15.5703125" style="1" customWidth="1"/>
    <col min="10096" max="10099" width="13.7109375" style="1" customWidth="1"/>
    <col min="10100" max="10101" width="12.42578125" style="1" customWidth="1"/>
    <col min="10102" max="10102" width="14.85546875" style="1" customWidth="1"/>
    <col min="10103" max="10103" width="12.42578125" style="1" customWidth="1"/>
    <col min="10104" max="10105" width="13.42578125" style="1" customWidth="1"/>
    <col min="10106" max="10106" width="17" style="1" customWidth="1"/>
    <col min="10107" max="10108" width="12.42578125" style="1" customWidth="1"/>
    <col min="10109" max="10109" width="16.42578125" style="1" customWidth="1"/>
    <col min="10110" max="10110" width="12.42578125" style="1" customWidth="1"/>
    <col min="10111" max="10111" width="13.42578125" style="1" customWidth="1"/>
    <col min="10112" max="10112" width="12.42578125" style="1" customWidth="1"/>
    <col min="10113" max="10114" width="11.7109375" style="1" customWidth="1"/>
    <col min="10115" max="10115" width="11.42578125" style="1" customWidth="1"/>
    <col min="10116" max="10116" width="11.7109375" style="1" customWidth="1"/>
    <col min="10117" max="10117" width="11.42578125" style="1" customWidth="1"/>
    <col min="10118" max="10119" width="15.42578125" style="1" customWidth="1"/>
    <col min="10120" max="10120" width="16.140625" style="1" customWidth="1"/>
    <col min="10121" max="10121" width="16.5703125" style="1" customWidth="1"/>
    <col min="10122" max="10122" width="16.7109375" style="1" customWidth="1"/>
    <col min="10123" max="10123" width="15.42578125" style="1" customWidth="1"/>
    <col min="10124" max="10124" width="14.85546875" style="1" customWidth="1"/>
    <col min="10125" max="10125" width="17.140625" style="1" customWidth="1"/>
    <col min="10126" max="10126" width="16.7109375" style="1" customWidth="1"/>
    <col min="10127" max="10127" width="16.5703125" style="1" customWidth="1"/>
    <col min="10128" max="10128" width="16.28515625" style="1" customWidth="1"/>
    <col min="10129" max="10129" width="14.85546875" style="1" customWidth="1"/>
    <col min="10130" max="10130" width="16.140625" style="1" customWidth="1"/>
    <col min="10131" max="10131" width="16" style="1" customWidth="1"/>
    <col min="10132" max="10132" width="15.5703125" style="1" customWidth="1"/>
    <col min="10133" max="10133" width="16.28515625" style="1" customWidth="1"/>
    <col min="10134" max="10134" width="17.140625" style="1" customWidth="1"/>
    <col min="10135" max="10135" width="16.28515625" style="1" customWidth="1"/>
    <col min="10136" max="10136" width="15.7109375" style="1" customWidth="1"/>
    <col min="10137" max="10137" width="15.42578125" style="1" customWidth="1"/>
    <col min="10138" max="10240" width="9.140625" style="1"/>
    <col min="10241" max="10241" width="19.85546875" style="1" customWidth="1"/>
    <col min="10242" max="10242" width="22" style="1" customWidth="1"/>
    <col min="10243" max="10243" width="18.42578125" style="1" bestFit="1" customWidth="1"/>
    <col min="10244" max="10245" width="16.42578125" style="1" customWidth="1"/>
    <col min="10246" max="10246" width="18.85546875" style="1" customWidth="1"/>
    <col min="10247" max="10248" width="15.5703125" style="1" customWidth="1"/>
    <col min="10249" max="10249" width="11.28515625" style="1" customWidth="1"/>
    <col min="10250" max="10250" width="12.7109375" style="1" customWidth="1"/>
    <col min="10251" max="10255" width="14.7109375" style="1" customWidth="1"/>
    <col min="10256" max="10259" width="13.85546875" style="1" customWidth="1"/>
    <col min="10260" max="10260" width="14.28515625" style="1" customWidth="1"/>
    <col min="10261" max="10261" width="13.85546875" style="1" customWidth="1"/>
    <col min="10262" max="10274" width="13.42578125" style="1" customWidth="1"/>
    <col min="10275" max="10275" width="16.85546875" style="1" customWidth="1"/>
    <col min="10276" max="10276" width="12.42578125" style="1" customWidth="1"/>
    <col min="10277" max="10277" width="13.5703125" style="1" customWidth="1"/>
    <col min="10278" max="10281" width="12.42578125" style="1" customWidth="1"/>
    <col min="10282" max="10283" width="13.140625" style="1" customWidth="1"/>
    <col min="10284" max="10318" width="14.42578125" style="1" customWidth="1"/>
    <col min="10319" max="10330" width="12.42578125" style="1" customWidth="1"/>
    <col min="10331" max="10331" width="17.5703125" style="1" customWidth="1"/>
    <col min="10332" max="10332" width="15.140625" style="1" customWidth="1"/>
    <col min="10333" max="10334" width="15.42578125" style="1" customWidth="1"/>
    <col min="10335" max="10336" width="15.5703125" style="1" customWidth="1"/>
    <col min="10337" max="10337" width="17" style="1" customWidth="1"/>
    <col min="10338" max="10338" width="15.5703125" style="1" customWidth="1"/>
    <col min="10339" max="10339" width="17.7109375" style="1" customWidth="1"/>
    <col min="10340" max="10340" width="18.42578125" style="1" customWidth="1"/>
    <col min="10341" max="10341" width="17.5703125" style="1" customWidth="1"/>
    <col min="10342" max="10343" width="16" style="1" customWidth="1"/>
    <col min="10344" max="10347" width="12.42578125" style="1" customWidth="1"/>
    <col min="10348" max="10348" width="17.7109375" style="1" bestFit="1" customWidth="1"/>
    <col min="10349" max="10349" width="12.42578125" style="1" customWidth="1"/>
    <col min="10350" max="10350" width="13.7109375" style="1" customWidth="1"/>
    <col min="10351" max="10351" width="15.5703125" style="1" customWidth="1"/>
    <col min="10352" max="10355" width="13.7109375" style="1" customWidth="1"/>
    <col min="10356" max="10357" width="12.42578125" style="1" customWidth="1"/>
    <col min="10358" max="10358" width="14.85546875" style="1" customWidth="1"/>
    <col min="10359" max="10359" width="12.42578125" style="1" customWidth="1"/>
    <col min="10360" max="10361" width="13.42578125" style="1" customWidth="1"/>
    <col min="10362" max="10362" width="17" style="1" customWidth="1"/>
    <col min="10363" max="10364" width="12.42578125" style="1" customWidth="1"/>
    <col min="10365" max="10365" width="16.42578125" style="1" customWidth="1"/>
    <col min="10366" max="10366" width="12.42578125" style="1" customWidth="1"/>
    <col min="10367" max="10367" width="13.42578125" style="1" customWidth="1"/>
    <col min="10368" max="10368" width="12.42578125" style="1" customWidth="1"/>
    <col min="10369" max="10370" width="11.7109375" style="1" customWidth="1"/>
    <col min="10371" max="10371" width="11.42578125" style="1" customWidth="1"/>
    <col min="10372" max="10372" width="11.7109375" style="1" customWidth="1"/>
    <col min="10373" max="10373" width="11.42578125" style="1" customWidth="1"/>
    <col min="10374" max="10375" width="15.42578125" style="1" customWidth="1"/>
    <col min="10376" max="10376" width="16.140625" style="1" customWidth="1"/>
    <col min="10377" max="10377" width="16.5703125" style="1" customWidth="1"/>
    <col min="10378" max="10378" width="16.7109375" style="1" customWidth="1"/>
    <col min="10379" max="10379" width="15.42578125" style="1" customWidth="1"/>
    <col min="10380" max="10380" width="14.85546875" style="1" customWidth="1"/>
    <col min="10381" max="10381" width="17.140625" style="1" customWidth="1"/>
    <col min="10382" max="10382" width="16.7109375" style="1" customWidth="1"/>
    <col min="10383" max="10383" width="16.5703125" style="1" customWidth="1"/>
    <col min="10384" max="10384" width="16.28515625" style="1" customWidth="1"/>
    <col min="10385" max="10385" width="14.85546875" style="1" customWidth="1"/>
    <col min="10386" max="10386" width="16.140625" style="1" customWidth="1"/>
    <col min="10387" max="10387" width="16" style="1" customWidth="1"/>
    <col min="10388" max="10388" width="15.5703125" style="1" customWidth="1"/>
    <col min="10389" max="10389" width="16.28515625" style="1" customWidth="1"/>
    <col min="10390" max="10390" width="17.140625" style="1" customWidth="1"/>
    <col min="10391" max="10391" width="16.28515625" style="1" customWidth="1"/>
    <col min="10392" max="10392" width="15.7109375" style="1" customWidth="1"/>
    <col min="10393" max="10393" width="15.42578125" style="1" customWidth="1"/>
    <col min="10394" max="10496" width="9.140625" style="1"/>
    <col min="10497" max="10497" width="19.85546875" style="1" customWidth="1"/>
    <col min="10498" max="10498" width="22" style="1" customWidth="1"/>
    <col min="10499" max="10499" width="18.42578125" style="1" bestFit="1" customWidth="1"/>
    <col min="10500" max="10501" width="16.42578125" style="1" customWidth="1"/>
    <col min="10502" max="10502" width="18.85546875" style="1" customWidth="1"/>
    <col min="10503" max="10504" width="15.5703125" style="1" customWidth="1"/>
    <col min="10505" max="10505" width="11.28515625" style="1" customWidth="1"/>
    <col min="10506" max="10506" width="12.7109375" style="1" customWidth="1"/>
    <col min="10507" max="10511" width="14.7109375" style="1" customWidth="1"/>
    <col min="10512" max="10515" width="13.85546875" style="1" customWidth="1"/>
    <col min="10516" max="10516" width="14.28515625" style="1" customWidth="1"/>
    <col min="10517" max="10517" width="13.85546875" style="1" customWidth="1"/>
    <col min="10518" max="10530" width="13.42578125" style="1" customWidth="1"/>
    <col min="10531" max="10531" width="16.85546875" style="1" customWidth="1"/>
    <col min="10532" max="10532" width="12.42578125" style="1" customWidth="1"/>
    <col min="10533" max="10533" width="13.5703125" style="1" customWidth="1"/>
    <col min="10534" max="10537" width="12.42578125" style="1" customWidth="1"/>
    <col min="10538" max="10539" width="13.140625" style="1" customWidth="1"/>
    <col min="10540" max="10574" width="14.42578125" style="1" customWidth="1"/>
    <col min="10575" max="10586" width="12.42578125" style="1" customWidth="1"/>
    <col min="10587" max="10587" width="17.5703125" style="1" customWidth="1"/>
    <col min="10588" max="10588" width="15.140625" style="1" customWidth="1"/>
    <col min="10589" max="10590" width="15.42578125" style="1" customWidth="1"/>
    <col min="10591" max="10592" width="15.5703125" style="1" customWidth="1"/>
    <col min="10593" max="10593" width="17" style="1" customWidth="1"/>
    <col min="10594" max="10594" width="15.5703125" style="1" customWidth="1"/>
    <col min="10595" max="10595" width="17.7109375" style="1" customWidth="1"/>
    <col min="10596" max="10596" width="18.42578125" style="1" customWidth="1"/>
    <col min="10597" max="10597" width="17.5703125" style="1" customWidth="1"/>
    <col min="10598" max="10599" width="16" style="1" customWidth="1"/>
    <col min="10600" max="10603" width="12.42578125" style="1" customWidth="1"/>
    <col min="10604" max="10604" width="17.7109375" style="1" bestFit="1" customWidth="1"/>
    <col min="10605" max="10605" width="12.42578125" style="1" customWidth="1"/>
    <col min="10606" max="10606" width="13.7109375" style="1" customWidth="1"/>
    <col min="10607" max="10607" width="15.5703125" style="1" customWidth="1"/>
    <col min="10608" max="10611" width="13.7109375" style="1" customWidth="1"/>
    <col min="10612" max="10613" width="12.42578125" style="1" customWidth="1"/>
    <col min="10614" max="10614" width="14.85546875" style="1" customWidth="1"/>
    <col min="10615" max="10615" width="12.42578125" style="1" customWidth="1"/>
    <col min="10616" max="10617" width="13.42578125" style="1" customWidth="1"/>
    <col min="10618" max="10618" width="17" style="1" customWidth="1"/>
    <col min="10619" max="10620" width="12.42578125" style="1" customWidth="1"/>
    <col min="10621" max="10621" width="16.42578125" style="1" customWidth="1"/>
    <col min="10622" max="10622" width="12.42578125" style="1" customWidth="1"/>
    <col min="10623" max="10623" width="13.42578125" style="1" customWidth="1"/>
    <col min="10624" max="10624" width="12.42578125" style="1" customWidth="1"/>
    <col min="10625" max="10626" width="11.7109375" style="1" customWidth="1"/>
    <col min="10627" max="10627" width="11.42578125" style="1" customWidth="1"/>
    <col min="10628" max="10628" width="11.7109375" style="1" customWidth="1"/>
    <col min="10629" max="10629" width="11.42578125" style="1" customWidth="1"/>
    <col min="10630" max="10631" width="15.42578125" style="1" customWidth="1"/>
    <col min="10632" max="10632" width="16.140625" style="1" customWidth="1"/>
    <col min="10633" max="10633" width="16.5703125" style="1" customWidth="1"/>
    <col min="10634" max="10634" width="16.7109375" style="1" customWidth="1"/>
    <col min="10635" max="10635" width="15.42578125" style="1" customWidth="1"/>
    <col min="10636" max="10636" width="14.85546875" style="1" customWidth="1"/>
    <col min="10637" max="10637" width="17.140625" style="1" customWidth="1"/>
    <col min="10638" max="10638" width="16.7109375" style="1" customWidth="1"/>
    <col min="10639" max="10639" width="16.5703125" style="1" customWidth="1"/>
    <col min="10640" max="10640" width="16.28515625" style="1" customWidth="1"/>
    <col min="10641" max="10641" width="14.85546875" style="1" customWidth="1"/>
    <col min="10642" max="10642" width="16.140625" style="1" customWidth="1"/>
    <col min="10643" max="10643" width="16" style="1" customWidth="1"/>
    <col min="10644" max="10644" width="15.5703125" style="1" customWidth="1"/>
    <col min="10645" max="10645" width="16.28515625" style="1" customWidth="1"/>
    <col min="10646" max="10646" width="17.140625" style="1" customWidth="1"/>
    <col min="10647" max="10647" width="16.28515625" style="1" customWidth="1"/>
    <col min="10648" max="10648" width="15.7109375" style="1" customWidth="1"/>
    <col min="10649" max="10649" width="15.42578125" style="1" customWidth="1"/>
    <col min="10650" max="10752" width="9.140625" style="1"/>
    <col min="10753" max="10753" width="19.85546875" style="1" customWidth="1"/>
    <col min="10754" max="10754" width="22" style="1" customWidth="1"/>
    <col min="10755" max="10755" width="18.42578125" style="1" bestFit="1" customWidth="1"/>
    <col min="10756" max="10757" width="16.42578125" style="1" customWidth="1"/>
    <col min="10758" max="10758" width="18.85546875" style="1" customWidth="1"/>
    <col min="10759" max="10760" width="15.5703125" style="1" customWidth="1"/>
    <col min="10761" max="10761" width="11.28515625" style="1" customWidth="1"/>
    <col min="10762" max="10762" width="12.7109375" style="1" customWidth="1"/>
    <col min="10763" max="10767" width="14.7109375" style="1" customWidth="1"/>
    <col min="10768" max="10771" width="13.85546875" style="1" customWidth="1"/>
    <col min="10772" max="10772" width="14.28515625" style="1" customWidth="1"/>
    <col min="10773" max="10773" width="13.85546875" style="1" customWidth="1"/>
    <col min="10774" max="10786" width="13.42578125" style="1" customWidth="1"/>
    <col min="10787" max="10787" width="16.85546875" style="1" customWidth="1"/>
    <col min="10788" max="10788" width="12.42578125" style="1" customWidth="1"/>
    <col min="10789" max="10789" width="13.5703125" style="1" customWidth="1"/>
    <col min="10790" max="10793" width="12.42578125" style="1" customWidth="1"/>
    <col min="10794" max="10795" width="13.140625" style="1" customWidth="1"/>
    <col min="10796" max="10830" width="14.42578125" style="1" customWidth="1"/>
    <col min="10831" max="10842" width="12.42578125" style="1" customWidth="1"/>
    <col min="10843" max="10843" width="17.5703125" style="1" customWidth="1"/>
    <col min="10844" max="10844" width="15.140625" style="1" customWidth="1"/>
    <col min="10845" max="10846" width="15.42578125" style="1" customWidth="1"/>
    <col min="10847" max="10848" width="15.5703125" style="1" customWidth="1"/>
    <col min="10849" max="10849" width="17" style="1" customWidth="1"/>
    <col min="10850" max="10850" width="15.5703125" style="1" customWidth="1"/>
    <col min="10851" max="10851" width="17.7109375" style="1" customWidth="1"/>
    <col min="10852" max="10852" width="18.42578125" style="1" customWidth="1"/>
    <col min="10853" max="10853" width="17.5703125" style="1" customWidth="1"/>
    <col min="10854" max="10855" width="16" style="1" customWidth="1"/>
    <col min="10856" max="10859" width="12.42578125" style="1" customWidth="1"/>
    <col min="10860" max="10860" width="17.7109375" style="1" bestFit="1" customWidth="1"/>
    <col min="10861" max="10861" width="12.42578125" style="1" customWidth="1"/>
    <col min="10862" max="10862" width="13.7109375" style="1" customWidth="1"/>
    <col min="10863" max="10863" width="15.5703125" style="1" customWidth="1"/>
    <col min="10864" max="10867" width="13.7109375" style="1" customWidth="1"/>
    <col min="10868" max="10869" width="12.42578125" style="1" customWidth="1"/>
    <col min="10870" max="10870" width="14.85546875" style="1" customWidth="1"/>
    <col min="10871" max="10871" width="12.42578125" style="1" customWidth="1"/>
    <col min="10872" max="10873" width="13.42578125" style="1" customWidth="1"/>
    <col min="10874" max="10874" width="17" style="1" customWidth="1"/>
    <col min="10875" max="10876" width="12.42578125" style="1" customWidth="1"/>
    <col min="10877" max="10877" width="16.42578125" style="1" customWidth="1"/>
    <col min="10878" max="10878" width="12.42578125" style="1" customWidth="1"/>
    <col min="10879" max="10879" width="13.42578125" style="1" customWidth="1"/>
    <col min="10880" max="10880" width="12.42578125" style="1" customWidth="1"/>
    <col min="10881" max="10882" width="11.7109375" style="1" customWidth="1"/>
    <col min="10883" max="10883" width="11.42578125" style="1" customWidth="1"/>
    <col min="10884" max="10884" width="11.7109375" style="1" customWidth="1"/>
    <col min="10885" max="10885" width="11.42578125" style="1" customWidth="1"/>
    <col min="10886" max="10887" width="15.42578125" style="1" customWidth="1"/>
    <col min="10888" max="10888" width="16.140625" style="1" customWidth="1"/>
    <col min="10889" max="10889" width="16.5703125" style="1" customWidth="1"/>
    <col min="10890" max="10890" width="16.7109375" style="1" customWidth="1"/>
    <col min="10891" max="10891" width="15.42578125" style="1" customWidth="1"/>
    <col min="10892" max="10892" width="14.85546875" style="1" customWidth="1"/>
    <col min="10893" max="10893" width="17.140625" style="1" customWidth="1"/>
    <col min="10894" max="10894" width="16.7109375" style="1" customWidth="1"/>
    <col min="10895" max="10895" width="16.5703125" style="1" customWidth="1"/>
    <col min="10896" max="10896" width="16.28515625" style="1" customWidth="1"/>
    <col min="10897" max="10897" width="14.85546875" style="1" customWidth="1"/>
    <col min="10898" max="10898" width="16.140625" style="1" customWidth="1"/>
    <col min="10899" max="10899" width="16" style="1" customWidth="1"/>
    <col min="10900" max="10900" width="15.5703125" style="1" customWidth="1"/>
    <col min="10901" max="10901" width="16.28515625" style="1" customWidth="1"/>
    <col min="10902" max="10902" width="17.140625" style="1" customWidth="1"/>
    <col min="10903" max="10903" width="16.28515625" style="1" customWidth="1"/>
    <col min="10904" max="10904" width="15.7109375" style="1" customWidth="1"/>
    <col min="10905" max="10905" width="15.42578125" style="1" customWidth="1"/>
    <col min="10906" max="11008" width="9.140625" style="1"/>
    <col min="11009" max="11009" width="19.85546875" style="1" customWidth="1"/>
    <col min="11010" max="11010" width="22" style="1" customWidth="1"/>
    <col min="11011" max="11011" width="18.42578125" style="1" bestFit="1" customWidth="1"/>
    <col min="11012" max="11013" width="16.42578125" style="1" customWidth="1"/>
    <col min="11014" max="11014" width="18.85546875" style="1" customWidth="1"/>
    <col min="11015" max="11016" width="15.5703125" style="1" customWidth="1"/>
    <col min="11017" max="11017" width="11.28515625" style="1" customWidth="1"/>
    <col min="11018" max="11018" width="12.7109375" style="1" customWidth="1"/>
    <col min="11019" max="11023" width="14.7109375" style="1" customWidth="1"/>
    <col min="11024" max="11027" width="13.85546875" style="1" customWidth="1"/>
    <col min="11028" max="11028" width="14.28515625" style="1" customWidth="1"/>
    <col min="11029" max="11029" width="13.85546875" style="1" customWidth="1"/>
    <col min="11030" max="11042" width="13.42578125" style="1" customWidth="1"/>
    <col min="11043" max="11043" width="16.85546875" style="1" customWidth="1"/>
    <col min="11044" max="11044" width="12.42578125" style="1" customWidth="1"/>
    <col min="11045" max="11045" width="13.5703125" style="1" customWidth="1"/>
    <col min="11046" max="11049" width="12.42578125" style="1" customWidth="1"/>
    <col min="11050" max="11051" width="13.140625" style="1" customWidth="1"/>
    <col min="11052" max="11086" width="14.42578125" style="1" customWidth="1"/>
    <col min="11087" max="11098" width="12.42578125" style="1" customWidth="1"/>
    <col min="11099" max="11099" width="17.5703125" style="1" customWidth="1"/>
    <col min="11100" max="11100" width="15.140625" style="1" customWidth="1"/>
    <col min="11101" max="11102" width="15.42578125" style="1" customWidth="1"/>
    <col min="11103" max="11104" width="15.5703125" style="1" customWidth="1"/>
    <col min="11105" max="11105" width="17" style="1" customWidth="1"/>
    <col min="11106" max="11106" width="15.5703125" style="1" customWidth="1"/>
    <col min="11107" max="11107" width="17.7109375" style="1" customWidth="1"/>
    <col min="11108" max="11108" width="18.42578125" style="1" customWidth="1"/>
    <col min="11109" max="11109" width="17.5703125" style="1" customWidth="1"/>
    <col min="11110" max="11111" width="16" style="1" customWidth="1"/>
    <col min="11112" max="11115" width="12.42578125" style="1" customWidth="1"/>
    <col min="11116" max="11116" width="17.7109375" style="1" bestFit="1" customWidth="1"/>
    <col min="11117" max="11117" width="12.42578125" style="1" customWidth="1"/>
    <col min="11118" max="11118" width="13.7109375" style="1" customWidth="1"/>
    <col min="11119" max="11119" width="15.5703125" style="1" customWidth="1"/>
    <col min="11120" max="11123" width="13.7109375" style="1" customWidth="1"/>
    <col min="11124" max="11125" width="12.42578125" style="1" customWidth="1"/>
    <col min="11126" max="11126" width="14.85546875" style="1" customWidth="1"/>
    <col min="11127" max="11127" width="12.42578125" style="1" customWidth="1"/>
    <col min="11128" max="11129" width="13.42578125" style="1" customWidth="1"/>
    <col min="11130" max="11130" width="17" style="1" customWidth="1"/>
    <col min="11131" max="11132" width="12.42578125" style="1" customWidth="1"/>
    <col min="11133" max="11133" width="16.42578125" style="1" customWidth="1"/>
    <col min="11134" max="11134" width="12.42578125" style="1" customWidth="1"/>
    <col min="11135" max="11135" width="13.42578125" style="1" customWidth="1"/>
    <col min="11136" max="11136" width="12.42578125" style="1" customWidth="1"/>
    <col min="11137" max="11138" width="11.7109375" style="1" customWidth="1"/>
    <col min="11139" max="11139" width="11.42578125" style="1" customWidth="1"/>
    <col min="11140" max="11140" width="11.7109375" style="1" customWidth="1"/>
    <col min="11141" max="11141" width="11.42578125" style="1" customWidth="1"/>
    <col min="11142" max="11143" width="15.42578125" style="1" customWidth="1"/>
    <col min="11144" max="11144" width="16.140625" style="1" customWidth="1"/>
    <col min="11145" max="11145" width="16.5703125" style="1" customWidth="1"/>
    <col min="11146" max="11146" width="16.7109375" style="1" customWidth="1"/>
    <col min="11147" max="11147" width="15.42578125" style="1" customWidth="1"/>
    <col min="11148" max="11148" width="14.85546875" style="1" customWidth="1"/>
    <col min="11149" max="11149" width="17.140625" style="1" customWidth="1"/>
    <col min="11150" max="11150" width="16.7109375" style="1" customWidth="1"/>
    <col min="11151" max="11151" width="16.5703125" style="1" customWidth="1"/>
    <col min="11152" max="11152" width="16.28515625" style="1" customWidth="1"/>
    <col min="11153" max="11153" width="14.85546875" style="1" customWidth="1"/>
    <col min="11154" max="11154" width="16.140625" style="1" customWidth="1"/>
    <col min="11155" max="11155" width="16" style="1" customWidth="1"/>
    <col min="11156" max="11156" width="15.5703125" style="1" customWidth="1"/>
    <col min="11157" max="11157" width="16.28515625" style="1" customWidth="1"/>
    <col min="11158" max="11158" width="17.140625" style="1" customWidth="1"/>
    <col min="11159" max="11159" width="16.28515625" style="1" customWidth="1"/>
    <col min="11160" max="11160" width="15.7109375" style="1" customWidth="1"/>
    <col min="11161" max="11161" width="15.42578125" style="1" customWidth="1"/>
    <col min="11162" max="11264" width="9.140625" style="1"/>
    <col min="11265" max="11265" width="19.85546875" style="1" customWidth="1"/>
    <col min="11266" max="11266" width="22" style="1" customWidth="1"/>
    <col min="11267" max="11267" width="18.42578125" style="1" bestFit="1" customWidth="1"/>
    <col min="11268" max="11269" width="16.42578125" style="1" customWidth="1"/>
    <col min="11270" max="11270" width="18.85546875" style="1" customWidth="1"/>
    <col min="11271" max="11272" width="15.5703125" style="1" customWidth="1"/>
    <col min="11273" max="11273" width="11.28515625" style="1" customWidth="1"/>
    <col min="11274" max="11274" width="12.7109375" style="1" customWidth="1"/>
    <col min="11275" max="11279" width="14.7109375" style="1" customWidth="1"/>
    <col min="11280" max="11283" width="13.85546875" style="1" customWidth="1"/>
    <col min="11284" max="11284" width="14.28515625" style="1" customWidth="1"/>
    <col min="11285" max="11285" width="13.85546875" style="1" customWidth="1"/>
    <col min="11286" max="11298" width="13.42578125" style="1" customWidth="1"/>
    <col min="11299" max="11299" width="16.85546875" style="1" customWidth="1"/>
    <col min="11300" max="11300" width="12.42578125" style="1" customWidth="1"/>
    <col min="11301" max="11301" width="13.5703125" style="1" customWidth="1"/>
    <col min="11302" max="11305" width="12.42578125" style="1" customWidth="1"/>
    <col min="11306" max="11307" width="13.140625" style="1" customWidth="1"/>
    <col min="11308" max="11342" width="14.42578125" style="1" customWidth="1"/>
    <col min="11343" max="11354" width="12.42578125" style="1" customWidth="1"/>
    <col min="11355" max="11355" width="17.5703125" style="1" customWidth="1"/>
    <col min="11356" max="11356" width="15.140625" style="1" customWidth="1"/>
    <col min="11357" max="11358" width="15.42578125" style="1" customWidth="1"/>
    <col min="11359" max="11360" width="15.5703125" style="1" customWidth="1"/>
    <col min="11361" max="11361" width="17" style="1" customWidth="1"/>
    <col min="11362" max="11362" width="15.5703125" style="1" customWidth="1"/>
    <col min="11363" max="11363" width="17.7109375" style="1" customWidth="1"/>
    <col min="11364" max="11364" width="18.42578125" style="1" customWidth="1"/>
    <col min="11365" max="11365" width="17.5703125" style="1" customWidth="1"/>
    <col min="11366" max="11367" width="16" style="1" customWidth="1"/>
    <col min="11368" max="11371" width="12.42578125" style="1" customWidth="1"/>
    <col min="11372" max="11372" width="17.7109375" style="1" bestFit="1" customWidth="1"/>
    <col min="11373" max="11373" width="12.42578125" style="1" customWidth="1"/>
    <col min="11374" max="11374" width="13.7109375" style="1" customWidth="1"/>
    <col min="11375" max="11375" width="15.5703125" style="1" customWidth="1"/>
    <col min="11376" max="11379" width="13.7109375" style="1" customWidth="1"/>
    <col min="11380" max="11381" width="12.42578125" style="1" customWidth="1"/>
    <col min="11382" max="11382" width="14.85546875" style="1" customWidth="1"/>
    <col min="11383" max="11383" width="12.42578125" style="1" customWidth="1"/>
    <col min="11384" max="11385" width="13.42578125" style="1" customWidth="1"/>
    <col min="11386" max="11386" width="17" style="1" customWidth="1"/>
    <col min="11387" max="11388" width="12.42578125" style="1" customWidth="1"/>
    <col min="11389" max="11389" width="16.42578125" style="1" customWidth="1"/>
    <col min="11390" max="11390" width="12.42578125" style="1" customWidth="1"/>
    <col min="11391" max="11391" width="13.42578125" style="1" customWidth="1"/>
    <col min="11392" max="11392" width="12.42578125" style="1" customWidth="1"/>
    <col min="11393" max="11394" width="11.7109375" style="1" customWidth="1"/>
    <col min="11395" max="11395" width="11.42578125" style="1" customWidth="1"/>
    <col min="11396" max="11396" width="11.7109375" style="1" customWidth="1"/>
    <col min="11397" max="11397" width="11.42578125" style="1" customWidth="1"/>
    <col min="11398" max="11399" width="15.42578125" style="1" customWidth="1"/>
    <col min="11400" max="11400" width="16.140625" style="1" customWidth="1"/>
    <col min="11401" max="11401" width="16.5703125" style="1" customWidth="1"/>
    <col min="11402" max="11402" width="16.7109375" style="1" customWidth="1"/>
    <col min="11403" max="11403" width="15.42578125" style="1" customWidth="1"/>
    <col min="11404" max="11404" width="14.85546875" style="1" customWidth="1"/>
    <col min="11405" max="11405" width="17.140625" style="1" customWidth="1"/>
    <col min="11406" max="11406" width="16.7109375" style="1" customWidth="1"/>
    <col min="11407" max="11407" width="16.5703125" style="1" customWidth="1"/>
    <col min="11408" max="11408" width="16.28515625" style="1" customWidth="1"/>
    <col min="11409" max="11409" width="14.85546875" style="1" customWidth="1"/>
    <col min="11410" max="11410" width="16.140625" style="1" customWidth="1"/>
    <col min="11411" max="11411" width="16" style="1" customWidth="1"/>
    <col min="11412" max="11412" width="15.5703125" style="1" customWidth="1"/>
    <col min="11413" max="11413" width="16.28515625" style="1" customWidth="1"/>
    <col min="11414" max="11414" width="17.140625" style="1" customWidth="1"/>
    <col min="11415" max="11415" width="16.28515625" style="1" customWidth="1"/>
    <col min="11416" max="11416" width="15.7109375" style="1" customWidth="1"/>
    <col min="11417" max="11417" width="15.42578125" style="1" customWidth="1"/>
    <col min="11418" max="11520" width="9.140625" style="1"/>
    <col min="11521" max="11521" width="19.85546875" style="1" customWidth="1"/>
    <col min="11522" max="11522" width="22" style="1" customWidth="1"/>
    <col min="11523" max="11523" width="18.42578125" style="1" bestFit="1" customWidth="1"/>
    <col min="11524" max="11525" width="16.42578125" style="1" customWidth="1"/>
    <col min="11526" max="11526" width="18.85546875" style="1" customWidth="1"/>
    <col min="11527" max="11528" width="15.5703125" style="1" customWidth="1"/>
    <col min="11529" max="11529" width="11.28515625" style="1" customWidth="1"/>
    <col min="11530" max="11530" width="12.7109375" style="1" customWidth="1"/>
    <col min="11531" max="11535" width="14.7109375" style="1" customWidth="1"/>
    <col min="11536" max="11539" width="13.85546875" style="1" customWidth="1"/>
    <col min="11540" max="11540" width="14.28515625" style="1" customWidth="1"/>
    <col min="11541" max="11541" width="13.85546875" style="1" customWidth="1"/>
    <col min="11542" max="11554" width="13.42578125" style="1" customWidth="1"/>
    <col min="11555" max="11555" width="16.85546875" style="1" customWidth="1"/>
    <col min="11556" max="11556" width="12.42578125" style="1" customWidth="1"/>
    <col min="11557" max="11557" width="13.5703125" style="1" customWidth="1"/>
    <col min="11558" max="11561" width="12.42578125" style="1" customWidth="1"/>
    <col min="11562" max="11563" width="13.140625" style="1" customWidth="1"/>
    <col min="11564" max="11598" width="14.42578125" style="1" customWidth="1"/>
    <col min="11599" max="11610" width="12.42578125" style="1" customWidth="1"/>
    <col min="11611" max="11611" width="17.5703125" style="1" customWidth="1"/>
    <col min="11612" max="11612" width="15.140625" style="1" customWidth="1"/>
    <col min="11613" max="11614" width="15.42578125" style="1" customWidth="1"/>
    <col min="11615" max="11616" width="15.5703125" style="1" customWidth="1"/>
    <col min="11617" max="11617" width="17" style="1" customWidth="1"/>
    <col min="11618" max="11618" width="15.5703125" style="1" customWidth="1"/>
    <col min="11619" max="11619" width="17.7109375" style="1" customWidth="1"/>
    <col min="11620" max="11620" width="18.42578125" style="1" customWidth="1"/>
    <col min="11621" max="11621" width="17.5703125" style="1" customWidth="1"/>
    <col min="11622" max="11623" width="16" style="1" customWidth="1"/>
    <col min="11624" max="11627" width="12.42578125" style="1" customWidth="1"/>
    <col min="11628" max="11628" width="17.7109375" style="1" bestFit="1" customWidth="1"/>
    <col min="11629" max="11629" width="12.42578125" style="1" customWidth="1"/>
    <col min="11630" max="11630" width="13.7109375" style="1" customWidth="1"/>
    <col min="11631" max="11631" width="15.5703125" style="1" customWidth="1"/>
    <col min="11632" max="11635" width="13.7109375" style="1" customWidth="1"/>
    <col min="11636" max="11637" width="12.42578125" style="1" customWidth="1"/>
    <col min="11638" max="11638" width="14.85546875" style="1" customWidth="1"/>
    <col min="11639" max="11639" width="12.42578125" style="1" customWidth="1"/>
    <col min="11640" max="11641" width="13.42578125" style="1" customWidth="1"/>
    <col min="11642" max="11642" width="17" style="1" customWidth="1"/>
    <col min="11643" max="11644" width="12.42578125" style="1" customWidth="1"/>
    <col min="11645" max="11645" width="16.42578125" style="1" customWidth="1"/>
    <col min="11646" max="11646" width="12.42578125" style="1" customWidth="1"/>
    <col min="11647" max="11647" width="13.42578125" style="1" customWidth="1"/>
    <col min="11648" max="11648" width="12.42578125" style="1" customWidth="1"/>
    <col min="11649" max="11650" width="11.7109375" style="1" customWidth="1"/>
    <col min="11651" max="11651" width="11.42578125" style="1" customWidth="1"/>
    <col min="11652" max="11652" width="11.7109375" style="1" customWidth="1"/>
    <col min="11653" max="11653" width="11.42578125" style="1" customWidth="1"/>
    <col min="11654" max="11655" width="15.42578125" style="1" customWidth="1"/>
    <col min="11656" max="11656" width="16.140625" style="1" customWidth="1"/>
    <col min="11657" max="11657" width="16.5703125" style="1" customWidth="1"/>
    <col min="11658" max="11658" width="16.7109375" style="1" customWidth="1"/>
    <col min="11659" max="11659" width="15.42578125" style="1" customWidth="1"/>
    <col min="11660" max="11660" width="14.85546875" style="1" customWidth="1"/>
    <col min="11661" max="11661" width="17.140625" style="1" customWidth="1"/>
    <col min="11662" max="11662" width="16.7109375" style="1" customWidth="1"/>
    <col min="11663" max="11663" width="16.5703125" style="1" customWidth="1"/>
    <col min="11664" max="11664" width="16.28515625" style="1" customWidth="1"/>
    <col min="11665" max="11665" width="14.85546875" style="1" customWidth="1"/>
    <col min="11666" max="11666" width="16.140625" style="1" customWidth="1"/>
    <col min="11667" max="11667" width="16" style="1" customWidth="1"/>
    <col min="11668" max="11668" width="15.5703125" style="1" customWidth="1"/>
    <col min="11669" max="11669" width="16.28515625" style="1" customWidth="1"/>
    <col min="11670" max="11670" width="17.140625" style="1" customWidth="1"/>
    <col min="11671" max="11671" width="16.28515625" style="1" customWidth="1"/>
    <col min="11672" max="11672" width="15.7109375" style="1" customWidth="1"/>
    <col min="11673" max="11673" width="15.42578125" style="1" customWidth="1"/>
    <col min="11674" max="11776" width="9.140625" style="1"/>
    <col min="11777" max="11777" width="19.85546875" style="1" customWidth="1"/>
    <col min="11778" max="11778" width="22" style="1" customWidth="1"/>
    <col min="11779" max="11779" width="18.42578125" style="1" bestFit="1" customWidth="1"/>
    <col min="11780" max="11781" width="16.42578125" style="1" customWidth="1"/>
    <col min="11782" max="11782" width="18.85546875" style="1" customWidth="1"/>
    <col min="11783" max="11784" width="15.5703125" style="1" customWidth="1"/>
    <col min="11785" max="11785" width="11.28515625" style="1" customWidth="1"/>
    <col min="11786" max="11786" width="12.7109375" style="1" customWidth="1"/>
    <col min="11787" max="11791" width="14.7109375" style="1" customWidth="1"/>
    <col min="11792" max="11795" width="13.85546875" style="1" customWidth="1"/>
    <col min="11796" max="11796" width="14.28515625" style="1" customWidth="1"/>
    <col min="11797" max="11797" width="13.85546875" style="1" customWidth="1"/>
    <col min="11798" max="11810" width="13.42578125" style="1" customWidth="1"/>
    <col min="11811" max="11811" width="16.85546875" style="1" customWidth="1"/>
    <col min="11812" max="11812" width="12.42578125" style="1" customWidth="1"/>
    <col min="11813" max="11813" width="13.5703125" style="1" customWidth="1"/>
    <col min="11814" max="11817" width="12.42578125" style="1" customWidth="1"/>
    <col min="11818" max="11819" width="13.140625" style="1" customWidth="1"/>
    <col min="11820" max="11854" width="14.42578125" style="1" customWidth="1"/>
    <col min="11855" max="11866" width="12.42578125" style="1" customWidth="1"/>
    <col min="11867" max="11867" width="17.5703125" style="1" customWidth="1"/>
    <col min="11868" max="11868" width="15.140625" style="1" customWidth="1"/>
    <col min="11869" max="11870" width="15.42578125" style="1" customWidth="1"/>
    <col min="11871" max="11872" width="15.5703125" style="1" customWidth="1"/>
    <col min="11873" max="11873" width="17" style="1" customWidth="1"/>
    <col min="11874" max="11874" width="15.5703125" style="1" customWidth="1"/>
    <col min="11875" max="11875" width="17.7109375" style="1" customWidth="1"/>
    <col min="11876" max="11876" width="18.42578125" style="1" customWidth="1"/>
    <col min="11877" max="11877" width="17.5703125" style="1" customWidth="1"/>
    <col min="11878" max="11879" width="16" style="1" customWidth="1"/>
    <col min="11880" max="11883" width="12.42578125" style="1" customWidth="1"/>
    <col min="11884" max="11884" width="17.7109375" style="1" bestFit="1" customWidth="1"/>
    <col min="11885" max="11885" width="12.42578125" style="1" customWidth="1"/>
    <col min="11886" max="11886" width="13.7109375" style="1" customWidth="1"/>
    <col min="11887" max="11887" width="15.5703125" style="1" customWidth="1"/>
    <col min="11888" max="11891" width="13.7109375" style="1" customWidth="1"/>
    <col min="11892" max="11893" width="12.42578125" style="1" customWidth="1"/>
    <col min="11894" max="11894" width="14.85546875" style="1" customWidth="1"/>
    <col min="11895" max="11895" width="12.42578125" style="1" customWidth="1"/>
    <col min="11896" max="11897" width="13.42578125" style="1" customWidth="1"/>
    <col min="11898" max="11898" width="17" style="1" customWidth="1"/>
    <col min="11899" max="11900" width="12.42578125" style="1" customWidth="1"/>
    <col min="11901" max="11901" width="16.42578125" style="1" customWidth="1"/>
    <col min="11902" max="11902" width="12.42578125" style="1" customWidth="1"/>
    <col min="11903" max="11903" width="13.42578125" style="1" customWidth="1"/>
    <col min="11904" max="11904" width="12.42578125" style="1" customWidth="1"/>
    <col min="11905" max="11906" width="11.7109375" style="1" customWidth="1"/>
    <col min="11907" max="11907" width="11.42578125" style="1" customWidth="1"/>
    <col min="11908" max="11908" width="11.7109375" style="1" customWidth="1"/>
    <col min="11909" max="11909" width="11.42578125" style="1" customWidth="1"/>
    <col min="11910" max="11911" width="15.42578125" style="1" customWidth="1"/>
    <col min="11912" max="11912" width="16.140625" style="1" customWidth="1"/>
    <col min="11913" max="11913" width="16.5703125" style="1" customWidth="1"/>
    <col min="11914" max="11914" width="16.7109375" style="1" customWidth="1"/>
    <col min="11915" max="11915" width="15.42578125" style="1" customWidth="1"/>
    <col min="11916" max="11916" width="14.85546875" style="1" customWidth="1"/>
    <col min="11917" max="11917" width="17.140625" style="1" customWidth="1"/>
    <col min="11918" max="11918" width="16.7109375" style="1" customWidth="1"/>
    <col min="11919" max="11919" width="16.5703125" style="1" customWidth="1"/>
    <col min="11920" max="11920" width="16.28515625" style="1" customWidth="1"/>
    <col min="11921" max="11921" width="14.85546875" style="1" customWidth="1"/>
    <col min="11922" max="11922" width="16.140625" style="1" customWidth="1"/>
    <col min="11923" max="11923" width="16" style="1" customWidth="1"/>
    <col min="11924" max="11924" width="15.5703125" style="1" customWidth="1"/>
    <col min="11925" max="11925" width="16.28515625" style="1" customWidth="1"/>
    <col min="11926" max="11926" width="17.140625" style="1" customWidth="1"/>
    <col min="11927" max="11927" width="16.28515625" style="1" customWidth="1"/>
    <col min="11928" max="11928" width="15.7109375" style="1" customWidth="1"/>
    <col min="11929" max="11929" width="15.42578125" style="1" customWidth="1"/>
    <col min="11930" max="12032" width="9.140625" style="1"/>
    <col min="12033" max="12033" width="19.85546875" style="1" customWidth="1"/>
    <col min="12034" max="12034" width="22" style="1" customWidth="1"/>
    <col min="12035" max="12035" width="18.42578125" style="1" bestFit="1" customWidth="1"/>
    <col min="12036" max="12037" width="16.42578125" style="1" customWidth="1"/>
    <col min="12038" max="12038" width="18.85546875" style="1" customWidth="1"/>
    <col min="12039" max="12040" width="15.5703125" style="1" customWidth="1"/>
    <col min="12041" max="12041" width="11.28515625" style="1" customWidth="1"/>
    <col min="12042" max="12042" width="12.7109375" style="1" customWidth="1"/>
    <col min="12043" max="12047" width="14.7109375" style="1" customWidth="1"/>
    <col min="12048" max="12051" width="13.85546875" style="1" customWidth="1"/>
    <col min="12052" max="12052" width="14.28515625" style="1" customWidth="1"/>
    <col min="12053" max="12053" width="13.85546875" style="1" customWidth="1"/>
    <col min="12054" max="12066" width="13.42578125" style="1" customWidth="1"/>
    <col min="12067" max="12067" width="16.85546875" style="1" customWidth="1"/>
    <col min="12068" max="12068" width="12.42578125" style="1" customWidth="1"/>
    <col min="12069" max="12069" width="13.5703125" style="1" customWidth="1"/>
    <col min="12070" max="12073" width="12.42578125" style="1" customWidth="1"/>
    <col min="12074" max="12075" width="13.140625" style="1" customWidth="1"/>
    <col min="12076" max="12110" width="14.42578125" style="1" customWidth="1"/>
    <col min="12111" max="12122" width="12.42578125" style="1" customWidth="1"/>
    <col min="12123" max="12123" width="17.5703125" style="1" customWidth="1"/>
    <col min="12124" max="12124" width="15.140625" style="1" customWidth="1"/>
    <col min="12125" max="12126" width="15.42578125" style="1" customWidth="1"/>
    <col min="12127" max="12128" width="15.5703125" style="1" customWidth="1"/>
    <col min="12129" max="12129" width="17" style="1" customWidth="1"/>
    <col min="12130" max="12130" width="15.5703125" style="1" customWidth="1"/>
    <col min="12131" max="12131" width="17.7109375" style="1" customWidth="1"/>
    <col min="12132" max="12132" width="18.42578125" style="1" customWidth="1"/>
    <col min="12133" max="12133" width="17.5703125" style="1" customWidth="1"/>
    <col min="12134" max="12135" width="16" style="1" customWidth="1"/>
    <col min="12136" max="12139" width="12.42578125" style="1" customWidth="1"/>
    <col min="12140" max="12140" width="17.7109375" style="1" bestFit="1" customWidth="1"/>
    <col min="12141" max="12141" width="12.42578125" style="1" customWidth="1"/>
    <col min="12142" max="12142" width="13.7109375" style="1" customWidth="1"/>
    <col min="12143" max="12143" width="15.5703125" style="1" customWidth="1"/>
    <col min="12144" max="12147" width="13.7109375" style="1" customWidth="1"/>
    <col min="12148" max="12149" width="12.42578125" style="1" customWidth="1"/>
    <col min="12150" max="12150" width="14.85546875" style="1" customWidth="1"/>
    <col min="12151" max="12151" width="12.42578125" style="1" customWidth="1"/>
    <col min="12152" max="12153" width="13.42578125" style="1" customWidth="1"/>
    <col min="12154" max="12154" width="17" style="1" customWidth="1"/>
    <col min="12155" max="12156" width="12.42578125" style="1" customWidth="1"/>
    <col min="12157" max="12157" width="16.42578125" style="1" customWidth="1"/>
    <col min="12158" max="12158" width="12.42578125" style="1" customWidth="1"/>
    <col min="12159" max="12159" width="13.42578125" style="1" customWidth="1"/>
    <col min="12160" max="12160" width="12.42578125" style="1" customWidth="1"/>
    <col min="12161" max="12162" width="11.7109375" style="1" customWidth="1"/>
    <col min="12163" max="12163" width="11.42578125" style="1" customWidth="1"/>
    <col min="12164" max="12164" width="11.7109375" style="1" customWidth="1"/>
    <col min="12165" max="12165" width="11.42578125" style="1" customWidth="1"/>
    <col min="12166" max="12167" width="15.42578125" style="1" customWidth="1"/>
    <col min="12168" max="12168" width="16.140625" style="1" customWidth="1"/>
    <col min="12169" max="12169" width="16.5703125" style="1" customWidth="1"/>
    <col min="12170" max="12170" width="16.7109375" style="1" customWidth="1"/>
    <col min="12171" max="12171" width="15.42578125" style="1" customWidth="1"/>
    <col min="12172" max="12172" width="14.85546875" style="1" customWidth="1"/>
    <col min="12173" max="12173" width="17.140625" style="1" customWidth="1"/>
    <col min="12174" max="12174" width="16.7109375" style="1" customWidth="1"/>
    <col min="12175" max="12175" width="16.5703125" style="1" customWidth="1"/>
    <col min="12176" max="12176" width="16.28515625" style="1" customWidth="1"/>
    <col min="12177" max="12177" width="14.85546875" style="1" customWidth="1"/>
    <col min="12178" max="12178" width="16.140625" style="1" customWidth="1"/>
    <col min="12179" max="12179" width="16" style="1" customWidth="1"/>
    <col min="12180" max="12180" width="15.5703125" style="1" customWidth="1"/>
    <col min="12181" max="12181" width="16.28515625" style="1" customWidth="1"/>
    <col min="12182" max="12182" width="17.140625" style="1" customWidth="1"/>
    <col min="12183" max="12183" width="16.28515625" style="1" customWidth="1"/>
    <col min="12184" max="12184" width="15.7109375" style="1" customWidth="1"/>
    <col min="12185" max="12185" width="15.42578125" style="1" customWidth="1"/>
    <col min="12186" max="12288" width="9.140625" style="1"/>
    <col min="12289" max="12289" width="19.85546875" style="1" customWidth="1"/>
    <col min="12290" max="12290" width="22" style="1" customWidth="1"/>
    <col min="12291" max="12291" width="18.42578125" style="1" bestFit="1" customWidth="1"/>
    <col min="12292" max="12293" width="16.42578125" style="1" customWidth="1"/>
    <col min="12294" max="12294" width="18.85546875" style="1" customWidth="1"/>
    <col min="12295" max="12296" width="15.5703125" style="1" customWidth="1"/>
    <col min="12297" max="12297" width="11.28515625" style="1" customWidth="1"/>
    <col min="12298" max="12298" width="12.7109375" style="1" customWidth="1"/>
    <col min="12299" max="12303" width="14.7109375" style="1" customWidth="1"/>
    <col min="12304" max="12307" width="13.85546875" style="1" customWidth="1"/>
    <col min="12308" max="12308" width="14.28515625" style="1" customWidth="1"/>
    <col min="12309" max="12309" width="13.85546875" style="1" customWidth="1"/>
    <col min="12310" max="12322" width="13.42578125" style="1" customWidth="1"/>
    <col min="12323" max="12323" width="16.85546875" style="1" customWidth="1"/>
    <col min="12324" max="12324" width="12.42578125" style="1" customWidth="1"/>
    <col min="12325" max="12325" width="13.5703125" style="1" customWidth="1"/>
    <col min="12326" max="12329" width="12.42578125" style="1" customWidth="1"/>
    <col min="12330" max="12331" width="13.140625" style="1" customWidth="1"/>
    <col min="12332" max="12366" width="14.42578125" style="1" customWidth="1"/>
    <col min="12367" max="12378" width="12.42578125" style="1" customWidth="1"/>
    <col min="12379" max="12379" width="17.5703125" style="1" customWidth="1"/>
    <col min="12380" max="12380" width="15.140625" style="1" customWidth="1"/>
    <col min="12381" max="12382" width="15.42578125" style="1" customWidth="1"/>
    <col min="12383" max="12384" width="15.5703125" style="1" customWidth="1"/>
    <col min="12385" max="12385" width="17" style="1" customWidth="1"/>
    <col min="12386" max="12386" width="15.5703125" style="1" customWidth="1"/>
    <col min="12387" max="12387" width="17.7109375" style="1" customWidth="1"/>
    <col min="12388" max="12388" width="18.42578125" style="1" customWidth="1"/>
    <col min="12389" max="12389" width="17.5703125" style="1" customWidth="1"/>
    <col min="12390" max="12391" width="16" style="1" customWidth="1"/>
    <col min="12392" max="12395" width="12.42578125" style="1" customWidth="1"/>
    <col min="12396" max="12396" width="17.7109375" style="1" bestFit="1" customWidth="1"/>
    <col min="12397" max="12397" width="12.42578125" style="1" customWidth="1"/>
    <col min="12398" max="12398" width="13.7109375" style="1" customWidth="1"/>
    <col min="12399" max="12399" width="15.5703125" style="1" customWidth="1"/>
    <col min="12400" max="12403" width="13.7109375" style="1" customWidth="1"/>
    <col min="12404" max="12405" width="12.42578125" style="1" customWidth="1"/>
    <col min="12406" max="12406" width="14.85546875" style="1" customWidth="1"/>
    <col min="12407" max="12407" width="12.42578125" style="1" customWidth="1"/>
    <col min="12408" max="12409" width="13.42578125" style="1" customWidth="1"/>
    <col min="12410" max="12410" width="17" style="1" customWidth="1"/>
    <col min="12411" max="12412" width="12.42578125" style="1" customWidth="1"/>
    <col min="12413" max="12413" width="16.42578125" style="1" customWidth="1"/>
    <col min="12414" max="12414" width="12.42578125" style="1" customWidth="1"/>
    <col min="12415" max="12415" width="13.42578125" style="1" customWidth="1"/>
    <col min="12416" max="12416" width="12.42578125" style="1" customWidth="1"/>
    <col min="12417" max="12418" width="11.7109375" style="1" customWidth="1"/>
    <col min="12419" max="12419" width="11.42578125" style="1" customWidth="1"/>
    <col min="12420" max="12420" width="11.7109375" style="1" customWidth="1"/>
    <col min="12421" max="12421" width="11.42578125" style="1" customWidth="1"/>
    <col min="12422" max="12423" width="15.42578125" style="1" customWidth="1"/>
    <col min="12424" max="12424" width="16.140625" style="1" customWidth="1"/>
    <col min="12425" max="12425" width="16.5703125" style="1" customWidth="1"/>
    <col min="12426" max="12426" width="16.7109375" style="1" customWidth="1"/>
    <col min="12427" max="12427" width="15.42578125" style="1" customWidth="1"/>
    <col min="12428" max="12428" width="14.85546875" style="1" customWidth="1"/>
    <col min="12429" max="12429" width="17.140625" style="1" customWidth="1"/>
    <col min="12430" max="12430" width="16.7109375" style="1" customWidth="1"/>
    <col min="12431" max="12431" width="16.5703125" style="1" customWidth="1"/>
    <col min="12432" max="12432" width="16.28515625" style="1" customWidth="1"/>
    <col min="12433" max="12433" width="14.85546875" style="1" customWidth="1"/>
    <col min="12434" max="12434" width="16.140625" style="1" customWidth="1"/>
    <col min="12435" max="12435" width="16" style="1" customWidth="1"/>
    <col min="12436" max="12436" width="15.5703125" style="1" customWidth="1"/>
    <col min="12437" max="12437" width="16.28515625" style="1" customWidth="1"/>
    <col min="12438" max="12438" width="17.140625" style="1" customWidth="1"/>
    <col min="12439" max="12439" width="16.28515625" style="1" customWidth="1"/>
    <col min="12440" max="12440" width="15.7109375" style="1" customWidth="1"/>
    <col min="12441" max="12441" width="15.42578125" style="1" customWidth="1"/>
    <col min="12442" max="12544" width="9.140625" style="1"/>
    <col min="12545" max="12545" width="19.85546875" style="1" customWidth="1"/>
    <col min="12546" max="12546" width="22" style="1" customWidth="1"/>
    <col min="12547" max="12547" width="18.42578125" style="1" bestFit="1" customWidth="1"/>
    <col min="12548" max="12549" width="16.42578125" style="1" customWidth="1"/>
    <col min="12550" max="12550" width="18.85546875" style="1" customWidth="1"/>
    <col min="12551" max="12552" width="15.5703125" style="1" customWidth="1"/>
    <col min="12553" max="12553" width="11.28515625" style="1" customWidth="1"/>
    <col min="12554" max="12554" width="12.7109375" style="1" customWidth="1"/>
    <col min="12555" max="12559" width="14.7109375" style="1" customWidth="1"/>
    <col min="12560" max="12563" width="13.85546875" style="1" customWidth="1"/>
    <col min="12564" max="12564" width="14.28515625" style="1" customWidth="1"/>
    <col min="12565" max="12565" width="13.85546875" style="1" customWidth="1"/>
    <col min="12566" max="12578" width="13.42578125" style="1" customWidth="1"/>
    <col min="12579" max="12579" width="16.85546875" style="1" customWidth="1"/>
    <col min="12580" max="12580" width="12.42578125" style="1" customWidth="1"/>
    <col min="12581" max="12581" width="13.5703125" style="1" customWidth="1"/>
    <col min="12582" max="12585" width="12.42578125" style="1" customWidth="1"/>
    <col min="12586" max="12587" width="13.140625" style="1" customWidth="1"/>
    <col min="12588" max="12622" width="14.42578125" style="1" customWidth="1"/>
    <col min="12623" max="12634" width="12.42578125" style="1" customWidth="1"/>
    <col min="12635" max="12635" width="17.5703125" style="1" customWidth="1"/>
    <col min="12636" max="12636" width="15.140625" style="1" customWidth="1"/>
    <col min="12637" max="12638" width="15.42578125" style="1" customWidth="1"/>
    <col min="12639" max="12640" width="15.5703125" style="1" customWidth="1"/>
    <col min="12641" max="12641" width="17" style="1" customWidth="1"/>
    <col min="12642" max="12642" width="15.5703125" style="1" customWidth="1"/>
    <col min="12643" max="12643" width="17.7109375" style="1" customWidth="1"/>
    <col min="12644" max="12644" width="18.42578125" style="1" customWidth="1"/>
    <col min="12645" max="12645" width="17.5703125" style="1" customWidth="1"/>
    <col min="12646" max="12647" width="16" style="1" customWidth="1"/>
    <col min="12648" max="12651" width="12.42578125" style="1" customWidth="1"/>
    <col min="12652" max="12652" width="17.7109375" style="1" bestFit="1" customWidth="1"/>
    <col min="12653" max="12653" width="12.42578125" style="1" customWidth="1"/>
    <col min="12654" max="12654" width="13.7109375" style="1" customWidth="1"/>
    <col min="12655" max="12655" width="15.5703125" style="1" customWidth="1"/>
    <col min="12656" max="12659" width="13.7109375" style="1" customWidth="1"/>
    <col min="12660" max="12661" width="12.42578125" style="1" customWidth="1"/>
    <col min="12662" max="12662" width="14.85546875" style="1" customWidth="1"/>
    <col min="12663" max="12663" width="12.42578125" style="1" customWidth="1"/>
    <col min="12664" max="12665" width="13.42578125" style="1" customWidth="1"/>
    <col min="12666" max="12666" width="17" style="1" customWidth="1"/>
    <col min="12667" max="12668" width="12.42578125" style="1" customWidth="1"/>
    <col min="12669" max="12669" width="16.42578125" style="1" customWidth="1"/>
    <col min="12670" max="12670" width="12.42578125" style="1" customWidth="1"/>
    <col min="12671" max="12671" width="13.42578125" style="1" customWidth="1"/>
    <col min="12672" max="12672" width="12.42578125" style="1" customWidth="1"/>
    <col min="12673" max="12674" width="11.7109375" style="1" customWidth="1"/>
    <col min="12675" max="12675" width="11.42578125" style="1" customWidth="1"/>
    <col min="12676" max="12676" width="11.7109375" style="1" customWidth="1"/>
    <col min="12677" max="12677" width="11.42578125" style="1" customWidth="1"/>
    <col min="12678" max="12679" width="15.42578125" style="1" customWidth="1"/>
    <col min="12680" max="12680" width="16.140625" style="1" customWidth="1"/>
    <col min="12681" max="12681" width="16.5703125" style="1" customWidth="1"/>
    <col min="12682" max="12682" width="16.7109375" style="1" customWidth="1"/>
    <col min="12683" max="12683" width="15.42578125" style="1" customWidth="1"/>
    <col min="12684" max="12684" width="14.85546875" style="1" customWidth="1"/>
    <col min="12685" max="12685" width="17.140625" style="1" customWidth="1"/>
    <col min="12686" max="12686" width="16.7109375" style="1" customWidth="1"/>
    <col min="12687" max="12687" width="16.5703125" style="1" customWidth="1"/>
    <col min="12688" max="12688" width="16.28515625" style="1" customWidth="1"/>
    <col min="12689" max="12689" width="14.85546875" style="1" customWidth="1"/>
    <col min="12690" max="12690" width="16.140625" style="1" customWidth="1"/>
    <col min="12691" max="12691" width="16" style="1" customWidth="1"/>
    <col min="12692" max="12692" width="15.5703125" style="1" customWidth="1"/>
    <col min="12693" max="12693" width="16.28515625" style="1" customWidth="1"/>
    <col min="12694" max="12694" width="17.140625" style="1" customWidth="1"/>
    <col min="12695" max="12695" width="16.28515625" style="1" customWidth="1"/>
    <col min="12696" max="12696" width="15.7109375" style="1" customWidth="1"/>
    <col min="12697" max="12697" width="15.42578125" style="1" customWidth="1"/>
    <col min="12698" max="12800" width="9.140625" style="1"/>
    <col min="12801" max="12801" width="19.85546875" style="1" customWidth="1"/>
    <col min="12802" max="12802" width="22" style="1" customWidth="1"/>
    <col min="12803" max="12803" width="18.42578125" style="1" bestFit="1" customWidth="1"/>
    <col min="12804" max="12805" width="16.42578125" style="1" customWidth="1"/>
    <col min="12806" max="12806" width="18.85546875" style="1" customWidth="1"/>
    <col min="12807" max="12808" width="15.5703125" style="1" customWidth="1"/>
    <col min="12809" max="12809" width="11.28515625" style="1" customWidth="1"/>
    <col min="12810" max="12810" width="12.7109375" style="1" customWidth="1"/>
    <col min="12811" max="12815" width="14.7109375" style="1" customWidth="1"/>
    <col min="12816" max="12819" width="13.85546875" style="1" customWidth="1"/>
    <col min="12820" max="12820" width="14.28515625" style="1" customWidth="1"/>
    <col min="12821" max="12821" width="13.85546875" style="1" customWidth="1"/>
    <col min="12822" max="12834" width="13.42578125" style="1" customWidth="1"/>
    <col min="12835" max="12835" width="16.85546875" style="1" customWidth="1"/>
    <col min="12836" max="12836" width="12.42578125" style="1" customWidth="1"/>
    <col min="12837" max="12837" width="13.5703125" style="1" customWidth="1"/>
    <col min="12838" max="12841" width="12.42578125" style="1" customWidth="1"/>
    <col min="12842" max="12843" width="13.140625" style="1" customWidth="1"/>
    <col min="12844" max="12878" width="14.42578125" style="1" customWidth="1"/>
    <col min="12879" max="12890" width="12.42578125" style="1" customWidth="1"/>
    <col min="12891" max="12891" width="17.5703125" style="1" customWidth="1"/>
    <col min="12892" max="12892" width="15.140625" style="1" customWidth="1"/>
    <col min="12893" max="12894" width="15.42578125" style="1" customWidth="1"/>
    <col min="12895" max="12896" width="15.5703125" style="1" customWidth="1"/>
    <col min="12897" max="12897" width="17" style="1" customWidth="1"/>
    <col min="12898" max="12898" width="15.5703125" style="1" customWidth="1"/>
    <col min="12899" max="12899" width="17.7109375" style="1" customWidth="1"/>
    <col min="12900" max="12900" width="18.42578125" style="1" customWidth="1"/>
    <col min="12901" max="12901" width="17.5703125" style="1" customWidth="1"/>
    <col min="12902" max="12903" width="16" style="1" customWidth="1"/>
    <col min="12904" max="12907" width="12.42578125" style="1" customWidth="1"/>
    <col min="12908" max="12908" width="17.7109375" style="1" bestFit="1" customWidth="1"/>
    <col min="12909" max="12909" width="12.42578125" style="1" customWidth="1"/>
    <col min="12910" max="12910" width="13.7109375" style="1" customWidth="1"/>
    <col min="12911" max="12911" width="15.5703125" style="1" customWidth="1"/>
    <col min="12912" max="12915" width="13.7109375" style="1" customWidth="1"/>
    <col min="12916" max="12917" width="12.42578125" style="1" customWidth="1"/>
    <col min="12918" max="12918" width="14.85546875" style="1" customWidth="1"/>
    <col min="12919" max="12919" width="12.42578125" style="1" customWidth="1"/>
    <col min="12920" max="12921" width="13.42578125" style="1" customWidth="1"/>
    <col min="12922" max="12922" width="17" style="1" customWidth="1"/>
    <col min="12923" max="12924" width="12.42578125" style="1" customWidth="1"/>
    <col min="12925" max="12925" width="16.42578125" style="1" customWidth="1"/>
    <col min="12926" max="12926" width="12.42578125" style="1" customWidth="1"/>
    <col min="12927" max="12927" width="13.42578125" style="1" customWidth="1"/>
    <col min="12928" max="12928" width="12.42578125" style="1" customWidth="1"/>
    <col min="12929" max="12930" width="11.7109375" style="1" customWidth="1"/>
    <col min="12931" max="12931" width="11.42578125" style="1" customWidth="1"/>
    <col min="12932" max="12932" width="11.7109375" style="1" customWidth="1"/>
    <col min="12933" max="12933" width="11.42578125" style="1" customWidth="1"/>
    <col min="12934" max="12935" width="15.42578125" style="1" customWidth="1"/>
    <col min="12936" max="12936" width="16.140625" style="1" customWidth="1"/>
    <col min="12937" max="12937" width="16.5703125" style="1" customWidth="1"/>
    <col min="12938" max="12938" width="16.7109375" style="1" customWidth="1"/>
    <col min="12939" max="12939" width="15.42578125" style="1" customWidth="1"/>
    <col min="12940" max="12940" width="14.85546875" style="1" customWidth="1"/>
    <col min="12941" max="12941" width="17.140625" style="1" customWidth="1"/>
    <col min="12942" max="12942" width="16.7109375" style="1" customWidth="1"/>
    <col min="12943" max="12943" width="16.5703125" style="1" customWidth="1"/>
    <col min="12944" max="12944" width="16.28515625" style="1" customWidth="1"/>
    <col min="12945" max="12945" width="14.85546875" style="1" customWidth="1"/>
    <col min="12946" max="12946" width="16.140625" style="1" customWidth="1"/>
    <col min="12947" max="12947" width="16" style="1" customWidth="1"/>
    <col min="12948" max="12948" width="15.5703125" style="1" customWidth="1"/>
    <col min="12949" max="12949" width="16.28515625" style="1" customWidth="1"/>
    <col min="12950" max="12950" width="17.140625" style="1" customWidth="1"/>
    <col min="12951" max="12951" width="16.28515625" style="1" customWidth="1"/>
    <col min="12952" max="12952" width="15.7109375" style="1" customWidth="1"/>
    <col min="12953" max="12953" width="15.42578125" style="1" customWidth="1"/>
    <col min="12954" max="13056" width="9.140625" style="1"/>
    <col min="13057" max="13057" width="19.85546875" style="1" customWidth="1"/>
    <col min="13058" max="13058" width="22" style="1" customWidth="1"/>
    <col min="13059" max="13059" width="18.42578125" style="1" bestFit="1" customWidth="1"/>
    <col min="13060" max="13061" width="16.42578125" style="1" customWidth="1"/>
    <col min="13062" max="13062" width="18.85546875" style="1" customWidth="1"/>
    <col min="13063" max="13064" width="15.5703125" style="1" customWidth="1"/>
    <col min="13065" max="13065" width="11.28515625" style="1" customWidth="1"/>
    <col min="13066" max="13066" width="12.7109375" style="1" customWidth="1"/>
    <col min="13067" max="13071" width="14.7109375" style="1" customWidth="1"/>
    <col min="13072" max="13075" width="13.85546875" style="1" customWidth="1"/>
    <col min="13076" max="13076" width="14.28515625" style="1" customWidth="1"/>
    <col min="13077" max="13077" width="13.85546875" style="1" customWidth="1"/>
    <col min="13078" max="13090" width="13.42578125" style="1" customWidth="1"/>
    <col min="13091" max="13091" width="16.85546875" style="1" customWidth="1"/>
    <col min="13092" max="13092" width="12.42578125" style="1" customWidth="1"/>
    <col min="13093" max="13093" width="13.5703125" style="1" customWidth="1"/>
    <col min="13094" max="13097" width="12.42578125" style="1" customWidth="1"/>
    <col min="13098" max="13099" width="13.140625" style="1" customWidth="1"/>
    <col min="13100" max="13134" width="14.42578125" style="1" customWidth="1"/>
    <col min="13135" max="13146" width="12.42578125" style="1" customWidth="1"/>
    <col min="13147" max="13147" width="17.5703125" style="1" customWidth="1"/>
    <col min="13148" max="13148" width="15.140625" style="1" customWidth="1"/>
    <col min="13149" max="13150" width="15.42578125" style="1" customWidth="1"/>
    <col min="13151" max="13152" width="15.5703125" style="1" customWidth="1"/>
    <col min="13153" max="13153" width="17" style="1" customWidth="1"/>
    <col min="13154" max="13154" width="15.5703125" style="1" customWidth="1"/>
    <col min="13155" max="13155" width="17.7109375" style="1" customWidth="1"/>
    <col min="13156" max="13156" width="18.42578125" style="1" customWidth="1"/>
    <col min="13157" max="13157" width="17.5703125" style="1" customWidth="1"/>
    <col min="13158" max="13159" width="16" style="1" customWidth="1"/>
    <col min="13160" max="13163" width="12.42578125" style="1" customWidth="1"/>
    <col min="13164" max="13164" width="17.7109375" style="1" bestFit="1" customWidth="1"/>
    <col min="13165" max="13165" width="12.42578125" style="1" customWidth="1"/>
    <col min="13166" max="13166" width="13.7109375" style="1" customWidth="1"/>
    <col min="13167" max="13167" width="15.5703125" style="1" customWidth="1"/>
    <col min="13168" max="13171" width="13.7109375" style="1" customWidth="1"/>
    <col min="13172" max="13173" width="12.42578125" style="1" customWidth="1"/>
    <col min="13174" max="13174" width="14.85546875" style="1" customWidth="1"/>
    <col min="13175" max="13175" width="12.42578125" style="1" customWidth="1"/>
    <col min="13176" max="13177" width="13.42578125" style="1" customWidth="1"/>
    <col min="13178" max="13178" width="17" style="1" customWidth="1"/>
    <col min="13179" max="13180" width="12.42578125" style="1" customWidth="1"/>
    <col min="13181" max="13181" width="16.42578125" style="1" customWidth="1"/>
    <col min="13182" max="13182" width="12.42578125" style="1" customWidth="1"/>
    <col min="13183" max="13183" width="13.42578125" style="1" customWidth="1"/>
    <col min="13184" max="13184" width="12.42578125" style="1" customWidth="1"/>
    <col min="13185" max="13186" width="11.7109375" style="1" customWidth="1"/>
    <col min="13187" max="13187" width="11.42578125" style="1" customWidth="1"/>
    <col min="13188" max="13188" width="11.7109375" style="1" customWidth="1"/>
    <col min="13189" max="13189" width="11.42578125" style="1" customWidth="1"/>
    <col min="13190" max="13191" width="15.42578125" style="1" customWidth="1"/>
    <col min="13192" max="13192" width="16.140625" style="1" customWidth="1"/>
    <col min="13193" max="13193" width="16.5703125" style="1" customWidth="1"/>
    <col min="13194" max="13194" width="16.7109375" style="1" customWidth="1"/>
    <col min="13195" max="13195" width="15.42578125" style="1" customWidth="1"/>
    <col min="13196" max="13196" width="14.85546875" style="1" customWidth="1"/>
    <col min="13197" max="13197" width="17.140625" style="1" customWidth="1"/>
    <col min="13198" max="13198" width="16.7109375" style="1" customWidth="1"/>
    <col min="13199" max="13199" width="16.5703125" style="1" customWidth="1"/>
    <col min="13200" max="13200" width="16.28515625" style="1" customWidth="1"/>
    <col min="13201" max="13201" width="14.85546875" style="1" customWidth="1"/>
    <col min="13202" max="13202" width="16.140625" style="1" customWidth="1"/>
    <col min="13203" max="13203" width="16" style="1" customWidth="1"/>
    <col min="13204" max="13204" width="15.5703125" style="1" customWidth="1"/>
    <col min="13205" max="13205" width="16.28515625" style="1" customWidth="1"/>
    <col min="13206" max="13206" width="17.140625" style="1" customWidth="1"/>
    <col min="13207" max="13207" width="16.28515625" style="1" customWidth="1"/>
    <col min="13208" max="13208" width="15.7109375" style="1" customWidth="1"/>
    <col min="13209" max="13209" width="15.42578125" style="1" customWidth="1"/>
    <col min="13210" max="13312" width="9.140625" style="1"/>
    <col min="13313" max="13313" width="19.85546875" style="1" customWidth="1"/>
    <col min="13314" max="13314" width="22" style="1" customWidth="1"/>
    <col min="13315" max="13315" width="18.42578125" style="1" bestFit="1" customWidth="1"/>
    <col min="13316" max="13317" width="16.42578125" style="1" customWidth="1"/>
    <col min="13318" max="13318" width="18.85546875" style="1" customWidth="1"/>
    <col min="13319" max="13320" width="15.5703125" style="1" customWidth="1"/>
    <col min="13321" max="13321" width="11.28515625" style="1" customWidth="1"/>
    <col min="13322" max="13322" width="12.7109375" style="1" customWidth="1"/>
    <col min="13323" max="13327" width="14.7109375" style="1" customWidth="1"/>
    <col min="13328" max="13331" width="13.85546875" style="1" customWidth="1"/>
    <col min="13332" max="13332" width="14.28515625" style="1" customWidth="1"/>
    <col min="13333" max="13333" width="13.85546875" style="1" customWidth="1"/>
    <col min="13334" max="13346" width="13.42578125" style="1" customWidth="1"/>
    <col min="13347" max="13347" width="16.85546875" style="1" customWidth="1"/>
    <col min="13348" max="13348" width="12.42578125" style="1" customWidth="1"/>
    <col min="13349" max="13349" width="13.5703125" style="1" customWidth="1"/>
    <col min="13350" max="13353" width="12.42578125" style="1" customWidth="1"/>
    <col min="13354" max="13355" width="13.140625" style="1" customWidth="1"/>
    <col min="13356" max="13390" width="14.42578125" style="1" customWidth="1"/>
    <col min="13391" max="13402" width="12.42578125" style="1" customWidth="1"/>
    <col min="13403" max="13403" width="17.5703125" style="1" customWidth="1"/>
    <col min="13404" max="13404" width="15.140625" style="1" customWidth="1"/>
    <col min="13405" max="13406" width="15.42578125" style="1" customWidth="1"/>
    <col min="13407" max="13408" width="15.5703125" style="1" customWidth="1"/>
    <col min="13409" max="13409" width="17" style="1" customWidth="1"/>
    <col min="13410" max="13410" width="15.5703125" style="1" customWidth="1"/>
    <col min="13411" max="13411" width="17.7109375" style="1" customWidth="1"/>
    <col min="13412" max="13412" width="18.42578125" style="1" customWidth="1"/>
    <col min="13413" max="13413" width="17.5703125" style="1" customWidth="1"/>
    <col min="13414" max="13415" width="16" style="1" customWidth="1"/>
    <col min="13416" max="13419" width="12.42578125" style="1" customWidth="1"/>
    <col min="13420" max="13420" width="17.7109375" style="1" bestFit="1" customWidth="1"/>
    <col min="13421" max="13421" width="12.42578125" style="1" customWidth="1"/>
    <col min="13422" max="13422" width="13.7109375" style="1" customWidth="1"/>
    <col min="13423" max="13423" width="15.5703125" style="1" customWidth="1"/>
    <col min="13424" max="13427" width="13.7109375" style="1" customWidth="1"/>
    <col min="13428" max="13429" width="12.42578125" style="1" customWidth="1"/>
    <col min="13430" max="13430" width="14.85546875" style="1" customWidth="1"/>
    <col min="13431" max="13431" width="12.42578125" style="1" customWidth="1"/>
    <col min="13432" max="13433" width="13.42578125" style="1" customWidth="1"/>
    <col min="13434" max="13434" width="17" style="1" customWidth="1"/>
    <col min="13435" max="13436" width="12.42578125" style="1" customWidth="1"/>
    <col min="13437" max="13437" width="16.42578125" style="1" customWidth="1"/>
    <col min="13438" max="13438" width="12.42578125" style="1" customWidth="1"/>
    <col min="13439" max="13439" width="13.42578125" style="1" customWidth="1"/>
    <col min="13440" max="13440" width="12.42578125" style="1" customWidth="1"/>
    <col min="13441" max="13442" width="11.7109375" style="1" customWidth="1"/>
    <col min="13443" max="13443" width="11.42578125" style="1" customWidth="1"/>
    <col min="13444" max="13444" width="11.7109375" style="1" customWidth="1"/>
    <col min="13445" max="13445" width="11.42578125" style="1" customWidth="1"/>
    <col min="13446" max="13447" width="15.42578125" style="1" customWidth="1"/>
    <col min="13448" max="13448" width="16.140625" style="1" customWidth="1"/>
    <col min="13449" max="13449" width="16.5703125" style="1" customWidth="1"/>
    <col min="13450" max="13450" width="16.7109375" style="1" customWidth="1"/>
    <col min="13451" max="13451" width="15.42578125" style="1" customWidth="1"/>
    <col min="13452" max="13452" width="14.85546875" style="1" customWidth="1"/>
    <col min="13453" max="13453" width="17.140625" style="1" customWidth="1"/>
    <col min="13454" max="13454" width="16.7109375" style="1" customWidth="1"/>
    <col min="13455" max="13455" width="16.5703125" style="1" customWidth="1"/>
    <col min="13456" max="13456" width="16.28515625" style="1" customWidth="1"/>
    <col min="13457" max="13457" width="14.85546875" style="1" customWidth="1"/>
    <col min="13458" max="13458" width="16.140625" style="1" customWidth="1"/>
    <col min="13459" max="13459" width="16" style="1" customWidth="1"/>
    <col min="13460" max="13460" width="15.5703125" style="1" customWidth="1"/>
    <col min="13461" max="13461" width="16.28515625" style="1" customWidth="1"/>
    <col min="13462" max="13462" width="17.140625" style="1" customWidth="1"/>
    <col min="13463" max="13463" width="16.28515625" style="1" customWidth="1"/>
    <col min="13464" max="13464" width="15.7109375" style="1" customWidth="1"/>
    <col min="13465" max="13465" width="15.42578125" style="1" customWidth="1"/>
    <col min="13466" max="13568" width="9.140625" style="1"/>
    <col min="13569" max="13569" width="19.85546875" style="1" customWidth="1"/>
    <col min="13570" max="13570" width="22" style="1" customWidth="1"/>
    <col min="13571" max="13571" width="18.42578125" style="1" bestFit="1" customWidth="1"/>
    <col min="13572" max="13573" width="16.42578125" style="1" customWidth="1"/>
    <col min="13574" max="13574" width="18.85546875" style="1" customWidth="1"/>
    <col min="13575" max="13576" width="15.5703125" style="1" customWidth="1"/>
    <col min="13577" max="13577" width="11.28515625" style="1" customWidth="1"/>
    <col min="13578" max="13578" width="12.7109375" style="1" customWidth="1"/>
    <col min="13579" max="13583" width="14.7109375" style="1" customWidth="1"/>
    <col min="13584" max="13587" width="13.85546875" style="1" customWidth="1"/>
    <col min="13588" max="13588" width="14.28515625" style="1" customWidth="1"/>
    <col min="13589" max="13589" width="13.85546875" style="1" customWidth="1"/>
    <col min="13590" max="13602" width="13.42578125" style="1" customWidth="1"/>
    <col min="13603" max="13603" width="16.85546875" style="1" customWidth="1"/>
    <col min="13604" max="13604" width="12.42578125" style="1" customWidth="1"/>
    <col min="13605" max="13605" width="13.5703125" style="1" customWidth="1"/>
    <col min="13606" max="13609" width="12.42578125" style="1" customWidth="1"/>
    <col min="13610" max="13611" width="13.140625" style="1" customWidth="1"/>
    <col min="13612" max="13646" width="14.42578125" style="1" customWidth="1"/>
    <col min="13647" max="13658" width="12.42578125" style="1" customWidth="1"/>
    <col min="13659" max="13659" width="17.5703125" style="1" customWidth="1"/>
    <col min="13660" max="13660" width="15.140625" style="1" customWidth="1"/>
    <col min="13661" max="13662" width="15.42578125" style="1" customWidth="1"/>
    <col min="13663" max="13664" width="15.5703125" style="1" customWidth="1"/>
    <col min="13665" max="13665" width="17" style="1" customWidth="1"/>
    <col min="13666" max="13666" width="15.5703125" style="1" customWidth="1"/>
    <col min="13667" max="13667" width="17.7109375" style="1" customWidth="1"/>
    <col min="13668" max="13668" width="18.42578125" style="1" customWidth="1"/>
    <col min="13669" max="13669" width="17.5703125" style="1" customWidth="1"/>
    <col min="13670" max="13671" width="16" style="1" customWidth="1"/>
    <col min="13672" max="13675" width="12.42578125" style="1" customWidth="1"/>
    <col min="13676" max="13676" width="17.7109375" style="1" bestFit="1" customWidth="1"/>
    <col min="13677" max="13677" width="12.42578125" style="1" customWidth="1"/>
    <col min="13678" max="13678" width="13.7109375" style="1" customWidth="1"/>
    <col min="13679" max="13679" width="15.5703125" style="1" customWidth="1"/>
    <col min="13680" max="13683" width="13.7109375" style="1" customWidth="1"/>
    <col min="13684" max="13685" width="12.42578125" style="1" customWidth="1"/>
    <col min="13686" max="13686" width="14.85546875" style="1" customWidth="1"/>
    <col min="13687" max="13687" width="12.42578125" style="1" customWidth="1"/>
    <col min="13688" max="13689" width="13.42578125" style="1" customWidth="1"/>
    <col min="13690" max="13690" width="17" style="1" customWidth="1"/>
    <col min="13691" max="13692" width="12.42578125" style="1" customWidth="1"/>
    <col min="13693" max="13693" width="16.42578125" style="1" customWidth="1"/>
    <col min="13694" max="13694" width="12.42578125" style="1" customWidth="1"/>
    <col min="13695" max="13695" width="13.42578125" style="1" customWidth="1"/>
    <col min="13696" max="13696" width="12.42578125" style="1" customWidth="1"/>
    <col min="13697" max="13698" width="11.7109375" style="1" customWidth="1"/>
    <col min="13699" max="13699" width="11.42578125" style="1" customWidth="1"/>
    <col min="13700" max="13700" width="11.7109375" style="1" customWidth="1"/>
    <col min="13701" max="13701" width="11.42578125" style="1" customWidth="1"/>
    <col min="13702" max="13703" width="15.42578125" style="1" customWidth="1"/>
    <col min="13704" max="13704" width="16.140625" style="1" customWidth="1"/>
    <col min="13705" max="13705" width="16.5703125" style="1" customWidth="1"/>
    <col min="13706" max="13706" width="16.7109375" style="1" customWidth="1"/>
    <col min="13707" max="13707" width="15.42578125" style="1" customWidth="1"/>
    <col min="13708" max="13708" width="14.85546875" style="1" customWidth="1"/>
    <col min="13709" max="13709" width="17.140625" style="1" customWidth="1"/>
    <col min="13710" max="13710" width="16.7109375" style="1" customWidth="1"/>
    <col min="13711" max="13711" width="16.5703125" style="1" customWidth="1"/>
    <col min="13712" max="13712" width="16.28515625" style="1" customWidth="1"/>
    <col min="13713" max="13713" width="14.85546875" style="1" customWidth="1"/>
    <col min="13714" max="13714" width="16.140625" style="1" customWidth="1"/>
    <col min="13715" max="13715" width="16" style="1" customWidth="1"/>
    <col min="13716" max="13716" width="15.5703125" style="1" customWidth="1"/>
    <col min="13717" max="13717" width="16.28515625" style="1" customWidth="1"/>
    <col min="13718" max="13718" width="17.140625" style="1" customWidth="1"/>
    <col min="13719" max="13719" width="16.28515625" style="1" customWidth="1"/>
    <col min="13720" max="13720" width="15.7109375" style="1" customWidth="1"/>
    <col min="13721" max="13721" width="15.42578125" style="1" customWidth="1"/>
    <col min="13722" max="13824" width="9.140625" style="1"/>
    <col min="13825" max="13825" width="19.85546875" style="1" customWidth="1"/>
    <col min="13826" max="13826" width="22" style="1" customWidth="1"/>
    <col min="13827" max="13827" width="18.42578125" style="1" bestFit="1" customWidth="1"/>
    <col min="13828" max="13829" width="16.42578125" style="1" customWidth="1"/>
    <col min="13830" max="13830" width="18.85546875" style="1" customWidth="1"/>
    <col min="13831" max="13832" width="15.5703125" style="1" customWidth="1"/>
    <col min="13833" max="13833" width="11.28515625" style="1" customWidth="1"/>
    <col min="13834" max="13834" width="12.7109375" style="1" customWidth="1"/>
    <col min="13835" max="13839" width="14.7109375" style="1" customWidth="1"/>
    <col min="13840" max="13843" width="13.85546875" style="1" customWidth="1"/>
    <col min="13844" max="13844" width="14.28515625" style="1" customWidth="1"/>
    <col min="13845" max="13845" width="13.85546875" style="1" customWidth="1"/>
    <col min="13846" max="13858" width="13.42578125" style="1" customWidth="1"/>
    <col min="13859" max="13859" width="16.85546875" style="1" customWidth="1"/>
    <col min="13860" max="13860" width="12.42578125" style="1" customWidth="1"/>
    <col min="13861" max="13861" width="13.5703125" style="1" customWidth="1"/>
    <col min="13862" max="13865" width="12.42578125" style="1" customWidth="1"/>
    <col min="13866" max="13867" width="13.140625" style="1" customWidth="1"/>
    <col min="13868" max="13902" width="14.42578125" style="1" customWidth="1"/>
    <col min="13903" max="13914" width="12.42578125" style="1" customWidth="1"/>
    <col min="13915" max="13915" width="17.5703125" style="1" customWidth="1"/>
    <col min="13916" max="13916" width="15.140625" style="1" customWidth="1"/>
    <col min="13917" max="13918" width="15.42578125" style="1" customWidth="1"/>
    <col min="13919" max="13920" width="15.5703125" style="1" customWidth="1"/>
    <col min="13921" max="13921" width="17" style="1" customWidth="1"/>
    <col min="13922" max="13922" width="15.5703125" style="1" customWidth="1"/>
    <col min="13923" max="13923" width="17.7109375" style="1" customWidth="1"/>
    <col min="13924" max="13924" width="18.42578125" style="1" customWidth="1"/>
    <col min="13925" max="13925" width="17.5703125" style="1" customWidth="1"/>
    <col min="13926" max="13927" width="16" style="1" customWidth="1"/>
    <col min="13928" max="13931" width="12.42578125" style="1" customWidth="1"/>
    <col min="13932" max="13932" width="17.7109375" style="1" bestFit="1" customWidth="1"/>
    <col min="13933" max="13933" width="12.42578125" style="1" customWidth="1"/>
    <col min="13934" max="13934" width="13.7109375" style="1" customWidth="1"/>
    <col min="13935" max="13935" width="15.5703125" style="1" customWidth="1"/>
    <col min="13936" max="13939" width="13.7109375" style="1" customWidth="1"/>
    <col min="13940" max="13941" width="12.42578125" style="1" customWidth="1"/>
    <col min="13942" max="13942" width="14.85546875" style="1" customWidth="1"/>
    <col min="13943" max="13943" width="12.42578125" style="1" customWidth="1"/>
    <col min="13944" max="13945" width="13.42578125" style="1" customWidth="1"/>
    <col min="13946" max="13946" width="17" style="1" customWidth="1"/>
    <col min="13947" max="13948" width="12.42578125" style="1" customWidth="1"/>
    <col min="13949" max="13949" width="16.42578125" style="1" customWidth="1"/>
    <col min="13950" max="13950" width="12.42578125" style="1" customWidth="1"/>
    <col min="13951" max="13951" width="13.42578125" style="1" customWidth="1"/>
    <col min="13952" max="13952" width="12.42578125" style="1" customWidth="1"/>
    <col min="13953" max="13954" width="11.7109375" style="1" customWidth="1"/>
    <col min="13955" max="13955" width="11.42578125" style="1" customWidth="1"/>
    <col min="13956" max="13956" width="11.7109375" style="1" customWidth="1"/>
    <col min="13957" max="13957" width="11.42578125" style="1" customWidth="1"/>
    <col min="13958" max="13959" width="15.42578125" style="1" customWidth="1"/>
    <col min="13960" max="13960" width="16.140625" style="1" customWidth="1"/>
    <col min="13961" max="13961" width="16.5703125" style="1" customWidth="1"/>
    <col min="13962" max="13962" width="16.7109375" style="1" customWidth="1"/>
    <col min="13963" max="13963" width="15.42578125" style="1" customWidth="1"/>
    <col min="13964" max="13964" width="14.85546875" style="1" customWidth="1"/>
    <col min="13965" max="13965" width="17.140625" style="1" customWidth="1"/>
    <col min="13966" max="13966" width="16.7109375" style="1" customWidth="1"/>
    <col min="13967" max="13967" width="16.5703125" style="1" customWidth="1"/>
    <col min="13968" max="13968" width="16.28515625" style="1" customWidth="1"/>
    <col min="13969" max="13969" width="14.85546875" style="1" customWidth="1"/>
    <col min="13970" max="13970" width="16.140625" style="1" customWidth="1"/>
    <col min="13971" max="13971" width="16" style="1" customWidth="1"/>
    <col min="13972" max="13972" width="15.5703125" style="1" customWidth="1"/>
    <col min="13973" max="13973" width="16.28515625" style="1" customWidth="1"/>
    <col min="13974" max="13974" width="17.140625" style="1" customWidth="1"/>
    <col min="13975" max="13975" width="16.28515625" style="1" customWidth="1"/>
    <col min="13976" max="13976" width="15.7109375" style="1" customWidth="1"/>
    <col min="13977" max="13977" width="15.42578125" style="1" customWidth="1"/>
    <col min="13978" max="14080" width="9.140625" style="1"/>
    <col min="14081" max="14081" width="19.85546875" style="1" customWidth="1"/>
    <col min="14082" max="14082" width="22" style="1" customWidth="1"/>
    <col min="14083" max="14083" width="18.42578125" style="1" bestFit="1" customWidth="1"/>
    <col min="14084" max="14085" width="16.42578125" style="1" customWidth="1"/>
    <col min="14086" max="14086" width="18.85546875" style="1" customWidth="1"/>
    <col min="14087" max="14088" width="15.5703125" style="1" customWidth="1"/>
    <col min="14089" max="14089" width="11.28515625" style="1" customWidth="1"/>
    <col min="14090" max="14090" width="12.7109375" style="1" customWidth="1"/>
    <col min="14091" max="14095" width="14.7109375" style="1" customWidth="1"/>
    <col min="14096" max="14099" width="13.85546875" style="1" customWidth="1"/>
    <col min="14100" max="14100" width="14.28515625" style="1" customWidth="1"/>
    <col min="14101" max="14101" width="13.85546875" style="1" customWidth="1"/>
    <col min="14102" max="14114" width="13.42578125" style="1" customWidth="1"/>
    <col min="14115" max="14115" width="16.85546875" style="1" customWidth="1"/>
    <col min="14116" max="14116" width="12.42578125" style="1" customWidth="1"/>
    <col min="14117" max="14117" width="13.5703125" style="1" customWidth="1"/>
    <col min="14118" max="14121" width="12.42578125" style="1" customWidth="1"/>
    <col min="14122" max="14123" width="13.140625" style="1" customWidth="1"/>
    <col min="14124" max="14158" width="14.42578125" style="1" customWidth="1"/>
    <col min="14159" max="14170" width="12.42578125" style="1" customWidth="1"/>
    <col min="14171" max="14171" width="17.5703125" style="1" customWidth="1"/>
    <col min="14172" max="14172" width="15.140625" style="1" customWidth="1"/>
    <col min="14173" max="14174" width="15.42578125" style="1" customWidth="1"/>
    <col min="14175" max="14176" width="15.5703125" style="1" customWidth="1"/>
    <col min="14177" max="14177" width="17" style="1" customWidth="1"/>
    <col min="14178" max="14178" width="15.5703125" style="1" customWidth="1"/>
    <col min="14179" max="14179" width="17.7109375" style="1" customWidth="1"/>
    <col min="14180" max="14180" width="18.42578125" style="1" customWidth="1"/>
    <col min="14181" max="14181" width="17.5703125" style="1" customWidth="1"/>
    <col min="14182" max="14183" width="16" style="1" customWidth="1"/>
    <col min="14184" max="14187" width="12.42578125" style="1" customWidth="1"/>
    <col min="14188" max="14188" width="17.7109375" style="1" bestFit="1" customWidth="1"/>
    <col min="14189" max="14189" width="12.42578125" style="1" customWidth="1"/>
    <col min="14190" max="14190" width="13.7109375" style="1" customWidth="1"/>
    <col min="14191" max="14191" width="15.5703125" style="1" customWidth="1"/>
    <col min="14192" max="14195" width="13.7109375" style="1" customWidth="1"/>
    <col min="14196" max="14197" width="12.42578125" style="1" customWidth="1"/>
    <col min="14198" max="14198" width="14.85546875" style="1" customWidth="1"/>
    <col min="14199" max="14199" width="12.42578125" style="1" customWidth="1"/>
    <col min="14200" max="14201" width="13.42578125" style="1" customWidth="1"/>
    <col min="14202" max="14202" width="17" style="1" customWidth="1"/>
    <col min="14203" max="14204" width="12.42578125" style="1" customWidth="1"/>
    <col min="14205" max="14205" width="16.42578125" style="1" customWidth="1"/>
    <col min="14206" max="14206" width="12.42578125" style="1" customWidth="1"/>
    <col min="14207" max="14207" width="13.42578125" style="1" customWidth="1"/>
    <col min="14208" max="14208" width="12.42578125" style="1" customWidth="1"/>
    <col min="14209" max="14210" width="11.7109375" style="1" customWidth="1"/>
    <col min="14211" max="14211" width="11.42578125" style="1" customWidth="1"/>
    <col min="14212" max="14212" width="11.7109375" style="1" customWidth="1"/>
    <col min="14213" max="14213" width="11.42578125" style="1" customWidth="1"/>
    <col min="14214" max="14215" width="15.42578125" style="1" customWidth="1"/>
    <col min="14216" max="14216" width="16.140625" style="1" customWidth="1"/>
    <col min="14217" max="14217" width="16.5703125" style="1" customWidth="1"/>
    <col min="14218" max="14218" width="16.7109375" style="1" customWidth="1"/>
    <col min="14219" max="14219" width="15.42578125" style="1" customWidth="1"/>
    <col min="14220" max="14220" width="14.85546875" style="1" customWidth="1"/>
    <col min="14221" max="14221" width="17.140625" style="1" customWidth="1"/>
    <col min="14222" max="14222" width="16.7109375" style="1" customWidth="1"/>
    <col min="14223" max="14223" width="16.5703125" style="1" customWidth="1"/>
    <col min="14224" max="14224" width="16.28515625" style="1" customWidth="1"/>
    <col min="14225" max="14225" width="14.85546875" style="1" customWidth="1"/>
    <col min="14226" max="14226" width="16.140625" style="1" customWidth="1"/>
    <col min="14227" max="14227" width="16" style="1" customWidth="1"/>
    <col min="14228" max="14228" width="15.5703125" style="1" customWidth="1"/>
    <col min="14229" max="14229" width="16.28515625" style="1" customWidth="1"/>
    <col min="14230" max="14230" width="17.140625" style="1" customWidth="1"/>
    <col min="14231" max="14231" width="16.28515625" style="1" customWidth="1"/>
    <col min="14232" max="14232" width="15.7109375" style="1" customWidth="1"/>
    <col min="14233" max="14233" width="15.42578125" style="1" customWidth="1"/>
    <col min="14234" max="14336" width="9.140625" style="1"/>
    <col min="14337" max="14337" width="19.85546875" style="1" customWidth="1"/>
    <col min="14338" max="14338" width="22" style="1" customWidth="1"/>
    <col min="14339" max="14339" width="18.42578125" style="1" bestFit="1" customWidth="1"/>
    <col min="14340" max="14341" width="16.42578125" style="1" customWidth="1"/>
    <col min="14342" max="14342" width="18.85546875" style="1" customWidth="1"/>
    <col min="14343" max="14344" width="15.5703125" style="1" customWidth="1"/>
    <col min="14345" max="14345" width="11.28515625" style="1" customWidth="1"/>
    <col min="14346" max="14346" width="12.7109375" style="1" customWidth="1"/>
    <col min="14347" max="14351" width="14.7109375" style="1" customWidth="1"/>
    <col min="14352" max="14355" width="13.85546875" style="1" customWidth="1"/>
    <col min="14356" max="14356" width="14.28515625" style="1" customWidth="1"/>
    <col min="14357" max="14357" width="13.85546875" style="1" customWidth="1"/>
    <col min="14358" max="14370" width="13.42578125" style="1" customWidth="1"/>
    <col min="14371" max="14371" width="16.85546875" style="1" customWidth="1"/>
    <col min="14372" max="14372" width="12.42578125" style="1" customWidth="1"/>
    <col min="14373" max="14373" width="13.5703125" style="1" customWidth="1"/>
    <col min="14374" max="14377" width="12.42578125" style="1" customWidth="1"/>
    <col min="14378" max="14379" width="13.140625" style="1" customWidth="1"/>
    <col min="14380" max="14414" width="14.42578125" style="1" customWidth="1"/>
    <col min="14415" max="14426" width="12.42578125" style="1" customWidth="1"/>
    <col min="14427" max="14427" width="17.5703125" style="1" customWidth="1"/>
    <col min="14428" max="14428" width="15.140625" style="1" customWidth="1"/>
    <col min="14429" max="14430" width="15.42578125" style="1" customWidth="1"/>
    <col min="14431" max="14432" width="15.5703125" style="1" customWidth="1"/>
    <col min="14433" max="14433" width="17" style="1" customWidth="1"/>
    <col min="14434" max="14434" width="15.5703125" style="1" customWidth="1"/>
    <col min="14435" max="14435" width="17.7109375" style="1" customWidth="1"/>
    <col min="14436" max="14436" width="18.42578125" style="1" customWidth="1"/>
    <col min="14437" max="14437" width="17.5703125" style="1" customWidth="1"/>
    <col min="14438" max="14439" width="16" style="1" customWidth="1"/>
    <col min="14440" max="14443" width="12.42578125" style="1" customWidth="1"/>
    <col min="14444" max="14444" width="17.7109375" style="1" bestFit="1" customWidth="1"/>
    <col min="14445" max="14445" width="12.42578125" style="1" customWidth="1"/>
    <col min="14446" max="14446" width="13.7109375" style="1" customWidth="1"/>
    <col min="14447" max="14447" width="15.5703125" style="1" customWidth="1"/>
    <col min="14448" max="14451" width="13.7109375" style="1" customWidth="1"/>
    <col min="14452" max="14453" width="12.42578125" style="1" customWidth="1"/>
    <col min="14454" max="14454" width="14.85546875" style="1" customWidth="1"/>
    <col min="14455" max="14455" width="12.42578125" style="1" customWidth="1"/>
    <col min="14456" max="14457" width="13.42578125" style="1" customWidth="1"/>
    <col min="14458" max="14458" width="17" style="1" customWidth="1"/>
    <col min="14459" max="14460" width="12.42578125" style="1" customWidth="1"/>
    <col min="14461" max="14461" width="16.42578125" style="1" customWidth="1"/>
    <col min="14462" max="14462" width="12.42578125" style="1" customWidth="1"/>
    <col min="14463" max="14463" width="13.42578125" style="1" customWidth="1"/>
    <col min="14464" max="14464" width="12.42578125" style="1" customWidth="1"/>
    <col min="14465" max="14466" width="11.7109375" style="1" customWidth="1"/>
    <col min="14467" max="14467" width="11.42578125" style="1" customWidth="1"/>
    <col min="14468" max="14468" width="11.7109375" style="1" customWidth="1"/>
    <col min="14469" max="14469" width="11.42578125" style="1" customWidth="1"/>
    <col min="14470" max="14471" width="15.42578125" style="1" customWidth="1"/>
    <col min="14472" max="14472" width="16.140625" style="1" customWidth="1"/>
    <col min="14473" max="14473" width="16.5703125" style="1" customWidth="1"/>
    <col min="14474" max="14474" width="16.7109375" style="1" customWidth="1"/>
    <col min="14475" max="14475" width="15.42578125" style="1" customWidth="1"/>
    <col min="14476" max="14476" width="14.85546875" style="1" customWidth="1"/>
    <col min="14477" max="14477" width="17.140625" style="1" customWidth="1"/>
    <col min="14478" max="14478" width="16.7109375" style="1" customWidth="1"/>
    <col min="14479" max="14479" width="16.5703125" style="1" customWidth="1"/>
    <col min="14480" max="14480" width="16.28515625" style="1" customWidth="1"/>
    <col min="14481" max="14481" width="14.85546875" style="1" customWidth="1"/>
    <col min="14482" max="14482" width="16.140625" style="1" customWidth="1"/>
    <col min="14483" max="14483" width="16" style="1" customWidth="1"/>
    <col min="14484" max="14484" width="15.5703125" style="1" customWidth="1"/>
    <col min="14485" max="14485" width="16.28515625" style="1" customWidth="1"/>
    <col min="14486" max="14486" width="17.140625" style="1" customWidth="1"/>
    <col min="14487" max="14487" width="16.28515625" style="1" customWidth="1"/>
    <col min="14488" max="14488" width="15.7109375" style="1" customWidth="1"/>
    <col min="14489" max="14489" width="15.42578125" style="1" customWidth="1"/>
    <col min="14490" max="14592" width="9.140625" style="1"/>
    <col min="14593" max="14593" width="19.85546875" style="1" customWidth="1"/>
    <col min="14594" max="14594" width="22" style="1" customWidth="1"/>
    <col min="14595" max="14595" width="18.42578125" style="1" bestFit="1" customWidth="1"/>
    <col min="14596" max="14597" width="16.42578125" style="1" customWidth="1"/>
    <col min="14598" max="14598" width="18.85546875" style="1" customWidth="1"/>
    <col min="14599" max="14600" width="15.5703125" style="1" customWidth="1"/>
    <col min="14601" max="14601" width="11.28515625" style="1" customWidth="1"/>
    <col min="14602" max="14602" width="12.7109375" style="1" customWidth="1"/>
    <col min="14603" max="14607" width="14.7109375" style="1" customWidth="1"/>
    <col min="14608" max="14611" width="13.85546875" style="1" customWidth="1"/>
    <col min="14612" max="14612" width="14.28515625" style="1" customWidth="1"/>
    <col min="14613" max="14613" width="13.85546875" style="1" customWidth="1"/>
    <col min="14614" max="14626" width="13.42578125" style="1" customWidth="1"/>
    <col min="14627" max="14627" width="16.85546875" style="1" customWidth="1"/>
    <col min="14628" max="14628" width="12.42578125" style="1" customWidth="1"/>
    <col min="14629" max="14629" width="13.5703125" style="1" customWidth="1"/>
    <col min="14630" max="14633" width="12.42578125" style="1" customWidth="1"/>
    <col min="14634" max="14635" width="13.140625" style="1" customWidth="1"/>
    <col min="14636" max="14670" width="14.42578125" style="1" customWidth="1"/>
    <col min="14671" max="14682" width="12.42578125" style="1" customWidth="1"/>
    <col min="14683" max="14683" width="17.5703125" style="1" customWidth="1"/>
    <col min="14684" max="14684" width="15.140625" style="1" customWidth="1"/>
    <col min="14685" max="14686" width="15.42578125" style="1" customWidth="1"/>
    <col min="14687" max="14688" width="15.5703125" style="1" customWidth="1"/>
    <col min="14689" max="14689" width="17" style="1" customWidth="1"/>
    <col min="14690" max="14690" width="15.5703125" style="1" customWidth="1"/>
    <col min="14691" max="14691" width="17.7109375" style="1" customWidth="1"/>
    <col min="14692" max="14692" width="18.42578125" style="1" customWidth="1"/>
    <col min="14693" max="14693" width="17.5703125" style="1" customWidth="1"/>
    <col min="14694" max="14695" width="16" style="1" customWidth="1"/>
    <col min="14696" max="14699" width="12.42578125" style="1" customWidth="1"/>
    <col min="14700" max="14700" width="17.7109375" style="1" bestFit="1" customWidth="1"/>
    <col min="14701" max="14701" width="12.42578125" style="1" customWidth="1"/>
    <col min="14702" max="14702" width="13.7109375" style="1" customWidth="1"/>
    <col min="14703" max="14703" width="15.5703125" style="1" customWidth="1"/>
    <col min="14704" max="14707" width="13.7109375" style="1" customWidth="1"/>
    <col min="14708" max="14709" width="12.42578125" style="1" customWidth="1"/>
    <col min="14710" max="14710" width="14.85546875" style="1" customWidth="1"/>
    <col min="14711" max="14711" width="12.42578125" style="1" customWidth="1"/>
    <col min="14712" max="14713" width="13.42578125" style="1" customWidth="1"/>
    <col min="14714" max="14714" width="17" style="1" customWidth="1"/>
    <col min="14715" max="14716" width="12.42578125" style="1" customWidth="1"/>
    <col min="14717" max="14717" width="16.42578125" style="1" customWidth="1"/>
    <col min="14718" max="14718" width="12.42578125" style="1" customWidth="1"/>
    <col min="14719" max="14719" width="13.42578125" style="1" customWidth="1"/>
    <col min="14720" max="14720" width="12.42578125" style="1" customWidth="1"/>
    <col min="14721" max="14722" width="11.7109375" style="1" customWidth="1"/>
    <col min="14723" max="14723" width="11.42578125" style="1" customWidth="1"/>
    <col min="14724" max="14724" width="11.7109375" style="1" customWidth="1"/>
    <col min="14725" max="14725" width="11.42578125" style="1" customWidth="1"/>
    <col min="14726" max="14727" width="15.42578125" style="1" customWidth="1"/>
    <col min="14728" max="14728" width="16.140625" style="1" customWidth="1"/>
    <col min="14729" max="14729" width="16.5703125" style="1" customWidth="1"/>
    <col min="14730" max="14730" width="16.7109375" style="1" customWidth="1"/>
    <col min="14731" max="14731" width="15.42578125" style="1" customWidth="1"/>
    <col min="14732" max="14732" width="14.85546875" style="1" customWidth="1"/>
    <col min="14733" max="14733" width="17.140625" style="1" customWidth="1"/>
    <col min="14734" max="14734" width="16.7109375" style="1" customWidth="1"/>
    <col min="14735" max="14735" width="16.5703125" style="1" customWidth="1"/>
    <col min="14736" max="14736" width="16.28515625" style="1" customWidth="1"/>
    <col min="14737" max="14737" width="14.85546875" style="1" customWidth="1"/>
    <col min="14738" max="14738" width="16.140625" style="1" customWidth="1"/>
    <col min="14739" max="14739" width="16" style="1" customWidth="1"/>
    <col min="14740" max="14740" width="15.5703125" style="1" customWidth="1"/>
    <col min="14741" max="14741" width="16.28515625" style="1" customWidth="1"/>
    <col min="14742" max="14742" width="17.140625" style="1" customWidth="1"/>
    <col min="14743" max="14743" width="16.28515625" style="1" customWidth="1"/>
    <col min="14744" max="14744" width="15.7109375" style="1" customWidth="1"/>
    <col min="14745" max="14745" width="15.42578125" style="1" customWidth="1"/>
    <col min="14746" max="14848" width="9.140625" style="1"/>
    <col min="14849" max="14849" width="19.85546875" style="1" customWidth="1"/>
    <col min="14850" max="14850" width="22" style="1" customWidth="1"/>
    <col min="14851" max="14851" width="18.42578125" style="1" bestFit="1" customWidth="1"/>
    <col min="14852" max="14853" width="16.42578125" style="1" customWidth="1"/>
    <col min="14854" max="14854" width="18.85546875" style="1" customWidth="1"/>
    <col min="14855" max="14856" width="15.5703125" style="1" customWidth="1"/>
    <col min="14857" max="14857" width="11.28515625" style="1" customWidth="1"/>
    <col min="14858" max="14858" width="12.7109375" style="1" customWidth="1"/>
    <col min="14859" max="14863" width="14.7109375" style="1" customWidth="1"/>
    <col min="14864" max="14867" width="13.85546875" style="1" customWidth="1"/>
    <col min="14868" max="14868" width="14.28515625" style="1" customWidth="1"/>
    <col min="14869" max="14869" width="13.85546875" style="1" customWidth="1"/>
    <col min="14870" max="14882" width="13.42578125" style="1" customWidth="1"/>
    <col min="14883" max="14883" width="16.85546875" style="1" customWidth="1"/>
    <col min="14884" max="14884" width="12.42578125" style="1" customWidth="1"/>
    <col min="14885" max="14885" width="13.5703125" style="1" customWidth="1"/>
    <col min="14886" max="14889" width="12.42578125" style="1" customWidth="1"/>
    <col min="14890" max="14891" width="13.140625" style="1" customWidth="1"/>
    <col min="14892" max="14926" width="14.42578125" style="1" customWidth="1"/>
    <col min="14927" max="14938" width="12.42578125" style="1" customWidth="1"/>
    <col min="14939" max="14939" width="17.5703125" style="1" customWidth="1"/>
    <col min="14940" max="14940" width="15.140625" style="1" customWidth="1"/>
    <col min="14941" max="14942" width="15.42578125" style="1" customWidth="1"/>
    <col min="14943" max="14944" width="15.5703125" style="1" customWidth="1"/>
    <col min="14945" max="14945" width="17" style="1" customWidth="1"/>
    <col min="14946" max="14946" width="15.5703125" style="1" customWidth="1"/>
    <col min="14947" max="14947" width="17.7109375" style="1" customWidth="1"/>
    <col min="14948" max="14948" width="18.42578125" style="1" customWidth="1"/>
    <col min="14949" max="14949" width="17.5703125" style="1" customWidth="1"/>
    <col min="14950" max="14951" width="16" style="1" customWidth="1"/>
    <col min="14952" max="14955" width="12.42578125" style="1" customWidth="1"/>
    <col min="14956" max="14956" width="17.7109375" style="1" bestFit="1" customWidth="1"/>
    <col min="14957" max="14957" width="12.42578125" style="1" customWidth="1"/>
    <col min="14958" max="14958" width="13.7109375" style="1" customWidth="1"/>
    <col min="14959" max="14959" width="15.5703125" style="1" customWidth="1"/>
    <col min="14960" max="14963" width="13.7109375" style="1" customWidth="1"/>
    <col min="14964" max="14965" width="12.42578125" style="1" customWidth="1"/>
    <col min="14966" max="14966" width="14.85546875" style="1" customWidth="1"/>
    <col min="14967" max="14967" width="12.42578125" style="1" customWidth="1"/>
    <col min="14968" max="14969" width="13.42578125" style="1" customWidth="1"/>
    <col min="14970" max="14970" width="17" style="1" customWidth="1"/>
    <col min="14971" max="14972" width="12.42578125" style="1" customWidth="1"/>
    <col min="14973" max="14973" width="16.42578125" style="1" customWidth="1"/>
    <col min="14974" max="14974" width="12.42578125" style="1" customWidth="1"/>
    <col min="14975" max="14975" width="13.42578125" style="1" customWidth="1"/>
    <col min="14976" max="14976" width="12.42578125" style="1" customWidth="1"/>
    <col min="14977" max="14978" width="11.7109375" style="1" customWidth="1"/>
    <col min="14979" max="14979" width="11.42578125" style="1" customWidth="1"/>
    <col min="14980" max="14980" width="11.7109375" style="1" customWidth="1"/>
    <col min="14981" max="14981" width="11.42578125" style="1" customWidth="1"/>
    <col min="14982" max="14983" width="15.42578125" style="1" customWidth="1"/>
    <col min="14984" max="14984" width="16.140625" style="1" customWidth="1"/>
    <col min="14985" max="14985" width="16.5703125" style="1" customWidth="1"/>
    <col min="14986" max="14986" width="16.7109375" style="1" customWidth="1"/>
    <col min="14987" max="14987" width="15.42578125" style="1" customWidth="1"/>
    <col min="14988" max="14988" width="14.85546875" style="1" customWidth="1"/>
    <col min="14989" max="14989" width="17.140625" style="1" customWidth="1"/>
    <col min="14990" max="14990" width="16.7109375" style="1" customWidth="1"/>
    <col min="14991" max="14991" width="16.5703125" style="1" customWidth="1"/>
    <col min="14992" max="14992" width="16.28515625" style="1" customWidth="1"/>
    <col min="14993" max="14993" width="14.85546875" style="1" customWidth="1"/>
    <col min="14994" max="14994" width="16.140625" style="1" customWidth="1"/>
    <col min="14995" max="14995" width="16" style="1" customWidth="1"/>
    <col min="14996" max="14996" width="15.5703125" style="1" customWidth="1"/>
    <col min="14997" max="14997" width="16.28515625" style="1" customWidth="1"/>
    <col min="14998" max="14998" width="17.140625" style="1" customWidth="1"/>
    <col min="14999" max="14999" width="16.28515625" style="1" customWidth="1"/>
    <col min="15000" max="15000" width="15.7109375" style="1" customWidth="1"/>
    <col min="15001" max="15001" width="15.42578125" style="1" customWidth="1"/>
    <col min="15002" max="15104" width="9.140625" style="1"/>
    <col min="15105" max="15105" width="19.85546875" style="1" customWidth="1"/>
    <col min="15106" max="15106" width="22" style="1" customWidth="1"/>
    <col min="15107" max="15107" width="18.42578125" style="1" bestFit="1" customWidth="1"/>
    <col min="15108" max="15109" width="16.42578125" style="1" customWidth="1"/>
    <col min="15110" max="15110" width="18.85546875" style="1" customWidth="1"/>
    <col min="15111" max="15112" width="15.5703125" style="1" customWidth="1"/>
    <col min="15113" max="15113" width="11.28515625" style="1" customWidth="1"/>
    <col min="15114" max="15114" width="12.7109375" style="1" customWidth="1"/>
    <col min="15115" max="15119" width="14.7109375" style="1" customWidth="1"/>
    <col min="15120" max="15123" width="13.85546875" style="1" customWidth="1"/>
    <col min="15124" max="15124" width="14.28515625" style="1" customWidth="1"/>
    <col min="15125" max="15125" width="13.85546875" style="1" customWidth="1"/>
    <col min="15126" max="15138" width="13.42578125" style="1" customWidth="1"/>
    <col min="15139" max="15139" width="16.85546875" style="1" customWidth="1"/>
    <col min="15140" max="15140" width="12.42578125" style="1" customWidth="1"/>
    <col min="15141" max="15141" width="13.5703125" style="1" customWidth="1"/>
    <col min="15142" max="15145" width="12.42578125" style="1" customWidth="1"/>
    <col min="15146" max="15147" width="13.140625" style="1" customWidth="1"/>
    <col min="15148" max="15182" width="14.42578125" style="1" customWidth="1"/>
    <col min="15183" max="15194" width="12.42578125" style="1" customWidth="1"/>
    <col min="15195" max="15195" width="17.5703125" style="1" customWidth="1"/>
    <col min="15196" max="15196" width="15.140625" style="1" customWidth="1"/>
    <col min="15197" max="15198" width="15.42578125" style="1" customWidth="1"/>
    <col min="15199" max="15200" width="15.5703125" style="1" customWidth="1"/>
    <col min="15201" max="15201" width="17" style="1" customWidth="1"/>
    <col min="15202" max="15202" width="15.5703125" style="1" customWidth="1"/>
    <col min="15203" max="15203" width="17.7109375" style="1" customWidth="1"/>
    <col min="15204" max="15204" width="18.42578125" style="1" customWidth="1"/>
    <col min="15205" max="15205" width="17.5703125" style="1" customWidth="1"/>
    <col min="15206" max="15207" width="16" style="1" customWidth="1"/>
    <col min="15208" max="15211" width="12.42578125" style="1" customWidth="1"/>
    <col min="15212" max="15212" width="17.7109375" style="1" bestFit="1" customWidth="1"/>
    <col min="15213" max="15213" width="12.42578125" style="1" customWidth="1"/>
    <col min="15214" max="15214" width="13.7109375" style="1" customWidth="1"/>
    <col min="15215" max="15215" width="15.5703125" style="1" customWidth="1"/>
    <col min="15216" max="15219" width="13.7109375" style="1" customWidth="1"/>
    <col min="15220" max="15221" width="12.42578125" style="1" customWidth="1"/>
    <col min="15222" max="15222" width="14.85546875" style="1" customWidth="1"/>
    <col min="15223" max="15223" width="12.42578125" style="1" customWidth="1"/>
    <col min="15224" max="15225" width="13.42578125" style="1" customWidth="1"/>
    <col min="15226" max="15226" width="17" style="1" customWidth="1"/>
    <col min="15227" max="15228" width="12.42578125" style="1" customWidth="1"/>
    <col min="15229" max="15229" width="16.42578125" style="1" customWidth="1"/>
    <col min="15230" max="15230" width="12.42578125" style="1" customWidth="1"/>
    <col min="15231" max="15231" width="13.42578125" style="1" customWidth="1"/>
    <col min="15232" max="15232" width="12.42578125" style="1" customWidth="1"/>
    <col min="15233" max="15234" width="11.7109375" style="1" customWidth="1"/>
    <col min="15235" max="15235" width="11.42578125" style="1" customWidth="1"/>
    <col min="15236" max="15236" width="11.7109375" style="1" customWidth="1"/>
    <col min="15237" max="15237" width="11.42578125" style="1" customWidth="1"/>
    <col min="15238" max="15239" width="15.42578125" style="1" customWidth="1"/>
    <col min="15240" max="15240" width="16.140625" style="1" customWidth="1"/>
    <col min="15241" max="15241" width="16.5703125" style="1" customWidth="1"/>
    <col min="15242" max="15242" width="16.7109375" style="1" customWidth="1"/>
    <col min="15243" max="15243" width="15.42578125" style="1" customWidth="1"/>
    <col min="15244" max="15244" width="14.85546875" style="1" customWidth="1"/>
    <col min="15245" max="15245" width="17.140625" style="1" customWidth="1"/>
    <col min="15246" max="15246" width="16.7109375" style="1" customWidth="1"/>
    <col min="15247" max="15247" width="16.5703125" style="1" customWidth="1"/>
    <col min="15248" max="15248" width="16.28515625" style="1" customWidth="1"/>
    <col min="15249" max="15249" width="14.85546875" style="1" customWidth="1"/>
    <col min="15250" max="15250" width="16.140625" style="1" customWidth="1"/>
    <col min="15251" max="15251" width="16" style="1" customWidth="1"/>
    <col min="15252" max="15252" width="15.5703125" style="1" customWidth="1"/>
    <col min="15253" max="15253" width="16.28515625" style="1" customWidth="1"/>
    <col min="15254" max="15254" width="17.140625" style="1" customWidth="1"/>
    <col min="15255" max="15255" width="16.28515625" style="1" customWidth="1"/>
    <col min="15256" max="15256" width="15.7109375" style="1" customWidth="1"/>
    <col min="15257" max="15257" width="15.42578125" style="1" customWidth="1"/>
    <col min="15258" max="15360" width="9.140625" style="1"/>
    <col min="15361" max="15361" width="19.85546875" style="1" customWidth="1"/>
    <col min="15362" max="15362" width="22" style="1" customWidth="1"/>
    <col min="15363" max="15363" width="18.42578125" style="1" bestFit="1" customWidth="1"/>
    <col min="15364" max="15365" width="16.42578125" style="1" customWidth="1"/>
    <col min="15366" max="15366" width="18.85546875" style="1" customWidth="1"/>
    <col min="15367" max="15368" width="15.5703125" style="1" customWidth="1"/>
    <col min="15369" max="15369" width="11.28515625" style="1" customWidth="1"/>
    <col min="15370" max="15370" width="12.7109375" style="1" customWidth="1"/>
    <col min="15371" max="15375" width="14.7109375" style="1" customWidth="1"/>
    <col min="15376" max="15379" width="13.85546875" style="1" customWidth="1"/>
    <col min="15380" max="15380" width="14.28515625" style="1" customWidth="1"/>
    <col min="15381" max="15381" width="13.85546875" style="1" customWidth="1"/>
    <col min="15382" max="15394" width="13.42578125" style="1" customWidth="1"/>
    <col min="15395" max="15395" width="16.85546875" style="1" customWidth="1"/>
    <col min="15396" max="15396" width="12.42578125" style="1" customWidth="1"/>
    <col min="15397" max="15397" width="13.5703125" style="1" customWidth="1"/>
    <col min="15398" max="15401" width="12.42578125" style="1" customWidth="1"/>
    <col min="15402" max="15403" width="13.140625" style="1" customWidth="1"/>
    <col min="15404" max="15438" width="14.42578125" style="1" customWidth="1"/>
    <col min="15439" max="15450" width="12.42578125" style="1" customWidth="1"/>
    <col min="15451" max="15451" width="17.5703125" style="1" customWidth="1"/>
    <col min="15452" max="15452" width="15.140625" style="1" customWidth="1"/>
    <col min="15453" max="15454" width="15.42578125" style="1" customWidth="1"/>
    <col min="15455" max="15456" width="15.5703125" style="1" customWidth="1"/>
    <col min="15457" max="15457" width="17" style="1" customWidth="1"/>
    <col min="15458" max="15458" width="15.5703125" style="1" customWidth="1"/>
    <col min="15459" max="15459" width="17.7109375" style="1" customWidth="1"/>
    <col min="15460" max="15460" width="18.42578125" style="1" customWidth="1"/>
    <col min="15461" max="15461" width="17.5703125" style="1" customWidth="1"/>
    <col min="15462" max="15463" width="16" style="1" customWidth="1"/>
    <col min="15464" max="15467" width="12.42578125" style="1" customWidth="1"/>
    <col min="15468" max="15468" width="17.7109375" style="1" bestFit="1" customWidth="1"/>
    <col min="15469" max="15469" width="12.42578125" style="1" customWidth="1"/>
    <col min="15470" max="15470" width="13.7109375" style="1" customWidth="1"/>
    <col min="15471" max="15471" width="15.5703125" style="1" customWidth="1"/>
    <col min="15472" max="15475" width="13.7109375" style="1" customWidth="1"/>
    <col min="15476" max="15477" width="12.42578125" style="1" customWidth="1"/>
    <col min="15478" max="15478" width="14.85546875" style="1" customWidth="1"/>
    <col min="15479" max="15479" width="12.42578125" style="1" customWidth="1"/>
    <col min="15480" max="15481" width="13.42578125" style="1" customWidth="1"/>
    <col min="15482" max="15482" width="17" style="1" customWidth="1"/>
    <col min="15483" max="15484" width="12.42578125" style="1" customWidth="1"/>
    <col min="15485" max="15485" width="16.42578125" style="1" customWidth="1"/>
    <col min="15486" max="15486" width="12.42578125" style="1" customWidth="1"/>
    <col min="15487" max="15487" width="13.42578125" style="1" customWidth="1"/>
    <col min="15488" max="15488" width="12.42578125" style="1" customWidth="1"/>
    <col min="15489" max="15490" width="11.7109375" style="1" customWidth="1"/>
    <col min="15491" max="15491" width="11.42578125" style="1" customWidth="1"/>
    <col min="15492" max="15492" width="11.7109375" style="1" customWidth="1"/>
    <col min="15493" max="15493" width="11.42578125" style="1" customWidth="1"/>
    <col min="15494" max="15495" width="15.42578125" style="1" customWidth="1"/>
    <col min="15496" max="15496" width="16.140625" style="1" customWidth="1"/>
    <col min="15497" max="15497" width="16.5703125" style="1" customWidth="1"/>
    <col min="15498" max="15498" width="16.7109375" style="1" customWidth="1"/>
    <col min="15499" max="15499" width="15.42578125" style="1" customWidth="1"/>
    <col min="15500" max="15500" width="14.85546875" style="1" customWidth="1"/>
    <col min="15501" max="15501" width="17.140625" style="1" customWidth="1"/>
    <col min="15502" max="15502" width="16.7109375" style="1" customWidth="1"/>
    <col min="15503" max="15503" width="16.5703125" style="1" customWidth="1"/>
    <col min="15504" max="15504" width="16.28515625" style="1" customWidth="1"/>
    <col min="15505" max="15505" width="14.85546875" style="1" customWidth="1"/>
    <col min="15506" max="15506" width="16.140625" style="1" customWidth="1"/>
    <col min="15507" max="15507" width="16" style="1" customWidth="1"/>
    <col min="15508" max="15508" width="15.5703125" style="1" customWidth="1"/>
    <col min="15509" max="15509" width="16.28515625" style="1" customWidth="1"/>
    <col min="15510" max="15510" width="17.140625" style="1" customWidth="1"/>
    <col min="15511" max="15511" width="16.28515625" style="1" customWidth="1"/>
    <col min="15512" max="15512" width="15.7109375" style="1" customWidth="1"/>
    <col min="15513" max="15513" width="15.42578125" style="1" customWidth="1"/>
    <col min="15514" max="15616" width="9.140625" style="1"/>
    <col min="15617" max="15617" width="19.85546875" style="1" customWidth="1"/>
    <col min="15618" max="15618" width="22" style="1" customWidth="1"/>
    <col min="15619" max="15619" width="18.42578125" style="1" bestFit="1" customWidth="1"/>
    <col min="15620" max="15621" width="16.42578125" style="1" customWidth="1"/>
    <col min="15622" max="15622" width="18.85546875" style="1" customWidth="1"/>
    <col min="15623" max="15624" width="15.5703125" style="1" customWidth="1"/>
    <col min="15625" max="15625" width="11.28515625" style="1" customWidth="1"/>
    <col min="15626" max="15626" width="12.7109375" style="1" customWidth="1"/>
    <col min="15627" max="15631" width="14.7109375" style="1" customWidth="1"/>
    <col min="15632" max="15635" width="13.85546875" style="1" customWidth="1"/>
    <col min="15636" max="15636" width="14.28515625" style="1" customWidth="1"/>
    <col min="15637" max="15637" width="13.85546875" style="1" customWidth="1"/>
    <col min="15638" max="15650" width="13.42578125" style="1" customWidth="1"/>
    <col min="15651" max="15651" width="16.85546875" style="1" customWidth="1"/>
    <col min="15652" max="15652" width="12.42578125" style="1" customWidth="1"/>
    <col min="15653" max="15653" width="13.5703125" style="1" customWidth="1"/>
    <col min="15654" max="15657" width="12.42578125" style="1" customWidth="1"/>
    <col min="15658" max="15659" width="13.140625" style="1" customWidth="1"/>
    <col min="15660" max="15694" width="14.42578125" style="1" customWidth="1"/>
    <col min="15695" max="15706" width="12.42578125" style="1" customWidth="1"/>
    <col min="15707" max="15707" width="17.5703125" style="1" customWidth="1"/>
    <col min="15708" max="15708" width="15.140625" style="1" customWidth="1"/>
    <col min="15709" max="15710" width="15.42578125" style="1" customWidth="1"/>
    <col min="15711" max="15712" width="15.5703125" style="1" customWidth="1"/>
    <col min="15713" max="15713" width="17" style="1" customWidth="1"/>
    <col min="15714" max="15714" width="15.5703125" style="1" customWidth="1"/>
    <col min="15715" max="15715" width="17.7109375" style="1" customWidth="1"/>
    <col min="15716" max="15716" width="18.42578125" style="1" customWidth="1"/>
    <col min="15717" max="15717" width="17.5703125" style="1" customWidth="1"/>
    <col min="15718" max="15719" width="16" style="1" customWidth="1"/>
    <col min="15720" max="15723" width="12.42578125" style="1" customWidth="1"/>
    <col min="15724" max="15724" width="17.7109375" style="1" bestFit="1" customWidth="1"/>
    <col min="15725" max="15725" width="12.42578125" style="1" customWidth="1"/>
    <col min="15726" max="15726" width="13.7109375" style="1" customWidth="1"/>
    <col min="15727" max="15727" width="15.5703125" style="1" customWidth="1"/>
    <col min="15728" max="15731" width="13.7109375" style="1" customWidth="1"/>
    <col min="15732" max="15733" width="12.42578125" style="1" customWidth="1"/>
    <col min="15734" max="15734" width="14.85546875" style="1" customWidth="1"/>
    <col min="15735" max="15735" width="12.42578125" style="1" customWidth="1"/>
    <col min="15736" max="15737" width="13.42578125" style="1" customWidth="1"/>
    <col min="15738" max="15738" width="17" style="1" customWidth="1"/>
    <col min="15739" max="15740" width="12.42578125" style="1" customWidth="1"/>
    <col min="15741" max="15741" width="16.42578125" style="1" customWidth="1"/>
    <col min="15742" max="15742" width="12.42578125" style="1" customWidth="1"/>
    <col min="15743" max="15743" width="13.42578125" style="1" customWidth="1"/>
    <col min="15744" max="15744" width="12.42578125" style="1" customWidth="1"/>
    <col min="15745" max="15746" width="11.7109375" style="1" customWidth="1"/>
    <col min="15747" max="15747" width="11.42578125" style="1" customWidth="1"/>
    <col min="15748" max="15748" width="11.7109375" style="1" customWidth="1"/>
    <col min="15749" max="15749" width="11.42578125" style="1" customWidth="1"/>
    <col min="15750" max="15751" width="15.42578125" style="1" customWidth="1"/>
    <col min="15752" max="15752" width="16.140625" style="1" customWidth="1"/>
    <col min="15753" max="15753" width="16.5703125" style="1" customWidth="1"/>
    <col min="15754" max="15754" width="16.7109375" style="1" customWidth="1"/>
    <col min="15755" max="15755" width="15.42578125" style="1" customWidth="1"/>
    <col min="15756" max="15756" width="14.85546875" style="1" customWidth="1"/>
    <col min="15757" max="15757" width="17.140625" style="1" customWidth="1"/>
    <col min="15758" max="15758" width="16.7109375" style="1" customWidth="1"/>
    <col min="15759" max="15759" width="16.5703125" style="1" customWidth="1"/>
    <col min="15760" max="15760" width="16.28515625" style="1" customWidth="1"/>
    <col min="15761" max="15761" width="14.85546875" style="1" customWidth="1"/>
    <col min="15762" max="15762" width="16.140625" style="1" customWidth="1"/>
    <col min="15763" max="15763" width="16" style="1" customWidth="1"/>
    <col min="15764" max="15764" width="15.5703125" style="1" customWidth="1"/>
    <col min="15765" max="15765" width="16.28515625" style="1" customWidth="1"/>
    <col min="15766" max="15766" width="17.140625" style="1" customWidth="1"/>
    <col min="15767" max="15767" width="16.28515625" style="1" customWidth="1"/>
    <col min="15768" max="15768" width="15.7109375" style="1" customWidth="1"/>
    <col min="15769" max="15769" width="15.42578125" style="1" customWidth="1"/>
    <col min="15770" max="15872" width="9.140625" style="1"/>
    <col min="15873" max="15873" width="19.85546875" style="1" customWidth="1"/>
    <col min="15874" max="15874" width="22" style="1" customWidth="1"/>
    <col min="15875" max="15875" width="18.42578125" style="1" bestFit="1" customWidth="1"/>
    <col min="15876" max="15877" width="16.42578125" style="1" customWidth="1"/>
    <col min="15878" max="15878" width="18.85546875" style="1" customWidth="1"/>
    <col min="15879" max="15880" width="15.5703125" style="1" customWidth="1"/>
    <col min="15881" max="15881" width="11.28515625" style="1" customWidth="1"/>
    <col min="15882" max="15882" width="12.7109375" style="1" customWidth="1"/>
    <col min="15883" max="15887" width="14.7109375" style="1" customWidth="1"/>
    <col min="15888" max="15891" width="13.85546875" style="1" customWidth="1"/>
    <col min="15892" max="15892" width="14.28515625" style="1" customWidth="1"/>
    <col min="15893" max="15893" width="13.85546875" style="1" customWidth="1"/>
    <col min="15894" max="15906" width="13.42578125" style="1" customWidth="1"/>
    <col min="15907" max="15907" width="16.85546875" style="1" customWidth="1"/>
    <col min="15908" max="15908" width="12.42578125" style="1" customWidth="1"/>
    <col min="15909" max="15909" width="13.5703125" style="1" customWidth="1"/>
    <col min="15910" max="15913" width="12.42578125" style="1" customWidth="1"/>
    <col min="15914" max="15915" width="13.140625" style="1" customWidth="1"/>
    <col min="15916" max="15950" width="14.42578125" style="1" customWidth="1"/>
    <col min="15951" max="15962" width="12.42578125" style="1" customWidth="1"/>
    <col min="15963" max="15963" width="17.5703125" style="1" customWidth="1"/>
    <col min="15964" max="15964" width="15.140625" style="1" customWidth="1"/>
    <col min="15965" max="15966" width="15.42578125" style="1" customWidth="1"/>
    <col min="15967" max="15968" width="15.5703125" style="1" customWidth="1"/>
    <col min="15969" max="15969" width="17" style="1" customWidth="1"/>
    <col min="15970" max="15970" width="15.5703125" style="1" customWidth="1"/>
    <col min="15971" max="15971" width="17.7109375" style="1" customWidth="1"/>
    <col min="15972" max="15972" width="18.42578125" style="1" customWidth="1"/>
    <col min="15973" max="15973" width="17.5703125" style="1" customWidth="1"/>
    <col min="15974" max="15975" width="16" style="1" customWidth="1"/>
    <col min="15976" max="15979" width="12.42578125" style="1" customWidth="1"/>
    <col min="15980" max="15980" width="17.7109375" style="1" bestFit="1" customWidth="1"/>
    <col min="15981" max="15981" width="12.42578125" style="1" customWidth="1"/>
    <col min="15982" max="15982" width="13.7109375" style="1" customWidth="1"/>
    <col min="15983" max="15983" width="15.5703125" style="1" customWidth="1"/>
    <col min="15984" max="15987" width="13.7109375" style="1" customWidth="1"/>
    <col min="15988" max="15989" width="12.42578125" style="1" customWidth="1"/>
    <col min="15990" max="15990" width="14.85546875" style="1" customWidth="1"/>
    <col min="15991" max="15991" width="12.42578125" style="1" customWidth="1"/>
    <col min="15992" max="15993" width="13.42578125" style="1" customWidth="1"/>
    <col min="15994" max="15994" width="17" style="1" customWidth="1"/>
    <col min="15995" max="15996" width="12.42578125" style="1" customWidth="1"/>
    <col min="15997" max="15997" width="16.42578125" style="1" customWidth="1"/>
    <col min="15998" max="15998" width="12.42578125" style="1" customWidth="1"/>
    <col min="15999" max="15999" width="13.42578125" style="1" customWidth="1"/>
    <col min="16000" max="16000" width="12.42578125" style="1" customWidth="1"/>
    <col min="16001" max="16002" width="11.7109375" style="1" customWidth="1"/>
    <col min="16003" max="16003" width="11.42578125" style="1" customWidth="1"/>
    <col min="16004" max="16004" width="11.7109375" style="1" customWidth="1"/>
    <col min="16005" max="16005" width="11.42578125" style="1" customWidth="1"/>
    <col min="16006" max="16007" width="15.42578125" style="1" customWidth="1"/>
    <col min="16008" max="16008" width="16.140625" style="1" customWidth="1"/>
    <col min="16009" max="16009" width="16.5703125" style="1" customWidth="1"/>
    <col min="16010" max="16010" width="16.7109375" style="1" customWidth="1"/>
    <col min="16011" max="16011" width="15.42578125" style="1" customWidth="1"/>
    <col min="16012" max="16012" width="14.85546875" style="1" customWidth="1"/>
    <col min="16013" max="16013" width="17.140625" style="1" customWidth="1"/>
    <col min="16014" max="16014" width="16.7109375" style="1" customWidth="1"/>
    <col min="16015" max="16015" width="16.5703125" style="1" customWidth="1"/>
    <col min="16016" max="16016" width="16.28515625" style="1" customWidth="1"/>
    <col min="16017" max="16017" width="14.85546875" style="1" customWidth="1"/>
    <col min="16018" max="16018" width="16.140625" style="1" customWidth="1"/>
    <col min="16019" max="16019" width="16" style="1" customWidth="1"/>
    <col min="16020" max="16020" width="15.5703125" style="1" customWidth="1"/>
    <col min="16021" max="16021" width="16.28515625" style="1" customWidth="1"/>
    <col min="16022" max="16022" width="17.140625" style="1" customWidth="1"/>
    <col min="16023" max="16023" width="16.28515625" style="1" customWidth="1"/>
    <col min="16024" max="16024" width="15.7109375" style="1" customWidth="1"/>
    <col min="16025" max="16025" width="15.42578125" style="1" customWidth="1"/>
    <col min="16026" max="16128" width="9.140625" style="1"/>
    <col min="16129" max="16129" width="19.85546875" style="1" customWidth="1"/>
    <col min="16130" max="16130" width="22" style="1" customWidth="1"/>
    <col min="16131" max="16131" width="18.42578125" style="1" bestFit="1" customWidth="1"/>
    <col min="16132" max="16133" width="16.42578125" style="1" customWidth="1"/>
    <col min="16134" max="16134" width="18.85546875" style="1" customWidth="1"/>
    <col min="16135" max="16136" width="15.5703125" style="1" customWidth="1"/>
    <col min="16137" max="16137" width="11.28515625" style="1" customWidth="1"/>
    <col min="16138" max="16138" width="12.7109375" style="1" customWidth="1"/>
    <col min="16139" max="16143" width="14.7109375" style="1" customWidth="1"/>
    <col min="16144" max="16147" width="13.85546875" style="1" customWidth="1"/>
    <col min="16148" max="16148" width="14.28515625" style="1" customWidth="1"/>
    <col min="16149" max="16149" width="13.85546875" style="1" customWidth="1"/>
    <col min="16150" max="16162" width="13.42578125" style="1" customWidth="1"/>
    <col min="16163" max="16163" width="16.85546875" style="1" customWidth="1"/>
    <col min="16164" max="16164" width="12.42578125" style="1" customWidth="1"/>
    <col min="16165" max="16165" width="13.5703125" style="1" customWidth="1"/>
    <col min="16166" max="16169" width="12.42578125" style="1" customWidth="1"/>
    <col min="16170" max="16171" width="13.140625" style="1" customWidth="1"/>
    <col min="16172" max="16206" width="14.42578125" style="1" customWidth="1"/>
    <col min="16207" max="16218" width="12.42578125" style="1" customWidth="1"/>
    <col min="16219" max="16219" width="17.5703125" style="1" customWidth="1"/>
    <col min="16220" max="16220" width="15.140625" style="1" customWidth="1"/>
    <col min="16221" max="16222" width="15.42578125" style="1" customWidth="1"/>
    <col min="16223" max="16224" width="15.5703125" style="1" customWidth="1"/>
    <col min="16225" max="16225" width="17" style="1" customWidth="1"/>
    <col min="16226" max="16226" width="15.5703125" style="1" customWidth="1"/>
    <col min="16227" max="16227" width="17.7109375" style="1" customWidth="1"/>
    <col min="16228" max="16228" width="18.42578125" style="1" customWidth="1"/>
    <col min="16229" max="16229" width="17.5703125" style="1" customWidth="1"/>
    <col min="16230" max="16231" width="16" style="1" customWidth="1"/>
    <col min="16232" max="16235" width="12.42578125" style="1" customWidth="1"/>
    <col min="16236" max="16236" width="17.7109375" style="1" bestFit="1" customWidth="1"/>
    <col min="16237" max="16237" width="12.42578125" style="1" customWidth="1"/>
    <col min="16238" max="16238" width="13.7109375" style="1" customWidth="1"/>
    <col min="16239" max="16239" width="15.5703125" style="1" customWidth="1"/>
    <col min="16240" max="16243" width="13.7109375" style="1" customWidth="1"/>
    <col min="16244" max="16245" width="12.42578125" style="1" customWidth="1"/>
    <col min="16246" max="16246" width="14.85546875" style="1" customWidth="1"/>
    <col min="16247" max="16247" width="12.42578125" style="1" customWidth="1"/>
    <col min="16248" max="16249" width="13.42578125" style="1" customWidth="1"/>
    <col min="16250" max="16250" width="17" style="1" customWidth="1"/>
    <col min="16251" max="16252" width="12.42578125" style="1" customWidth="1"/>
    <col min="16253" max="16253" width="16.42578125" style="1" customWidth="1"/>
    <col min="16254" max="16254" width="12.42578125" style="1" customWidth="1"/>
    <col min="16255" max="16255" width="13.42578125" style="1" customWidth="1"/>
    <col min="16256" max="16256" width="12.42578125" style="1" customWidth="1"/>
    <col min="16257" max="16258" width="11.7109375" style="1" customWidth="1"/>
    <col min="16259" max="16259" width="11.42578125" style="1" customWidth="1"/>
    <col min="16260" max="16260" width="11.7109375" style="1" customWidth="1"/>
    <col min="16261" max="16261" width="11.42578125" style="1" customWidth="1"/>
    <col min="16262" max="16263" width="15.42578125" style="1" customWidth="1"/>
    <col min="16264" max="16264" width="16.140625" style="1" customWidth="1"/>
    <col min="16265" max="16265" width="16.5703125" style="1" customWidth="1"/>
    <col min="16266" max="16266" width="16.7109375" style="1" customWidth="1"/>
    <col min="16267" max="16267" width="15.42578125" style="1" customWidth="1"/>
    <col min="16268" max="16268" width="14.85546875" style="1" customWidth="1"/>
    <col min="16269" max="16269" width="17.140625" style="1" customWidth="1"/>
    <col min="16270" max="16270" width="16.7109375" style="1" customWidth="1"/>
    <col min="16271" max="16271" width="16.5703125" style="1" customWidth="1"/>
    <col min="16272" max="16272" width="16.28515625" style="1" customWidth="1"/>
    <col min="16273" max="16273" width="14.85546875" style="1" customWidth="1"/>
    <col min="16274" max="16274" width="16.140625" style="1" customWidth="1"/>
    <col min="16275" max="16275" width="16" style="1" customWidth="1"/>
    <col min="16276" max="16276" width="15.5703125" style="1" customWidth="1"/>
    <col min="16277" max="16277" width="16.28515625" style="1" customWidth="1"/>
    <col min="16278" max="16278" width="17.140625" style="1" customWidth="1"/>
    <col min="16279" max="16279" width="16.28515625" style="1" customWidth="1"/>
    <col min="16280" max="16280" width="15.7109375" style="1" customWidth="1"/>
    <col min="16281" max="16281" width="15.42578125" style="1" customWidth="1"/>
    <col min="16282" max="16384" width="9.140625" style="1"/>
  </cols>
  <sheetData>
    <row r="1" spans="1:185" ht="51.75" customHeight="1" x14ac:dyDescent="0.25">
      <c r="A1" s="121" t="s">
        <v>428</v>
      </c>
      <c r="B1" s="122"/>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c r="EI1" s="49"/>
      <c r="EJ1" s="49"/>
      <c r="EK1" s="49"/>
      <c r="EL1" s="49"/>
      <c r="EM1" s="49"/>
      <c r="EN1" s="49"/>
      <c r="EO1" s="49"/>
      <c r="EP1" s="49"/>
      <c r="EQ1" s="49"/>
      <c r="ER1" s="49"/>
      <c r="ES1" s="49"/>
      <c r="ET1" s="49"/>
      <c r="EU1" s="49"/>
      <c r="EV1" s="49"/>
      <c r="EW1" s="49"/>
      <c r="EX1" s="49"/>
      <c r="EY1" s="49"/>
      <c r="EZ1" s="49"/>
      <c r="FA1" s="49"/>
      <c r="FB1" s="49"/>
      <c r="FC1" s="49"/>
      <c r="FD1" s="49"/>
      <c r="FE1" s="49"/>
      <c r="FF1" s="49"/>
      <c r="FG1" s="49"/>
      <c r="FH1" s="49"/>
      <c r="FI1" s="49"/>
      <c r="FJ1" s="49"/>
      <c r="FK1" s="49"/>
      <c r="FL1" s="49"/>
      <c r="FM1" s="49"/>
      <c r="FN1" s="49"/>
      <c r="FO1" s="49"/>
      <c r="FP1" s="49"/>
      <c r="FQ1" s="49"/>
      <c r="FR1" s="49"/>
      <c r="FS1" s="49"/>
      <c r="FT1" s="49"/>
      <c r="FU1" s="49"/>
      <c r="FV1" s="49"/>
      <c r="FW1" s="49"/>
      <c r="FX1" s="49"/>
      <c r="FY1" s="49"/>
      <c r="FZ1" s="49"/>
      <c r="GA1" s="49"/>
      <c r="GB1" s="49"/>
      <c r="GC1" s="50"/>
    </row>
    <row r="2" spans="1:185" s="3" customFormat="1" ht="17.25" customHeight="1" x14ac:dyDescent="0.2">
      <c r="A2" s="123" t="s">
        <v>0</v>
      </c>
      <c r="B2" s="94" t="s">
        <v>1649</v>
      </c>
      <c r="C2" s="94"/>
      <c r="D2" s="94"/>
      <c r="E2" s="94"/>
      <c r="F2" s="9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124"/>
      <c r="CB2" s="24"/>
      <c r="CC2" s="24"/>
      <c r="CD2" s="24"/>
      <c r="CE2" s="24"/>
      <c r="CF2" s="24"/>
      <c r="CG2" s="24"/>
      <c r="CH2" s="24"/>
      <c r="CI2" s="24"/>
      <c r="CJ2" s="24"/>
      <c r="CK2" s="24"/>
      <c r="CL2" s="24"/>
      <c r="CM2" s="24"/>
      <c r="CN2" s="24"/>
      <c r="CO2" s="24"/>
      <c r="CP2" s="24"/>
      <c r="CQ2" s="24"/>
      <c r="CR2" s="124"/>
      <c r="CS2" s="24"/>
      <c r="CT2" s="24"/>
      <c r="CU2" s="24"/>
      <c r="CV2" s="24"/>
      <c r="CW2" s="24"/>
      <c r="CX2" s="24"/>
      <c r="CY2" s="24"/>
      <c r="CZ2" s="25"/>
      <c r="DA2" s="25"/>
      <c r="DB2" s="24"/>
      <c r="DC2" s="24"/>
      <c r="DD2" s="25"/>
      <c r="DE2" s="25"/>
      <c r="DF2" s="25"/>
      <c r="DG2" s="25"/>
      <c r="DH2" s="25"/>
      <c r="DI2" s="25"/>
      <c r="DJ2" s="25"/>
      <c r="DK2" s="25"/>
      <c r="DL2" s="25"/>
      <c r="DM2" s="24"/>
      <c r="DN2" s="24"/>
      <c r="DO2" s="24"/>
      <c r="DP2" s="24"/>
      <c r="DQ2" s="24"/>
      <c r="DR2" s="26"/>
      <c r="DS2" s="27"/>
      <c r="DT2" s="24"/>
      <c r="DU2" s="24"/>
      <c r="DV2" s="24"/>
      <c r="DW2" s="24"/>
      <c r="DX2" s="25"/>
      <c r="DY2" s="28"/>
      <c r="DZ2" s="29"/>
      <c r="EA2" s="29"/>
      <c r="EB2" s="29"/>
      <c r="EC2" s="30"/>
      <c r="ED2" s="24"/>
      <c r="EE2" s="26"/>
      <c r="EF2" s="24"/>
      <c r="EG2" s="24"/>
      <c r="EH2" s="26"/>
      <c r="EI2" s="24"/>
      <c r="EJ2" s="24"/>
      <c r="EK2" s="26"/>
      <c r="EL2" s="24"/>
      <c r="EM2" s="24"/>
      <c r="EN2" s="26"/>
      <c r="EO2" s="24"/>
      <c r="EP2" s="24"/>
      <c r="EQ2" s="26"/>
      <c r="ER2" s="24"/>
      <c r="ES2" s="24"/>
      <c r="ET2" s="26"/>
      <c r="EU2" s="24"/>
      <c r="EV2" s="26"/>
      <c r="EW2" s="30"/>
    </row>
    <row r="3" spans="1:185" s="3" customFormat="1" ht="15" customHeight="1" x14ac:dyDescent="0.2">
      <c r="A3" s="125" t="s">
        <v>1</v>
      </c>
      <c r="B3" s="29" t="s">
        <v>1225</v>
      </c>
      <c r="C3" s="29" t="s">
        <v>24</v>
      </c>
      <c r="D3" s="29" t="s">
        <v>1042</v>
      </c>
      <c r="E3" s="29" t="s">
        <v>25</v>
      </c>
      <c r="F3" s="29" t="s">
        <v>456</v>
      </c>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c r="BX3" s="29"/>
      <c r="BY3" s="29"/>
      <c r="BZ3" s="29"/>
      <c r="CA3" s="95" t="s">
        <v>457</v>
      </c>
      <c r="CB3" s="29"/>
      <c r="CC3" s="29"/>
      <c r="CD3" s="29"/>
      <c r="CE3" s="29"/>
      <c r="CF3" s="29"/>
      <c r="CG3" s="29"/>
      <c r="CH3" s="29"/>
      <c r="CI3" s="29"/>
      <c r="CJ3" s="29"/>
      <c r="CK3" s="29"/>
      <c r="CL3" s="29"/>
      <c r="CM3" s="29"/>
      <c r="CN3" s="29"/>
      <c r="CO3" s="29"/>
      <c r="CP3" s="29"/>
      <c r="CQ3" s="29"/>
      <c r="CR3" s="95" t="s">
        <v>458</v>
      </c>
      <c r="CS3" s="29"/>
      <c r="CT3" s="29"/>
      <c r="CU3" s="29"/>
      <c r="CV3" s="29"/>
      <c r="CW3" s="29"/>
      <c r="CX3" s="29"/>
      <c r="CY3" s="29"/>
      <c r="CZ3" s="29"/>
      <c r="DA3" s="29"/>
      <c r="DB3" s="29"/>
      <c r="DC3" s="29"/>
      <c r="DD3" s="29"/>
      <c r="DE3" s="29"/>
      <c r="DF3" s="29"/>
      <c r="DG3" s="29"/>
      <c r="DH3" s="29"/>
      <c r="DI3" s="29"/>
      <c r="DJ3" s="29"/>
      <c r="DK3" s="29"/>
      <c r="DL3" s="29"/>
      <c r="DM3" s="29"/>
      <c r="DN3" s="29"/>
      <c r="DO3" s="29"/>
      <c r="DP3" s="29"/>
      <c r="DQ3" s="29"/>
      <c r="DR3" s="29"/>
      <c r="DS3" s="29"/>
      <c r="DT3" s="29"/>
      <c r="DU3" s="29"/>
      <c r="DV3" s="29"/>
      <c r="DW3" s="29"/>
      <c r="DX3" s="29"/>
      <c r="DY3" s="31"/>
      <c r="DZ3" s="29" t="s">
        <v>459</v>
      </c>
      <c r="EA3" s="29"/>
      <c r="EB3" s="29"/>
      <c r="EC3" s="32"/>
      <c r="ED3" s="29"/>
      <c r="EE3" s="29"/>
      <c r="EF3" s="29"/>
      <c r="EG3" s="29"/>
      <c r="EH3" s="29"/>
      <c r="EI3" s="29"/>
      <c r="EJ3" s="29"/>
      <c r="EK3" s="29"/>
      <c r="EL3" s="29"/>
      <c r="EM3" s="29"/>
      <c r="EN3" s="29"/>
      <c r="EO3" s="29"/>
      <c r="EP3" s="29"/>
      <c r="EQ3" s="29"/>
      <c r="ER3" s="29"/>
      <c r="ES3" s="29"/>
      <c r="ET3" s="29"/>
      <c r="EU3" s="29"/>
      <c r="EV3" s="29"/>
      <c r="EW3" s="32"/>
    </row>
    <row r="4" spans="1:185" s="3" customFormat="1" ht="18" customHeight="1" x14ac:dyDescent="0.2">
      <c r="A4" s="126" t="s">
        <v>23</v>
      </c>
      <c r="B4" s="127"/>
      <c r="C4" s="33"/>
      <c r="D4" s="33"/>
      <c r="E4" s="33"/>
      <c r="F4" s="33"/>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96"/>
      <c r="CB4" s="33"/>
      <c r="CC4" s="33"/>
      <c r="CD4" s="33"/>
      <c r="CE4" s="33"/>
      <c r="CF4" s="33"/>
      <c r="CG4" s="33"/>
      <c r="CH4" s="33"/>
      <c r="CI4" s="33"/>
      <c r="CJ4" s="33"/>
      <c r="CK4" s="33"/>
      <c r="CL4" s="33"/>
      <c r="CM4" s="33"/>
      <c r="CN4" s="33"/>
      <c r="CO4" s="33"/>
      <c r="CP4" s="33"/>
      <c r="CQ4" s="33"/>
      <c r="CR4" s="96"/>
      <c r="CS4" s="33"/>
      <c r="CT4" s="33"/>
      <c r="CU4" s="33"/>
      <c r="CV4" s="33"/>
      <c r="CW4" s="33"/>
      <c r="CX4" s="33"/>
      <c r="CY4" s="33"/>
      <c r="CZ4" s="33"/>
      <c r="DA4" s="33"/>
      <c r="DB4" s="33"/>
      <c r="DC4" s="33"/>
      <c r="DD4" s="33"/>
      <c r="DE4" s="33"/>
      <c r="DF4" s="33"/>
      <c r="DG4" s="33"/>
      <c r="DH4" s="33"/>
      <c r="DI4" s="29"/>
      <c r="DJ4" s="33"/>
      <c r="DK4" s="33"/>
      <c r="DL4" s="33"/>
      <c r="DM4" s="33"/>
      <c r="DN4" s="33"/>
      <c r="DO4" s="33"/>
      <c r="DP4" s="33"/>
      <c r="DQ4" s="33"/>
      <c r="DR4" s="33"/>
      <c r="DS4" s="33"/>
      <c r="DT4" s="33"/>
      <c r="DU4" s="33"/>
      <c r="DV4" s="33"/>
      <c r="DW4" s="33"/>
      <c r="DX4" s="33"/>
      <c r="DY4" s="34"/>
      <c r="DZ4" s="33"/>
      <c r="EA4" s="33"/>
      <c r="EB4" s="33"/>
      <c r="EC4" s="35"/>
      <c r="ED4" s="33"/>
      <c r="EE4" s="33"/>
      <c r="EF4" s="33"/>
      <c r="EG4" s="33"/>
      <c r="EH4" s="33"/>
      <c r="EI4" s="33"/>
      <c r="EJ4" s="33"/>
      <c r="EK4" s="33"/>
      <c r="EL4" s="33"/>
      <c r="EM4" s="33"/>
      <c r="EN4" s="33"/>
      <c r="EO4" s="33"/>
      <c r="EP4" s="33"/>
      <c r="EQ4" s="33"/>
      <c r="ER4" s="33"/>
      <c r="ES4" s="33"/>
      <c r="ET4" s="33"/>
      <c r="EU4" s="33"/>
      <c r="EV4" s="33"/>
      <c r="EW4" s="35"/>
    </row>
    <row r="5" spans="1:185" s="4" customFormat="1" ht="14.45" customHeight="1" x14ac:dyDescent="0.2">
      <c r="A5" s="99"/>
      <c r="B5" s="99"/>
      <c r="C5" s="91"/>
      <c r="D5" s="91"/>
      <c r="E5" s="91"/>
      <c r="F5" s="91"/>
      <c r="G5" s="91"/>
      <c r="H5" s="91"/>
      <c r="I5" s="91"/>
      <c r="J5" s="128"/>
      <c r="K5" s="128"/>
      <c r="L5" s="91"/>
      <c r="M5" s="91"/>
      <c r="N5" s="128"/>
      <c r="O5" s="128"/>
      <c r="P5" s="91"/>
      <c r="Q5" s="91"/>
      <c r="R5" s="91"/>
      <c r="S5" s="91"/>
      <c r="T5" s="91"/>
      <c r="U5" s="91"/>
      <c r="V5" s="91"/>
      <c r="W5" s="91"/>
      <c r="X5" s="91"/>
      <c r="Y5" s="91"/>
      <c r="Z5" s="128"/>
      <c r="AA5" s="128"/>
      <c r="AB5" s="128"/>
      <c r="AC5" s="128"/>
      <c r="AD5" s="128"/>
      <c r="AE5" s="128"/>
      <c r="AF5" s="128"/>
      <c r="AG5" s="128"/>
      <c r="AH5" s="128"/>
      <c r="AI5" s="128"/>
      <c r="AJ5" s="128"/>
      <c r="AK5" s="128"/>
      <c r="AL5" s="128"/>
      <c r="AM5" s="128"/>
      <c r="AN5" s="128"/>
      <c r="AO5" s="128"/>
      <c r="AP5" s="128"/>
      <c r="AQ5" s="128"/>
      <c r="AR5" s="128" t="s">
        <v>27</v>
      </c>
      <c r="AS5" s="128"/>
      <c r="AT5" s="128"/>
      <c r="AU5" s="128"/>
      <c r="AV5" s="128"/>
      <c r="AW5" s="128"/>
      <c r="AX5" s="128"/>
      <c r="AY5" s="128"/>
      <c r="AZ5" s="128"/>
      <c r="BA5" s="128"/>
      <c r="BB5" s="128"/>
      <c r="BC5" s="128"/>
      <c r="BD5" s="128"/>
      <c r="BE5" s="128"/>
      <c r="BF5" s="128"/>
      <c r="BG5" s="128"/>
      <c r="BH5" s="129"/>
      <c r="BI5" s="128" t="s">
        <v>26</v>
      </c>
      <c r="BJ5" s="128"/>
      <c r="BK5" s="128"/>
      <c r="BL5" s="128"/>
      <c r="BM5" s="128"/>
      <c r="BN5" s="128"/>
      <c r="BO5" s="128"/>
      <c r="BP5" s="128"/>
      <c r="BQ5" s="128"/>
      <c r="BR5" s="128"/>
      <c r="BS5" s="128"/>
      <c r="BT5" s="128"/>
      <c r="BU5" s="128"/>
      <c r="BV5" s="128"/>
      <c r="BW5" s="128"/>
      <c r="BX5" s="128"/>
      <c r="BY5" s="128"/>
      <c r="BZ5" s="129"/>
      <c r="CA5" s="130"/>
      <c r="CB5" s="130"/>
      <c r="CC5" s="131"/>
      <c r="CD5" s="131"/>
      <c r="CE5" s="131"/>
      <c r="CF5" s="131"/>
      <c r="CG5" s="131"/>
      <c r="CH5" s="131"/>
      <c r="CI5" s="131"/>
      <c r="CJ5" s="131"/>
      <c r="CK5" s="131"/>
      <c r="CL5" s="131"/>
      <c r="CM5" s="131"/>
      <c r="CN5" s="131"/>
      <c r="CO5" s="131"/>
      <c r="CP5" s="131"/>
      <c r="CQ5" s="132"/>
      <c r="CR5" s="131"/>
      <c r="CS5" s="131"/>
      <c r="CT5" s="131"/>
      <c r="CU5" s="131"/>
      <c r="CV5" s="131"/>
      <c r="CW5" s="131"/>
      <c r="CX5" s="131"/>
      <c r="CY5" s="131"/>
      <c r="CZ5" s="131"/>
      <c r="DA5" s="131"/>
      <c r="DB5" s="131"/>
      <c r="DC5" s="131"/>
      <c r="DD5" s="131"/>
      <c r="DE5" s="131"/>
      <c r="DF5" s="131"/>
      <c r="DG5" s="131"/>
      <c r="DH5" s="131"/>
      <c r="DI5" s="131"/>
      <c r="DJ5" s="131"/>
      <c r="DK5" s="132"/>
      <c r="DL5" s="133" t="s">
        <v>27</v>
      </c>
      <c r="DM5" s="131"/>
      <c r="DN5" s="131"/>
      <c r="DO5" s="131"/>
      <c r="DP5" s="131"/>
      <c r="DQ5" s="131"/>
      <c r="DR5" s="132"/>
      <c r="DS5" s="133" t="s">
        <v>26</v>
      </c>
      <c r="DT5" s="131"/>
      <c r="DU5" s="131"/>
      <c r="DV5" s="131"/>
      <c r="DW5" s="131"/>
      <c r="DX5" s="131"/>
      <c r="DY5" s="132"/>
      <c r="DZ5" s="134"/>
      <c r="EA5" s="134"/>
      <c r="EB5" s="134"/>
      <c r="EC5" s="132"/>
      <c r="ED5" s="131"/>
      <c r="EE5" s="131"/>
      <c r="EF5" s="131"/>
      <c r="EG5" s="131"/>
      <c r="EH5" s="131"/>
      <c r="EI5" s="131"/>
      <c r="EJ5" s="131"/>
      <c r="EK5" s="131"/>
      <c r="EL5" s="131"/>
      <c r="EM5" s="131"/>
      <c r="EN5" s="131"/>
      <c r="EO5" s="131"/>
      <c r="EP5" s="131"/>
      <c r="EQ5" s="131"/>
      <c r="ER5" s="131"/>
      <c r="ES5" s="131"/>
      <c r="ET5" s="131"/>
      <c r="EU5" s="131"/>
      <c r="EV5" s="131"/>
      <c r="EW5" s="132"/>
    </row>
    <row r="6" spans="1:185" s="3" customFormat="1" ht="36" customHeight="1" x14ac:dyDescent="0.2">
      <c r="A6" s="100" t="s">
        <v>460</v>
      </c>
      <c r="B6" s="100" t="s">
        <v>461</v>
      </c>
      <c r="C6" s="97" t="s">
        <v>41</v>
      </c>
      <c r="D6" s="97" t="s">
        <v>4</v>
      </c>
      <c r="E6" s="97" t="s">
        <v>3</v>
      </c>
      <c r="F6" s="97" t="s">
        <v>42</v>
      </c>
      <c r="G6" s="97" t="s">
        <v>462</v>
      </c>
      <c r="H6" s="97" t="s">
        <v>463</v>
      </c>
      <c r="I6" s="97" t="s">
        <v>464</v>
      </c>
      <c r="J6" s="97" t="s">
        <v>465</v>
      </c>
      <c r="K6" s="97" t="s">
        <v>466</v>
      </c>
      <c r="L6" s="97" t="s">
        <v>467</v>
      </c>
      <c r="M6" s="97" t="s">
        <v>468</v>
      </c>
      <c r="N6" s="97" t="s">
        <v>469</v>
      </c>
      <c r="O6" s="97" t="s">
        <v>470</v>
      </c>
      <c r="P6" s="97" t="s">
        <v>471</v>
      </c>
      <c r="Q6" s="97" t="s">
        <v>472</v>
      </c>
      <c r="R6" s="97" t="s">
        <v>473</v>
      </c>
      <c r="S6" s="97" t="s">
        <v>474</v>
      </c>
      <c r="T6" s="97" t="s">
        <v>475</v>
      </c>
      <c r="U6" s="97" t="s">
        <v>476</v>
      </c>
      <c r="V6" s="97" t="s">
        <v>477</v>
      </c>
      <c r="W6" s="97" t="s">
        <v>478</v>
      </c>
      <c r="X6" s="97" t="s">
        <v>479</v>
      </c>
      <c r="Y6" s="97" t="s">
        <v>480</v>
      </c>
      <c r="Z6" s="97" t="s">
        <v>481</v>
      </c>
      <c r="AA6" s="97" t="s">
        <v>482</v>
      </c>
      <c r="AB6" s="97" t="s">
        <v>483</v>
      </c>
      <c r="AC6" s="97" t="s">
        <v>484</v>
      </c>
      <c r="AD6" s="97" t="s">
        <v>485</v>
      </c>
      <c r="AE6" s="97" t="s">
        <v>486</v>
      </c>
      <c r="AF6" s="97" t="s">
        <v>487</v>
      </c>
      <c r="AG6" s="97" t="s">
        <v>488</v>
      </c>
      <c r="AH6" s="97" t="s">
        <v>489</v>
      </c>
      <c r="AI6" s="97" t="s">
        <v>490</v>
      </c>
      <c r="AJ6" s="97" t="s">
        <v>491</v>
      </c>
      <c r="AK6" s="97" t="s">
        <v>492</v>
      </c>
      <c r="AL6" s="97" t="s">
        <v>493</v>
      </c>
      <c r="AM6" s="97" t="s">
        <v>494</v>
      </c>
      <c r="AN6" s="97" t="s">
        <v>495</v>
      </c>
      <c r="AO6" s="97" t="s">
        <v>496</v>
      </c>
      <c r="AP6" s="97" t="s">
        <v>497</v>
      </c>
      <c r="AQ6" s="97" t="s">
        <v>498</v>
      </c>
      <c r="AR6" s="92" t="s">
        <v>28</v>
      </c>
      <c r="AS6" s="92" t="s">
        <v>29</v>
      </c>
      <c r="AT6" s="92" t="s">
        <v>30</v>
      </c>
      <c r="AU6" s="92" t="s">
        <v>33</v>
      </c>
      <c r="AV6" s="92" t="s">
        <v>31</v>
      </c>
      <c r="AW6" s="92" t="s">
        <v>32</v>
      </c>
      <c r="AX6" s="92" t="s">
        <v>2</v>
      </c>
      <c r="AY6" s="92" t="s">
        <v>499</v>
      </c>
      <c r="AZ6" s="92" t="s">
        <v>500</v>
      </c>
      <c r="BA6" s="92" t="s">
        <v>501</v>
      </c>
      <c r="BB6" s="92" t="s">
        <v>502</v>
      </c>
      <c r="BC6" s="92" t="s">
        <v>503</v>
      </c>
      <c r="BD6" s="92" t="s">
        <v>504</v>
      </c>
      <c r="BE6" s="92" t="s">
        <v>505</v>
      </c>
      <c r="BF6" s="92" t="s">
        <v>506</v>
      </c>
      <c r="BG6" s="92" t="s">
        <v>507</v>
      </c>
      <c r="BH6" s="92" t="s">
        <v>508</v>
      </c>
      <c r="BI6" s="92" t="s">
        <v>28</v>
      </c>
      <c r="BJ6" s="92" t="s">
        <v>29</v>
      </c>
      <c r="BK6" s="92" t="s">
        <v>30</v>
      </c>
      <c r="BL6" s="92" t="s">
        <v>33</v>
      </c>
      <c r="BM6" s="92" t="s">
        <v>31</v>
      </c>
      <c r="BN6" s="92" t="s">
        <v>32</v>
      </c>
      <c r="BO6" s="92" t="s">
        <v>3</v>
      </c>
      <c r="BP6" s="92" t="s">
        <v>2</v>
      </c>
      <c r="BQ6" s="92" t="s">
        <v>499</v>
      </c>
      <c r="BR6" s="92" t="s">
        <v>500</v>
      </c>
      <c r="BS6" s="92" t="s">
        <v>501</v>
      </c>
      <c r="BT6" s="92" t="s">
        <v>502</v>
      </c>
      <c r="BU6" s="92" t="s">
        <v>503</v>
      </c>
      <c r="BV6" s="92" t="s">
        <v>504</v>
      </c>
      <c r="BW6" s="92" t="s">
        <v>505</v>
      </c>
      <c r="BX6" s="92" t="s">
        <v>506</v>
      </c>
      <c r="BY6" s="92" t="s">
        <v>507</v>
      </c>
      <c r="BZ6" s="92" t="s">
        <v>508</v>
      </c>
      <c r="CA6" s="36" t="s">
        <v>509</v>
      </c>
      <c r="CB6" s="36" t="s">
        <v>510</v>
      </c>
      <c r="CC6" s="36" t="s">
        <v>511</v>
      </c>
      <c r="CD6" s="36" t="s">
        <v>512</v>
      </c>
      <c r="CE6" s="36" t="s">
        <v>513</v>
      </c>
      <c r="CF6" s="36" t="s">
        <v>514</v>
      </c>
      <c r="CG6" s="36" t="s">
        <v>515</v>
      </c>
      <c r="CH6" s="36" t="s">
        <v>516</v>
      </c>
      <c r="CI6" s="36" t="s">
        <v>517</v>
      </c>
      <c r="CJ6" s="36" t="s">
        <v>518</v>
      </c>
      <c r="CK6" s="36" t="s">
        <v>519</v>
      </c>
      <c r="CL6" s="36" t="s">
        <v>520</v>
      </c>
      <c r="CM6" s="36" t="s">
        <v>521</v>
      </c>
      <c r="CN6" s="36" t="s">
        <v>522</v>
      </c>
      <c r="CO6" s="36" t="s">
        <v>523</v>
      </c>
      <c r="CP6" s="36" t="s">
        <v>524</v>
      </c>
      <c r="CQ6" s="36" t="s">
        <v>525</v>
      </c>
      <c r="CR6" s="135" t="s">
        <v>34</v>
      </c>
      <c r="CS6" s="36" t="s">
        <v>526</v>
      </c>
      <c r="CT6" s="36" t="s">
        <v>527</v>
      </c>
      <c r="CU6" s="135" t="s">
        <v>528</v>
      </c>
      <c r="CV6" s="36" t="s">
        <v>529</v>
      </c>
      <c r="CW6" s="36" t="s">
        <v>530</v>
      </c>
      <c r="CX6" s="36" t="s">
        <v>531</v>
      </c>
      <c r="CY6" s="36" t="s">
        <v>532</v>
      </c>
      <c r="CZ6" s="36" t="s">
        <v>533</v>
      </c>
      <c r="DA6" s="36" t="s">
        <v>35</v>
      </c>
      <c r="DB6" s="36" t="s">
        <v>36</v>
      </c>
      <c r="DC6" s="36" t="s">
        <v>37</v>
      </c>
      <c r="DD6" s="36" t="s">
        <v>38</v>
      </c>
      <c r="DE6" s="36" t="s">
        <v>39</v>
      </c>
      <c r="DF6" s="36" t="s">
        <v>534</v>
      </c>
      <c r="DG6" s="36" t="s">
        <v>535</v>
      </c>
      <c r="DH6" s="36" t="s">
        <v>536</v>
      </c>
      <c r="DI6" s="36" t="s">
        <v>537</v>
      </c>
      <c r="DJ6" s="36" t="s">
        <v>538</v>
      </c>
      <c r="DK6" s="36" t="s">
        <v>539</v>
      </c>
      <c r="DL6" s="36" t="s">
        <v>540</v>
      </c>
      <c r="DM6" s="36" t="s">
        <v>36</v>
      </c>
      <c r="DN6" s="36" t="s">
        <v>37</v>
      </c>
      <c r="DO6" s="36" t="s">
        <v>541</v>
      </c>
      <c r="DP6" s="36" t="s">
        <v>542</v>
      </c>
      <c r="DQ6" s="36" t="s">
        <v>543</v>
      </c>
      <c r="DR6" s="36" t="s">
        <v>544</v>
      </c>
      <c r="DS6" s="36" t="s">
        <v>540</v>
      </c>
      <c r="DT6" s="36" t="s">
        <v>36</v>
      </c>
      <c r="DU6" s="36" t="s">
        <v>37</v>
      </c>
      <c r="DV6" s="36" t="s">
        <v>541</v>
      </c>
      <c r="DW6" s="36" t="s">
        <v>542</v>
      </c>
      <c r="DX6" s="36" t="s">
        <v>543</v>
      </c>
      <c r="DY6" s="36" t="s">
        <v>544</v>
      </c>
      <c r="DZ6" s="37" t="s">
        <v>545</v>
      </c>
      <c r="EA6" s="37" t="s">
        <v>546</v>
      </c>
      <c r="EB6" s="37" t="s">
        <v>547</v>
      </c>
      <c r="EC6" s="37" t="s">
        <v>548</v>
      </c>
      <c r="ED6" s="36" t="s">
        <v>549</v>
      </c>
      <c r="EE6" s="36" t="s">
        <v>550</v>
      </c>
      <c r="EF6" s="36" t="s">
        <v>5</v>
      </c>
      <c r="EG6" s="36" t="s">
        <v>6</v>
      </c>
      <c r="EH6" s="36" t="s">
        <v>7</v>
      </c>
      <c r="EI6" s="36" t="s">
        <v>8</v>
      </c>
      <c r="EJ6" s="36" t="s">
        <v>9</v>
      </c>
      <c r="EK6" s="36" t="s">
        <v>10</v>
      </c>
      <c r="EL6" s="36" t="s">
        <v>11</v>
      </c>
      <c r="EM6" s="36" t="s">
        <v>12</v>
      </c>
      <c r="EN6" s="36" t="s">
        <v>13</v>
      </c>
      <c r="EO6" s="36" t="s">
        <v>14</v>
      </c>
      <c r="EP6" s="36" t="s">
        <v>15</v>
      </c>
      <c r="EQ6" s="36" t="s">
        <v>16</v>
      </c>
      <c r="ER6" s="36" t="s">
        <v>17</v>
      </c>
      <c r="ES6" s="36" t="s">
        <v>18</v>
      </c>
      <c r="ET6" s="36" t="s">
        <v>19</v>
      </c>
      <c r="EU6" s="36" t="s">
        <v>20</v>
      </c>
      <c r="EV6" s="36" t="s">
        <v>21</v>
      </c>
      <c r="EW6" s="36" t="s">
        <v>22</v>
      </c>
    </row>
    <row r="7" spans="1:185" x14ac:dyDescent="0.2">
      <c r="A7" s="101">
        <v>31892618</v>
      </c>
      <c r="B7" s="101">
        <v>40240155</v>
      </c>
      <c r="D7" s="1" t="s">
        <v>77</v>
      </c>
      <c r="E7" s="1" t="s">
        <v>44</v>
      </c>
      <c r="F7" s="1" t="s">
        <v>78</v>
      </c>
      <c r="AI7" s="1" t="s">
        <v>551</v>
      </c>
      <c r="AJ7" s="1" t="s">
        <v>44</v>
      </c>
      <c r="AK7" s="1" t="s">
        <v>552</v>
      </c>
      <c r="AL7" s="1" t="s">
        <v>553</v>
      </c>
      <c r="AR7" s="1" t="s">
        <v>70</v>
      </c>
      <c r="AS7" s="1" t="s">
        <v>71</v>
      </c>
      <c r="AT7" s="1" t="s">
        <v>76</v>
      </c>
      <c r="AV7" s="1" t="s">
        <v>265</v>
      </c>
      <c r="AW7" s="1" t="s">
        <v>266</v>
      </c>
      <c r="AX7" s="1">
        <v>10000000</v>
      </c>
      <c r="BA7" s="1" t="s">
        <v>49</v>
      </c>
      <c r="BB7" s="1" t="s">
        <v>554</v>
      </c>
      <c r="BD7" s="1" t="s">
        <v>555</v>
      </c>
      <c r="BG7" s="1" t="s">
        <v>556</v>
      </c>
      <c r="BH7" s="1">
        <v>15</v>
      </c>
      <c r="BI7" s="1" t="s">
        <v>79</v>
      </c>
      <c r="BJ7" s="1" t="s">
        <v>67</v>
      </c>
      <c r="BK7" s="1">
        <v>5.46</v>
      </c>
      <c r="BM7" s="1" t="s">
        <v>265</v>
      </c>
      <c r="BN7" s="1" t="s">
        <v>266</v>
      </c>
      <c r="BP7" s="1">
        <v>10000000</v>
      </c>
      <c r="BS7" s="1" t="s">
        <v>49</v>
      </c>
      <c r="BT7" s="1" t="s">
        <v>557</v>
      </c>
      <c r="BV7" s="1" t="s">
        <v>555</v>
      </c>
      <c r="BY7" s="1" t="s">
        <v>558</v>
      </c>
      <c r="BZ7" s="1">
        <v>15</v>
      </c>
      <c r="CJ7" s="1">
        <v>2.8147899999999999</v>
      </c>
      <c r="CK7" s="1">
        <v>2.81229</v>
      </c>
      <c r="CL7" s="1">
        <v>2.8172899999999998</v>
      </c>
      <c r="CR7" s="1">
        <v>-3564375.3679705602</v>
      </c>
      <c r="CS7" s="1">
        <v>-3564379.04</v>
      </c>
      <c r="CT7" s="1">
        <v>-3564371.7</v>
      </c>
      <c r="CU7" s="1">
        <v>-35.643799999999999</v>
      </c>
      <c r="CZ7" s="1">
        <v>-3564375.37</v>
      </c>
      <c r="DA7" s="1">
        <v>-3564375.37</v>
      </c>
      <c r="DB7" s="1">
        <v>-3569733.79</v>
      </c>
      <c r="DC7" s="1">
        <v>5358.42</v>
      </c>
      <c r="DD7" s="2">
        <v>527.84</v>
      </c>
      <c r="DG7" s="1">
        <v>-193.12</v>
      </c>
      <c r="DL7" s="1">
        <v>-14068229.15</v>
      </c>
      <c r="DM7" s="1">
        <v>-14052354.23</v>
      </c>
      <c r="DN7" s="1">
        <v>-15874.91</v>
      </c>
      <c r="DO7" s="1">
        <v>3.1</v>
      </c>
      <c r="DP7" s="1" t="s">
        <v>1137</v>
      </c>
      <c r="DQ7" s="1" t="s">
        <v>1049</v>
      </c>
      <c r="DS7" s="1">
        <v>10503853.779999999</v>
      </c>
      <c r="DT7" s="1">
        <v>10482620.449999999</v>
      </c>
      <c r="DU7" s="1">
        <v>21233.33</v>
      </c>
      <c r="DV7" s="1">
        <v>5.46</v>
      </c>
      <c r="DW7" s="1" t="s">
        <v>1137</v>
      </c>
      <c r="DX7" s="1" t="s">
        <v>1049</v>
      </c>
      <c r="DZ7" s="1">
        <v>-3571804</v>
      </c>
      <c r="EA7" s="1">
        <v>-3556947</v>
      </c>
      <c r="ED7" s="1" t="s">
        <v>50</v>
      </c>
      <c r="EE7" s="1">
        <v>69125832</v>
      </c>
      <c r="EF7" s="1" t="s">
        <v>53</v>
      </c>
      <c r="EG7" s="1" t="s">
        <v>268</v>
      </c>
      <c r="EH7" s="1" t="s">
        <v>51</v>
      </c>
      <c r="EI7" s="1" t="s">
        <v>267</v>
      </c>
      <c r="EJ7" s="1" t="s">
        <v>55</v>
      </c>
      <c r="EK7" s="1" t="s">
        <v>106</v>
      </c>
      <c r="EL7" s="1" t="s">
        <v>57</v>
      </c>
      <c r="EM7" s="1" t="s">
        <v>269</v>
      </c>
    </row>
    <row r="8" spans="1:185" x14ac:dyDescent="0.2">
      <c r="A8" s="101">
        <v>31892784</v>
      </c>
      <c r="B8" s="101">
        <v>40240158</v>
      </c>
      <c r="D8" s="1" t="s">
        <v>77</v>
      </c>
      <c r="E8" s="1" t="s">
        <v>44</v>
      </c>
      <c r="F8" s="1" t="s">
        <v>78</v>
      </c>
      <c r="AI8" s="1" t="s">
        <v>551</v>
      </c>
      <c r="AJ8" s="1" t="s">
        <v>44</v>
      </c>
      <c r="AK8" s="1" t="s">
        <v>552</v>
      </c>
      <c r="AL8" s="1" t="s">
        <v>553</v>
      </c>
      <c r="AR8" s="1" t="s">
        <v>70</v>
      </c>
      <c r="AS8" s="1" t="s">
        <v>71</v>
      </c>
      <c r="AT8" s="1" t="s">
        <v>76</v>
      </c>
      <c r="AV8" s="1" t="s">
        <v>265</v>
      </c>
      <c r="AW8" s="1" t="s">
        <v>266</v>
      </c>
      <c r="AX8" s="1">
        <v>5600000</v>
      </c>
      <c r="BA8" s="1" t="s">
        <v>49</v>
      </c>
      <c r="BB8" s="1" t="s">
        <v>554</v>
      </c>
      <c r="BD8" s="1" t="s">
        <v>555</v>
      </c>
      <c r="BG8" s="1" t="s">
        <v>556</v>
      </c>
      <c r="BH8" s="1">
        <v>15</v>
      </c>
      <c r="BI8" s="1" t="s">
        <v>79</v>
      </c>
      <c r="BJ8" s="1" t="s">
        <v>67</v>
      </c>
      <c r="BK8" s="1">
        <v>5.6449999999999996</v>
      </c>
      <c r="BM8" s="1" t="s">
        <v>265</v>
      </c>
      <c r="BN8" s="1" t="s">
        <v>266</v>
      </c>
      <c r="BP8" s="1">
        <v>5600000</v>
      </c>
      <c r="BS8" s="1" t="s">
        <v>49</v>
      </c>
      <c r="BT8" s="1" t="s">
        <v>557</v>
      </c>
      <c r="BV8" s="1" t="s">
        <v>555</v>
      </c>
      <c r="BY8" s="1" t="s">
        <v>558</v>
      </c>
      <c r="BZ8" s="1">
        <v>15</v>
      </c>
      <c r="CJ8" s="1">
        <v>2.99492</v>
      </c>
      <c r="CK8" s="1">
        <v>2.9924200000000001</v>
      </c>
      <c r="CL8" s="1">
        <v>2.99742</v>
      </c>
      <c r="CR8" s="1">
        <v>-1980877.51017169</v>
      </c>
      <c r="CS8" s="1">
        <v>-1980879.57</v>
      </c>
      <c r="CT8" s="1">
        <v>-1980875.45</v>
      </c>
      <c r="CU8" s="1">
        <v>-35.372799999999998</v>
      </c>
      <c r="CZ8" s="1">
        <v>-1980877.51</v>
      </c>
      <c r="DA8" s="1">
        <v>-1980877.51</v>
      </c>
      <c r="DB8" s="1">
        <v>-1984281.12</v>
      </c>
      <c r="DC8" s="1">
        <v>3403.6</v>
      </c>
      <c r="DD8" s="2">
        <v>294.14</v>
      </c>
      <c r="DG8" s="1">
        <v>-107.32</v>
      </c>
      <c r="DL8" s="1">
        <v>-7878208.3200000003</v>
      </c>
      <c r="DM8" s="1">
        <v>-7869318.3700000001</v>
      </c>
      <c r="DN8" s="1">
        <v>-8889.9500000000007</v>
      </c>
      <c r="DO8" s="1">
        <v>3.1</v>
      </c>
      <c r="DP8" s="1" t="s">
        <v>1137</v>
      </c>
      <c r="DQ8" s="1" t="s">
        <v>1049</v>
      </c>
      <c r="DS8" s="1">
        <v>5897330.8099999996</v>
      </c>
      <c r="DT8" s="1">
        <v>5885037.2599999998</v>
      </c>
      <c r="DU8" s="1">
        <v>12293.56</v>
      </c>
      <c r="DV8" s="1">
        <v>5.6449999999999996</v>
      </c>
      <c r="DW8" s="1" t="s">
        <v>1137</v>
      </c>
      <c r="DX8" s="1" t="s">
        <v>1049</v>
      </c>
      <c r="DZ8" s="1">
        <v>-1985282</v>
      </c>
      <c r="EA8" s="1">
        <v>-1976473</v>
      </c>
      <c r="ED8" s="1" t="s">
        <v>50</v>
      </c>
      <c r="EE8" s="1">
        <v>69107271</v>
      </c>
      <c r="EF8" s="1" t="s">
        <v>53</v>
      </c>
      <c r="EG8" s="1" t="s">
        <v>271</v>
      </c>
      <c r="EH8" s="1" t="s">
        <v>51</v>
      </c>
      <c r="EI8" s="1" t="s">
        <v>270</v>
      </c>
      <c r="EJ8" s="1" t="s">
        <v>55</v>
      </c>
      <c r="EK8" s="1" t="s">
        <v>106</v>
      </c>
      <c r="EL8" s="1" t="s">
        <v>57</v>
      </c>
      <c r="EM8" s="1" t="s">
        <v>272</v>
      </c>
    </row>
    <row r="9" spans="1:185" x14ac:dyDescent="0.2">
      <c r="A9" s="101">
        <v>31893131</v>
      </c>
      <c r="B9" s="101">
        <v>40240177</v>
      </c>
      <c r="D9" s="1" t="s">
        <v>92</v>
      </c>
      <c r="E9" s="1" t="s">
        <v>44</v>
      </c>
      <c r="F9" s="1" t="s">
        <v>78</v>
      </c>
      <c r="AI9" s="1" t="s">
        <v>551</v>
      </c>
      <c r="AJ9" s="1" t="s">
        <v>44</v>
      </c>
      <c r="AK9" s="1" t="s">
        <v>552</v>
      </c>
      <c r="AL9" s="1" t="s">
        <v>553</v>
      </c>
      <c r="AR9" s="1" t="s">
        <v>70</v>
      </c>
      <c r="AS9" s="1" t="s">
        <v>71</v>
      </c>
      <c r="AT9" s="1" t="s">
        <v>76</v>
      </c>
      <c r="AV9" s="1" t="s">
        <v>273</v>
      </c>
      <c r="AW9" s="1" t="s">
        <v>274</v>
      </c>
      <c r="AX9" s="1">
        <v>30000000</v>
      </c>
      <c r="BA9" s="1" t="s">
        <v>69</v>
      </c>
      <c r="BB9" s="1" t="s">
        <v>554</v>
      </c>
      <c r="BD9" s="1" t="s">
        <v>555</v>
      </c>
      <c r="BG9" s="1" t="s">
        <v>558</v>
      </c>
      <c r="BH9" s="1">
        <v>25</v>
      </c>
      <c r="BI9" s="1" t="s">
        <v>79</v>
      </c>
      <c r="BJ9" s="1" t="s">
        <v>67</v>
      </c>
      <c r="BK9" s="1">
        <v>3.2075</v>
      </c>
      <c r="BM9" s="1" t="s">
        <v>273</v>
      </c>
      <c r="BN9" s="1" t="s">
        <v>274</v>
      </c>
      <c r="BP9" s="1">
        <v>30000000</v>
      </c>
      <c r="BS9" s="1" t="s">
        <v>69</v>
      </c>
      <c r="BT9" s="1" t="s">
        <v>557</v>
      </c>
      <c r="BV9" s="1" t="s">
        <v>555</v>
      </c>
      <c r="BY9" s="1" t="s">
        <v>558</v>
      </c>
      <c r="BZ9" s="1">
        <v>25</v>
      </c>
      <c r="CJ9" s="1">
        <v>0.90780000000000005</v>
      </c>
      <c r="CK9" s="1">
        <v>0.90529999999999999</v>
      </c>
      <c r="CL9" s="1">
        <v>0.9103</v>
      </c>
      <c r="CR9" s="1">
        <v>-11340684.062237</v>
      </c>
      <c r="CS9" s="1">
        <v>-11340705.949999999</v>
      </c>
      <c r="CT9" s="1">
        <v>-11340662.17</v>
      </c>
      <c r="CU9" s="1">
        <v>-37.802300000000002</v>
      </c>
      <c r="CZ9" s="1">
        <v>-11340684.060000001</v>
      </c>
      <c r="DA9" s="1">
        <v>-11340684.060000001</v>
      </c>
      <c r="DB9" s="1">
        <v>-11490564.59</v>
      </c>
      <c r="DC9" s="1">
        <v>149880.51999999999</v>
      </c>
      <c r="DD9" s="2">
        <v>2666.56</v>
      </c>
      <c r="DG9" s="1">
        <v>-693.56</v>
      </c>
      <c r="DL9" s="1">
        <v>-42743393.670000002</v>
      </c>
      <c r="DM9" s="1">
        <v>-42235736.689999998</v>
      </c>
      <c r="DN9" s="1">
        <v>-507656.98</v>
      </c>
      <c r="DO9" s="1">
        <v>1.85</v>
      </c>
      <c r="DP9" s="1" t="s">
        <v>788</v>
      </c>
      <c r="DQ9" s="1" t="s">
        <v>1138</v>
      </c>
      <c r="DS9" s="1">
        <v>31402709.609999999</v>
      </c>
      <c r="DT9" s="1">
        <v>30745172.109999999</v>
      </c>
      <c r="DU9" s="1">
        <v>657537.5</v>
      </c>
      <c r="DV9" s="1">
        <v>3.2075</v>
      </c>
      <c r="DW9" s="1" t="s">
        <v>788</v>
      </c>
      <c r="DX9" s="1" t="s">
        <v>1138</v>
      </c>
      <c r="DZ9" s="1">
        <v>-11352788</v>
      </c>
      <c r="EA9" s="1">
        <v>-11328581</v>
      </c>
      <c r="ED9" s="1" t="s">
        <v>50</v>
      </c>
      <c r="EE9" s="1">
        <v>69047849</v>
      </c>
      <c r="EF9" s="1" t="s">
        <v>53</v>
      </c>
      <c r="EG9" s="1" t="s">
        <v>276</v>
      </c>
      <c r="EH9" s="1" t="s">
        <v>51</v>
      </c>
      <c r="EI9" s="1" t="s">
        <v>275</v>
      </c>
      <c r="EJ9" s="1" t="s">
        <v>55</v>
      </c>
      <c r="EK9" s="1" t="s">
        <v>96</v>
      </c>
      <c r="EL9" s="1" t="s">
        <v>57</v>
      </c>
      <c r="EM9" s="1" t="s">
        <v>277</v>
      </c>
    </row>
    <row r="10" spans="1:185" x14ac:dyDescent="0.2">
      <c r="A10" s="101">
        <v>31893163</v>
      </c>
      <c r="B10" s="101">
        <v>40240197</v>
      </c>
      <c r="D10" s="1" t="s">
        <v>92</v>
      </c>
      <c r="E10" s="1" t="s">
        <v>44</v>
      </c>
      <c r="F10" s="1" t="s">
        <v>78</v>
      </c>
      <c r="AI10" s="1" t="s">
        <v>551</v>
      </c>
      <c r="AJ10" s="1" t="s">
        <v>44</v>
      </c>
      <c r="AK10" s="1" t="s">
        <v>552</v>
      </c>
      <c r="AL10" s="1" t="s">
        <v>559</v>
      </c>
      <c r="AR10" s="1" t="s">
        <v>70</v>
      </c>
      <c r="AS10" s="1" t="s">
        <v>71</v>
      </c>
      <c r="AT10" s="1" t="s">
        <v>76</v>
      </c>
      <c r="AV10" s="1" t="s">
        <v>265</v>
      </c>
      <c r="AW10" s="1" t="s">
        <v>266</v>
      </c>
      <c r="AX10" s="1">
        <v>10341000</v>
      </c>
      <c r="BA10" s="1" t="s">
        <v>49</v>
      </c>
      <c r="BB10" s="1" t="s">
        <v>554</v>
      </c>
      <c r="BD10" s="1" t="s">
        <v>555</v>
      </c>
      <c r="BG10" s="1" t="s">
        <v>558</v>
      </c>
      <c r="BH10" s="1">
        <v>15</v>
      </c>
      <c r="BI10" s="1" t="s">
        <v>79</v>
      </c>
      <c r="BJ10" s="1" t="s">
        <v>67</v>
      </c>
      <c r="BK10" s="1">
        <v>5.5</v>
      </c>
      <c r="BM10" s="1" t="s">
        <v>265</v>
      </c>
      <c r="BN10" s="1" t="s">
        <v>266</v>
      </c>
      <c r="BP10" s="1">
        <v>10341000</v>
      </c>
      <c r="BS10" s="1" t="s">
        <v>49</v>
      </c>
      <c r="BT10" s="1" t="s">
        <v>557</v>
      </c>
      <c r="BV10" s="1" t="s">
        <v>555</v>
      </c>
      <c r="BY10" s="1" t="s">
        <v>558</v>
      </c>
      <c r="BZ10" s="1">
        <v>15</v>
      </c>
      <c r="CJ10" s="1">
        <v>2.8537400000000002</v>
      </c>
      <c r="CK10" s="1">
        <v>2.8512400000000002</v>
      </c>
      <c r="CL10" s="1">
        <v>2.8562400000000001</v>
      </c>
      <c r="CR10" s="1">
        <v>-3679862.6202107398</v>
      </c>
      <c r="CS10" s="1">
        <v>-3679866.42</v>
      </c>
      <c r="CT10" s="1">
        <v>-3679858.82</v>
      </c>
      <c r="CU10" s="1">
        <v>-35.5852</v>
      </c>
      <c r="CZ10" s="1">
        <v>-3679862.62</v>
      </c>
      <c r="DA10" s="1">
        <v>-3679862.62</v>
      </c>
      <c r="DB10" s="1">
        <v>-3685564.62</v>
      </c>
      <c r="DC10" s="1">
        <v>5702</v>
      </c>
      <c r="DD10" s="2">
        <v>545.26</v>
      </c>
      <c r="DG10" s="1">
        <v>-199.38</v>
      </c>
      <c r="DL10" s="1">
        <v>-14547955.76</v>
      </c>
      <c r="DM10" s="1">
        <v>-14531539.51</v>
      </c>
      <c r="DN10" s="1">
        <v>-16416.25</v>
      </c>
      <c r="DO10" s="1">
        <v>3.1</v>
      </c>
      <c r="DP10" s="1" t="s">
        <v>1137</v>
      </c>
      <c r="DQ10" s="1" t="s">
        <v>1049</v>
      </c>
      <c r="DS10" s="1">
        <v>10868093.140000001</v>
      </c>
      <c r="DT10" s="1">
        <v>10845974.890000001</v>
      </c>
      <c r="DU10" s="1">
        <v>22118.25</v>
      </c>
      <c r="DV10" s="1">
        <v>5.5</v>
      </c>
      <c r="DW10" s="1" t="s">
        <v>1137</v>
      </c>
      <c r="DX10" s="1" t="s">
        <v>1049</v>
      </c>
      <c r="DZ10" s="1">
        <v>-3687643</v>
      </c>
      <c r="EA10" s="1">
        <v>-3672082</v>
      </c>
      <c r="ED10" s="1" t="s">
        <v>50</v>
      </c>
      <c r="EE10" s="1">
        <v>69129589</v>
      </c>
      <c r="EF10" s="1" t="s">
        <v>53</v>
      </c>
      <c r="EG10" s="1" t="s">
        <v>279</v>
      </c>
      <c r="EH10" s="1" t="s">
        <v>51</v>
      </c>
      <c r="EI10" s="1" t="s">
        <v>278</v>
      </c>
      <c r="EJ10" s="1" t="s">
        <v>55</v>
      </c>
      <c r="EK10" s="1" t="s">
        <v>96</v>
      </c>
      <c r="EL10" s="1" t="s">
        <v>57</v>
      </c>
      <c r="EM10" s="1" t="s">
        <v>280</v>
      </c>
    </row>
    <row r="11" spans="1:185" x14ac:dyDescent="0.2">
      <c r="A11" s="101">
        <v>31893182</v>
      </c>
      <c r="B11" s="101">
        <v>40240210</v>
      </c>
      <c r="D11" s="1" t="s">
        <v>92</v>
      </c>
      <c r="E11" s="1" t="s">
        <v>44</v>
      </c>
      <c r="F11" s="1" t="s">
        <v>78</v>
      </c>
      <c r="AI11" s="1" t="s">
        <v>551</v>
      </c>
      <c r="AJ11" s="1" t="s">
        <v>44</v>
      </c>
      <c r="AK11" s="1" t="s">
        <v>552</v>
      </c>
      <c r="AL11" s="1" t="s">
        <v>559</v>
      </c>
      <c r="AR11" s="1" t="s">
        <v>70</v>
      </c>
      <c r="AS11" s="1" t="s">
        <v>71</v>
      </c>
      <c r="AT11" s="1" t="s">
        <v>76</v>
      </c>
      <c r="AV11" s="1" t="s">
        <v>265</v>
      </c>
      <c r="AW11" s="1" t="s">
        <v>266</v>
      </c>
      <c r="AX11" s="1">
        <v>20000000</v>
      </c>
      <c r="BA11" s="1" t="s">
        <v>49</v>
      </c>
      <c r="BB11" s="1" t="s">
        <v>554</v>
      </c>
      <c r="BD11" s="1" t="s">
        <v>555</v>
      </c>
      <c r="BG11" s="1" t="s">
        <v>558</v>
      </c>
      <c r="BH11" s="1">
        <v>15</v>
      </c>
      <c r="BI11" s="1" t="s">
        <v>79</v>
      </c>
      <c r="BJ11" s="1" t="s">
        <v>67</v>
      </c>
      <c r="BK11" s="1">
        <v>5.5774999999999997</v>
      </c>
      <c r="BM11" s="1" t="s">
        <v>265</v>
      </c>
      <c r="BN11" s="1" t="s">
        <v>266</v>
      </c>
      <c r="BP11" s="1">
        <v>20000000</v>
      </c>
      <c r="BS11" s="1" t="s">
        <v>49</v>
      </c>
      <c r="BT11" s="1" t="s">
        <v>557</v>
      </c>
      <c r="BV11" s="1" t="s">
        <v>555</v>
      </c>
      <c r="BY11" s="1" t="s">
        <v>558</v>
      </c>
      <c r="BZ11" s="1">
        <v>15</v>
      </c>
      <c r="CJ11" s="1">
        <v>2.9291999999999998</v>
      </c>
      <c r="CK11" s="1">
        <v>2.9266999999999999</v>
      </c>
      <c r="CL11" s="1">
        <v>2.9317000000000002</v>
      </c>
      <c r="CR11" s="1">
        <v>-7094333.9064567601</v>
      </c>
      <c r="CS11" s="1">
        <v>-7094341.25</v>
      </c>
      <c r="CT11" s="1">
        <v>-7094326.5599999996</v>
      </c>
      <c r="CU11" s="1">
        <v>-35.471699999999998</v>
      </c>
      <c r="CZ11" s="1">
        <v>-7094333.9100000001</v>
      </c>
      <c r="DA11" s="1">
        <v>-7094333.9100000001</v>
      </c>
      <c r="DB11" s="1">
        <v>-7105964.6399999997</v>
      </c>
      <c r="DC11" s="1">
        <v>11630.73</v>
      </c>
      <c r="DD11" s="2">
        <v>1052.3900000000001</v>
      </c>
      <c r="DG11" s="1">
        <v>-384.36</v>
      </c>
      <c r="DL11" s="1">
        <v>-28136458.289999999</v>
      </c>
      <c r="DM11" s="1">
        <v>-28104708.469999999</v>
      </c>
      <c r="DN11" s="1">
        <v>-31749.82</v>
      </c>
      <c r="DO11" s="1">
        <v>3.1</v>
      </c>
      <c r="DP11" s="1" t="s">
        <v>1137</v>
      </c>
      <c r="DQ11" s="1" t="s">
        <v>1049</v>
      </c>
      <c r="DS11" s="1">
        <v>21042124.390000001</v>
      </c>
      <c r="DT11" s="1">
        <v>20998743.829999998</v>
      </c>
      <c r="DU11" s="1">
        <v>43380.56</v>
      </c>
      <c r="DV11" s="1">
        <v>5.5774999999999997</v>
      </c>
      <c r="DW11" s="1" t="s">
        <v>1137</v>
      </c>
      <c r="DX11" s="1" t="s">
        <v>1049</v>
      </c>
      <c r="DZ11" s="1">
        <v>-7109747</v>
      </c>
      <c r="EA11" s="1">
        <v>-7078921</v>
      </c>
      <c r="ED11" s="1" t="s">
        <v>50</v>
      </c>
      <c r="EE11" s="1">
        <v>69112905</v>
      </c>
      <c r="EF11" s="1" t="s">
        <v>53</v>
      </c>
      <c r="EG11" s="1" t="s">
        <v>282</v>
      </c>
      <c r="EH11" s="1" t="s">
        <v>51</v>
      </c>
      <c r="EI11" s="1" t="s">
        <v>281</v>
      </c>
      <c r="EJ11" s="1" t="s">
        <v>55</v>
      </c>
      <c r="EK11" s="1" t="s">
        <v>96</v>
      </c>
      <c r="EL11" s="1" t="s">
        <v>57</v>
      </c>
      <c r="EM11" s="1" t="s">
        <v>283</v>
      </c>
    </row>
    <row r="12" spans="1:185" x14ac:dyDescent="0.2">
      <c r="A12" s="101">
        <v>31893184</v>
      </c>
      <c r="B12" s="101">
        <v>40240212</v>
      </c>
      <c r="D12" s="1" t="s">
        <v>92</v>
      </c>
      <c r="E12" s="1" t="s">
        <v>44</v>
      </c>
      <c r="F12" s="1" t="s">
        <v>78</v>
      </c>
      <c r="AI12" s="1" t="s">
        <v>551</v>
      </c>
      <c r="AJ12" s="1" t="s">
        <v>44</v>
      </c>
      <c r="AK12" s="1" t="s">
        <v>552</v>
      </c>
      <c r="AL12" s="1" t="s">
        <v>559</v>
      </c>
      <c r="AR12" s="1" t="s">
        <v>70</v>
      </c>
      <c r="AS12" s="1" t="s">
        <v>71</v>
      </c>
      <c r="AT12" s="1" t="s">
        <v>76</v>
      </c>
      <c r="AV12" s="1" t="s">
        <v>265</v>
      </c>
      <c r="AW12" s="1" t="s">
        <v>266</v>
      </c>
      <c r="AX12" s="1">
        <v>15500000</v>
      </c>
      <c r="BA12" s="1" t="s">
        <v>49</v>
      </c>
      <c r="BB12" s="1" t="s">
        <v>554</v>
      </c>
      <c r="BD12" s="1" t="s">
        <v>555</v>
      </c>
      <c r="BG12" s="1" t="s">
        <v>558</v>
      </c>
      <c r="BH12" s="1">
        <v>15</v>
      </c>
      <c r="BI12" s="1" t="s">
        <v>79</v>
      </c>
      <c r="BJ12" s="1" t="s">
        <v>67</v>
      </c>
      <c r="BK12" s="1">
        <v>5.65</v>
      </c>
      <c r="BM12" s="1" t="s">
        <v>265</v>
      </c>
      <c r="BN12" s="1" t="s">
        <v>266</v>
      </c>
      <c r="BP12" s="1">
        <v>15500000</v>
      </c>
      <c r="BS12" s="1" t="s">
        <v>49</v>
      </c>
      <c r="BT12" s="1" t="s">
        <v>557</v>
      </c>
      <c r="BV12" s="1" t="s">
        <v>555</v>
      </c>
      <c r="BY12" s="1" t="s">
        <v>558</v>
      </c>
      <c r="BZ12" s="1">
        <v>15</v>
      </c>
      <c r="CJ12" s="1">
        <v>2.9997799999999999</v>
      </c>
      <c r="CK12" s="1">
        <v>2.9972799999999999</v>
      </c>
      <c r="CL12" s="1">
        <v>3.0022799999999998</v>
      </c>
      <c r="CR12" s="1">
        <v>-5481650.9425537596</v>
      </c>
      <c r="CS12" s="1">
        <v>-5481656.6299999999</v>
      </c>
      <c r="CT12" s="1">
        <v>-5481645.25</v>
      </c>
      <c r="CU12" s="1">
        <v>-35.365499999999997</v>
      </c>
      <c r="CZ12" s="1">
        <v>-5481650.9400000004</v>
      </c>
      <c r="DA12" s="1">
        <v>-5481650.9400000004</v>
      </c>
      <c r="DB12" s="1">
        <v>-5491101.7699999996</v>
      </c>
      <c r="DC12" s="1">
        <v>9450.83</v>
      </c>
      <c r="DD12" s="2">
        <v>814.03</v>
      </c>
      <c r="DG12" s="1">
        <v>-296.98</v>
      </c>
      <c r="DL12" s="1">
        <v>-21805755.18</v>
      </c>
      <c r="DM12" s="1">
        <v>-21781149.059999999</v>
      </c>
      <c r="DN12" s="1">
        <v>-24606.11</v>
      </c>
      <c r="DO12" s="1">
        <v>3.1</v>
      </c>
      <c r="DP12" s="1" t="s">
        <v>1137</v>
      </c>
      <c r="DQ12" s="1" t="s">
        <v>1049</v>
      </c>
      <c r="DS12" s="1">
        <v>16324104.24</v>
      </c>
      <c r="DT12" s="1">
        <v>16290047.289999999</v>
      </c>
      <c r="DU12" s="1">
        <v>34056.94</v>
      </c>
      <c r="DV12" s="1">
        <v>5.65</v>
      </c>
      <c r="DW12" s="1" t="s">
        <v>1137</v>
      </c>
      <c r="DX12" s="1" t="s">
        <v>1049</v>
      </c>
      <c r="DZ12" s="1">
        <v>-5493860</v>
      </c>
      <c r="EA12" s="1">
        <v>-5469441</v>
      </c>
      <c r="ED12" s="1" t="s">
        <v>50</v>
      </c>
      <c r="EE12" s="1">
        <v>69110258</v>
      </c>
      <c r="EF12" s="1" t="s">
        <v>53</v>
      </c>
      <c r="EG12" s="1" t="s">
        <v>285</v>
      </c>
      <c r="EH12" s="1" t="s">
        <v>51</v>
      </c>
      <c r="EI12" s="1" t="s">
        <v>284</v>
      </c>
      <c r="EJ12" s="1" t="s">
        <v>55</v>
      </c>
      <c r="EK12" s="1" t="s">
        <v>96</v>
      </c>
      <c r="EL12" s="1" t="s">
        <v>57</v>
      </c>
      <c r="EM12" s="1" t="s">
        <v>286</v>
      </c>
    </row>
    <row r="13" spans="1:185" x14ac:dyDescent="0.2">
      <c r="A13" s="101">
        <v>31893735</v>
      </c>
      <c r="B13" s="101">
        <v>40240250</v>
      </c>
      <c r="D13" s="1" t="s">
        <v>157</v>
      </c>
      <c r="E13" s="1" t="s">
        <v>44</v>
      </c>
      <c r="F13" s="1" t="s">
        <v>78</v>
      </c>
      <c r="AI13" s="1" t="s">
        <v>551</v>
      </c>
      <c r="AJ13" s="1" t="s">
        <v>44</v>
      </c>
      <c r="AK13" s="1" t="s">
        <v>552</v>
      </c>
      <c r="AL13" s="1" t="s">
        <v>559</v>
      </c>
      <c r="AR13" s="1" t="s">
        <v>70</v>
      </c>
      <c r="AS13" s="1" t="s">
        <v>71</v>
      </c>
      <c r="AT13" s="1" t="s">
        <v>259</v>
      </c>
      <c r="AV13" s="1" t="s">
        <v>260</v>
      </c>
      <c r="AW13" s="1" t="s">
        <v>261</v>
      </c>
      <c r="AX13" s="1">
        <v>40000000</v>
      </c>
      <c r="BA13" s="1" t="s">
        <v>69</v>
      </c>
      <c r="BB13" s="1" t="s">
        <v>554</v>
      </c>
      <c r="BD13" s="1" t="s">
        <v>555</v>
      </c>
      <c r="BG13" s="1" t="s">
        <v>558</v>
      </c>
      <c r="BH13" s="1">
        <v>25</v>
      </c>
      <c r="BI13" s="1" t="s">
        <v>79</v>
      </c>
      <c r="BJ13" s="1" t="s">
        <v>67</v>
      </c>
      <c r="BK13" s="1">
        <v>3.4224999999999999</v>
      </c>
      <c r="BM13" s="1" t="s">
        <v>260</v>
      </c>
      <c r="BN13" s="1" t="s">
        <v>261</v>
      </c>
      <c r="BP13" s="1">
        <v>40000000</v>
      </c>
      <c r="BS13" s="1" t="s">
        <v>69</v>
      </c>
      <c r="BT13" s="1" t="s">
        <v>557</v>
      </c>
      <c r="BV13" s="1" t="s">
        <v>555</v>
      </c>
      <c r="BY13" s="1" t="s">
        <v>558</v>
      </c>
      <c r="BZ13" s="1">
        <v>25</v>
      </c>
      <c r="CJ13" s="1">
        <v>-6.5805499999999997</v>
      </c>
      <c r="CK13" s="1">
        <v>-6.5830500000000001</v>
      </c>
      <c r="CL13" s="1">
        <v>-6.5780500000000002</v>
      </c>
      <c r="CR13" s="1">
        <v>-25958993.660769999</v>
      </c>
      <c r="CS13" s="1">
        <v>-25959041.300000001</v>
      </c>
      <c r="CT13" s="1">
        <v>-25958946.02</v>
      </c>
      <c r="CU13" s="1">
        <v>-64.897499999999994</v>
      </c>
      <c r="CZ13" s="1">
        <v>-25958993.66</v>
      </c>
      <c r="DA13" s="1">
        <v>-25958993.66</v>
      </c>
      <c r="DB13" s="1">
        <v>-25516633.670000002</v>
      </c>
      <c r="DC13" s="1">
        <v>-442359.99</v>
      </c>
      <c r="DD13" s="2">
        <v>10463.030000000001</v>
      </c>
      <c r="DG13" s="1">
        <v>-1761.67</v>
      </c>
      <c r="DL13" s="1">
        <v>-68924645.5</v>
      </c>
      <c r="DM13" s="1">
        <v>-67546802.170000002</v>
      </c>
      <c r="DN13" s="1">
        <v>-1377843.33</v>
      </c>
      <c r="DO13" s="1">
        <v>3.4</v>
      </c>
      <c r="DP13" s="1" t="s">
        <v>788</v>
      </c>
      <c r="DQ13" s="1" t="s">
        <v>1138</v>
      </c>
      <c r="DS13" s="1">
        <v>42965651.840000004</v>
      </c>
      <c r="DT13" s="1">
        <v>42030168.5</v>
      </c>
      <c r="DU13" s="1">
        <v>935483.33</v>
      </c>
      <c r="DV13" s="1">
        <v>3.4224999999999999</v>
      </c>
      <c r="DW13" s="1" t="s">
        <v>788</v>
      </c>
      <c r="DX13" s="1" t="s">
        <v>1138</v>
      </c>
      <c r="DZ13" s="1">
        <v>-25614731</v>
      </c>
      <c r="EA13" s="1">
        <v>-26303256</v>
      </c>
      <c r="ED13" s="1" t="s">
        <v>50</v>
      </c>
      <c r="EE13" s="1">
        <v>69024711</v>
      </c>
      <c r="EF13" s="1" t="s">
        <v>53</v>
      </c>
      <c r="EG13" s="1" t="s">
        <v>288</v>
      </c>
      <c r="EH13" s="1" t="s">
        <v>51</v>
      </c>
      <c r="EI13" s="1" t="s">
        <v>287</v>
      </c>
      <c r="EJ13" s="1" t="s">
        <v>55</v>
      </c>
      <c r="EK13" s="1" t="s">
        <v>160</v>
      </c>
      <c r="EL13" s="1" t="s">
        <v>57</v>
      </c>
      <c r="EM13" s="1" t="s">
        <v>289</v>
      </c>
    </row>
    <row r="14" spans="1:185" x14ac:dyDescent="0.2">
      <c r="A14" s="101">
        <v>31893749</v>
      </c>
      <c r="B14" s="101">
        <v>40240263</v>
      </c>
      <c r="D14" s="1" t="s">
        <v>157</v>
      </c>
      <c r="E14" s="1" t="s">
        <v>44</v>
      </c>
      <c r="F14" s="1" t="s">
        <v>78</v>
      </c>
      <c r="AI14" s="1" t="s">
        <v>551</v>
      </c>
      <c r="AJ14" s="1" t="s">
        <v>44</v>
      </c>
      <c r="AK14" s="1" t="s">
        <v>552</v>
      </c>
      <c r="AL14" s="1" t="s">
        <v>559</v>
      </c>
      <c r="AR14" s="1" t="s">
        <v>70</v>
      </c>
      <c r="AS14" s="1" t="s">
        <v>71</v>
      </c>
      <c r="AT14" s="1" t="s">
        <v>259</v>
      </c>
      <c r="AV14" s="1" t="s">
        <v>260</v>
      </c>
      <c r="AW14" s="1" t="s">
        <v>261</v>
      </c>
      <c r="AX14" s="1">
        <v>25000000</v>
      </c>
      <c r="BA14" s="1" t="s">
        <v>69</v>
      </c>
      <c r="BB14" s="1" t="s">
        <v>554</v>
      </c>
      <c r="BD14" s="1" t="s">
        <v>555</v>
      </c>
      <c r="BG14" s="1" t="s">
        <v>558</v>
      </c>
      <c r="BH14" s="1">
        <v>25</v>
      </c>
      <c r="BI14" s="1" t="s">
        <v>79</v>
      </c>
      <c r="BJ14" s="1" t="s">
        <v>67</v>
      </c>
      <c r="BK14" s="1">
        <v>5.57</v>
      </c>
      <c r="BM14" s="1" t="s">
        <v>260</v>
      </c>
      <c r="BN14" s="1" t="s">
        <v>261</v>
      </c>
      <c r="BP14" s="1">
        <v>25000000</v>
      </c>
      <c r="BS14" s="1" t="s">
        <v>69</v>
      </c>
      <c r="BT14" s="1" t="s">
        <v>557</v>
      </c>
      <c r="BV14" s="1" t="s">
        <v>555</v>
      </c>
      <c r="BY14" s="1" t="s">
        <v>558</v>
      </c>
      <c r="BZ14" s="1">
        <v>25</v>
      </c>
      <c r="CJ14" s="1">
        <v>-5.2070499999999997</v>
      </c>
      <c r="CK14" s="1">
        <v>-5.2095500000000001</v>
      </c>
      <c r="CL14" s="1">
        <v>-5.2045500000000002</v>
      </c>
      <c r="CR14" s="1">
        <v>-13665211.077495201</v>
      </c>
      <c r="CS14" s="1">
        <v>-13665240.85</v>
      </c>
      <c r="CT14" s="1">
        <v>-13665181.300000001</v>
      </c>
      <c r="CU14" s="1">
        <v>-54.660800000000002</v>
      </c>
      <c r="CZ14" s="1">
        <v>-13665211.08</v>
      </c>
      <c r="DA14" s="1">
        <v>-13665211.08</v>
      </c>
      <c r="DB14" s="1">
        <v>-13755600.66</v>
      </c>
      <c r="DC14" s="1">
        <v>90389.59</v>
      </c>
      <c r="DD14" s="2">
        <v>5960.13</v>
      </c>
      <c r="DG14" s="1">
        <v>-947.52</v>
      </c>
      <c r="DL14" s="1">
        <v>-43077903.439999998</v>
      </c>
      <c r="DM14" s="1">
        <v>-42216751.359999999</v>
      </c>
      <c r="DN14" s="1">
        <v>-861152.08</v>
      </c>
      <c r="DO14" s="1">
        <v>3.4</v>
      </c>
      <c r="DP14" s="1" t="s">
        <v>788</v>
      </c>
      <c r="DQ14" s="1" t="s">
        <v>1138</v>
      </c>
      <c r="DS14" s="1">
        <v>29412692.359999999</v>
      </c>
      <c r="DT14" s="1">
        <v>28461150.690000001</v>
      </c>
      <c r="DU14" s="1">
        <v>951541.67</v>
      </c>
      <c r="DV14" s="1">
        <v>5.57</v>
      </c>
      <c r="DW14" s="1" t="s">
        <v>788</v>
      </c>
      <c r="DX14" s="1" t="s">
        <v>1138</v>
      </c>
      <c r="DZ14" s="1">
        <v>-13510038</v>
      </c>
      <c r="EA14" s="1">
        <v>-13820385</v>
      </c>
      <c r="ED14" s="1" t="s">
        <v>50</v>
      </c>
      <c r="EE14" s="1">
        <v>67897352</v>
      </c>
      <c r="EF14" s="1" t="s">
        <v>53</v>
      </c>
      <c r="EG14" s="1" t="s">
        <v>291</v>
      </c>
      <c r="EH14" s="1" t="s">
        <v>51</v>
      </c>
      <c r="EI14" s="1" t="s">
        <v>290</v>
      </c>
      <c r="EJ14" s="1" t="s">
        <v>55</v>
      </c>
      <c r="EK14" s="1" t="s">
        <v>160</v>
      </c>
      <c r="EL14" s="1" t="s">
        <v>57</v>
      </c>
      <c r="EM14" s="1" t="s">
        <v>292</v>
      </c>
    </row>
    <row r="15" spans="1:185" x14ac:dyDescent="0.2">
      <c r="A15" s="101">
        <v>31893777</v>
      </c>
      <c r="B15" s="101">
        <v>40240287</v>
      </c>
      <c r="D15" s="1" t="s">
        <v>293</v>
      </c>
      <c r="E15" s="1" t="s">
        <v>44</v>
      </c>
      <c r="F15" s="1" t="s">
        <v>78</v>
      </c>
      <c r="AI15" s="1" t="s">
        <v>551</v>
      </c>
      <c r="AJ15" s="1" t="s">
        <v>44</v>
      </c>
      <c r="AK15" s="1" t="s">
        <v>552</v>
      </c>
      <c r="AL15" s="1" t="s">
        <v>559</v>
      </c>
      <c r="AR15" s="1" t="s">
        <v>70</v>
      </c>
      <c r="AS15" s="1" t="s">
        <v>71</v>
      </c>
      <c r="AT15" s="1" t="s">
        <v>76</v>
      </c>
      <c r="AV15" s="1" t="s">
        <v>265</v>
      </c>
      <c r="AW15" s="1" t="s">
        <v>266</v>
      </c>
      <c r="AX15" s="1">
        <v>10000000</v>
      </c>
      <c r="BA15" s="1" t="s">
        <v>49</v>
      </c>
      <c r="BB15" s="1" t="s">
        <v>554</v>
      </c>
      <c r="BD15" s="1" t="s">
        <v>555</v>
      </c>
      <c r="BG15" s="1" t="s">
        <v>558</v>
      </c>
      <c r="BH15" s="1">
        <v>15</v>
      </c>
      <c r="BI15" s="1" t="s">
        <v>79</v>
      </c>
      <c r="BJ15" s="1" t="s">
        <v>67</v>
      </c>
      <c r="BK15" s="1">
        <v>5.56</v>
      </c>
      <c r="BM15" s="1" t="s">
        <v>265</v>
      </c>
      <c r="BN15" s="1" t="s">
        <v>266</v>
      </c>
      <c r="BP15" s="1">
        <v>10000000</v>
      </c>
      <c r="BS15" s="1" t="s">
        <v>49</v>
      </c>
      <c r="BT15" s="1" t="s">
        <v>557</v>
      </c>
      <c r="BV15" s="1" t="s">
        <v>555</v>
      </c>
      <c r="BY15" s="1" t="s">
        <v>558</v>
      </c>
      <c r="BZ15" s="1">
        <v>15</v>
      </c>
      <c r="CJ15" s="1">
        <v>2.9121600000000001</v>
      </c>
      <c r="CK15" s="1">
        <v>2.9096600000000001</v>
      </c>
      <c r="CL15" s="1">
        <v>2.91466</v>
      </c>
      <c r="CR15" s="1">
        <v>-3549729.90861551</v>
      </c>
      <c r="CS15" s="1">
        <v>-3549733.58</v>
      </c>
      <c r="CT15" s="1">
        <v>-3549726.24</v>
      </c>
      <c r="CU15" s="1">
        <v>-35.497300000000003</v>
      </c>
      <c r="CZ15" s="1">
        <v>-3549729.91</v>
      </c>
      <c r="DA15" s="1">
        <v>-3549729.91</v>
      </c>
      <c r="DB15" s="1">
        <v>-3555477.22</v>
      </c>
      <c r="DC15" s="1">
        <v>5747.31</v>
      </c>
      <c r="DD15" s="2">
        <v>526.44000000000005</v>
      </c>
      <c r="DG15" s="1">
        <v>-192.32</v>
      </c>
      <c r="DL15" s="1">
        <v>-14068229.15</v>
      </c>
      <c r="DM15" s="1">
        <v>-14052354.23</v>
      </c>
      <c r="DN15" s="1">
        <v>-15874.91</v>
      </c>
      <c r="DO15" s="1">
        <v>3.1</v>
      </c>
      <c r="DP15" s="1" t="s">
        <v>1137</v>
      </c>
      <c r="DQ15" s="1" t="s">
        <v>1049</v>
      </c>
      <c r="DS15" s="1">
        <v>10518499.24</v>
      </c>
      <c r="DT15" s="1">
        <v>10496877.02</v>
      </c>
      <c r="DU15" s="1">
        <v>21622.22</v>
      </c>
      <c r="DV15" s="1">
        <v>5.56</v>
      </c>
      <c r="DW15" s="1" t="s">
        <v>1137</v>
      </c>
      <c r="DX15" s="1" t="s">
        <v>1049</v>
      </c>
      <c r="DZ15" s="1">
        <v>-3557395</v>
      </c>
      <c r="EA15" s="1">
        <v>-3542065</v>
      </c>
      <c r="ED15" s="1" t="s">
        <v>50</v>
      </c>
      <c r="EE15" s="1">
        <v>69115068</v>
      </c>
      <c r="EF15" s="1" t="s">
        <v>53</v>
      </c>
      <c r="EG15" s="1" t="s">
        <v>296</v>
      </c>
      <c r="EH15" s="1" t="s">
        <v>51</v>
      </c>
      <c r="EI15" s="1" t="s">
        <v>295</v>
      </c>
      <c r="EJ15" s="1" t="s">
        <v>55</v>
      </c>
      <c r="EK15" s="1" t="s">
        <v>294</v>
      </c>
      <c r="EL15" s="1" t="s">
        <v>57</v>
      </c>
      <c r="EM15" s="1" t="s">
        <v>297</v>
      </c>
    </row>
    <row r="16" spans="1:185" x14ac:dyDescent="0.2">
      <c r="A16" s="101">
        <v>31892612</v>
      </c>
      <c r="B16" s="101">
        <v>40240149</v>
      </c>
      <c r="D16" s="1" t="s">
        <v>77</v>
      </c>
      <c r="E16" s="1" t="s">
        <v>44</v>
      </c>
      <c r="F16" s="1" t="s">
        <v>78</v>
      </c>
      <c r="AI16" s="1" t="s">
        <v>551</v>
      </c>
      <c r="AJ16" s="1" t="s">
        <v>44</v>
      </c>
      <c r="AK16" s="1" t="s">
        <v>552</v>
      </c>
      <c r="AL16" s="1" t="s">
        <v>553</v>
      </c>
      <c r="AR16" s="1" t="s">
        <v>70</v>
      </c>
      <c r="AS16" s="1" t="s">
        <v>71</v>
      </c>
      <c r="AT16" s="1" t="s">
        <v>259</v>
      </c>
      <c r="AV16" s="1" t="s">
        <v>260</v>
      </c>
      <c r="AW16" s="1" t="s">
        <v>261</v>
      </c>
      <c r="AX16" s="1">
        <v>25000000</v>
      </c>
      <c r="BA16" s="1" t="s">
        <v>69</v>
      </c>
      <c r="BB16" s="1" t="s">
        <v>554</v>
      </c>
      <c r="BD16" s="1" t="s">
        <v>555</v>
      </c>
      <c r="BG16" s="1" t="s">
        <v>556</v>
      </c>
      <c r="BH16" s="1">
        <v>25</v>
      </c>
      <c r="BI16" s="1" t="s">
        <v>79</v>
      </c>
      <c r="BJ16" s="1" t="s">
        <v>67</v>
      </c>
      <c r="BK16" s="1">
        <v>3.415</v>
      </c>
      <c r="BM16" s="1" t="s">
        <v>260</v>
      </c>
      <c r="BN16" s="1" t="s">
        <v>261</v>
      </c>
      <c r="BP16" s="1">
        <v>25000000</v>
      </c>
      <c r="BS16" s="1" t="s">
        <v>69</v>
      </c>
      <c r="BT16" s="1" t="s">
        <v>557</v>
      </c>
      <c r="BV16" s="1" t="s">
        <v>555</v>
      </c>
      <c r="BY16" s="1" t="s">
        <v>558</v>
      </c>
      <c r="BZ16" s="1">
        <v>25</v>
      </c>
      <c r="CJ16" s="1">
        <v>1.45882</v>
      </c>
      <c r="CK16" s="1">
        <v>1.4563200000000001</v>
      </c>
      <c r="CL16" s="1">
        <v>1.46132</v>
      </c>
      <c r="CR16" s="1">
        <v>-16231472.0585726</v>
      </c>
      <c r="CS16" s="1">
        <v>-16231501.779999999</v>
      </c>
      <c r="CT16" s="1">
        <v>-16231442.34</v>
      </c>
      <c r="CU16" s="1">
        <v>-64.925899999999999</v>
      </c>
      <c r="CZ16" s="1">
        <v>-16231472.060000001</v>
      </c>
      <c r="DA16" s="1">
        <v>-16231472.060000001</v>
      </c>
      <c r="DB16" s="1">
        <v>-15952804.49</v>
      </c>
      <c r="DC16" s="1">
        <v>-278667.57</v>
      </c>
      <c r="DD16" s="2">
        <v>6533.71</v>
      </c>
      <c r="DG16" s="1">
        <v>-1136.23</v>
      </c>
      <c r="DL16" s="1">
        <v>-42987019.299999997</v>
      </c>
      <c r="DM16" s="1">
        <v>-42124955.890000001</v>
      </c>
      <c r="DN16" s="1">
        <v>-862063.41</v>
      </c>
      <c r="DO16" s="1">
        <v>3.4</v>
      </c>
      <c r="DP16" s="1" t="s">
        <v>788</v>
      </c>
      <c r="DQ16" s="1" t="s">
        <v>1138</v>
      </c>
      <c r="DS16" s="1">
        <v>26755547.239999998</v>
      </c>
      <c r="DT16" s="1">
        <v>26172151.41</v>
      </c>
      <c r="DU16" s="1">
        <v>583395.82999999996</v>
      </c>
      <c r="DV16" s="1">
        <v>3.415</v>
      </c>
      <c r="DW16" s="1" t="s">
        <v>788</v>
      </c>
      <c r="DX16" s="1" t="s">
        <v>1138</v>
      </c>
      <c r="DZ16" s="1">
        <v>-16279130</v>
      </c>
      <c r="EA16" s="1">
        <v>-16183815</v>
      </c>
      <c r="ED16" s="1" t="s">
        <v>50</v>
      </c>
      <c r="EE16" s="1">
        <v>69012376</v>
      </c>
      <c r="EF16" s="1" t="s">
        <v>53</v>
      </c>
      <c r="EG16" s="1" t="s">
        <v>263</v>
      </c>
      <c r="EH16" s="1" t="s">
        <v>51</v>
      </c>
      <c r="EI16" s="1" t="s">
        <v>262</v>
      </c>
      <c r="EJ16" s="1" t="s">
        <v>55</v>
      </c>
      <c r="EK16" s="1" t="s">
        <v>106</v>
      </c>
      <c r="EL16" s="1" t="s">
        <v>57</v>
      </c>
      <c r="EM16" s="1" t="s">
        <v>264</v>
      </c>
    </row>
    <row r="17" spans="1:143" x14ac:dyDescent="0.2">
      <c r="A17" s="101">
        <v>31893818</v>
      </c>
      <c r="B17" s="101">
        <v>40240312</v>
      </c>
      <c r="D17" s="1" t="s">
        <v>63</v>
      </c>
      <c r="E17" s="1" t="s">
        <v>44</v>
      </c>
      <c r="F17" s="1" t="s">
        <v>78</v>
      </c>
      <c r="AI17" s="1" t="s">
        <v>551</v>
      </c>
      <c r="AJ17" s="1" t="s">
        <v>44</v>
      </c>
      <c r="AK17" s="1" t="s">
        <v>552</v>
      </c>
      <c r="AL17" s="1" t="s">
        <v>562</v>
      </c>
      <c r="AR17" s="1" t="s">
        <v>70</v>
      </c>
      <c r="AS17" s="1" t="s">
        <v>71</v>
      </c>
      <c r="AT17" s="1" t="s">
        <v>259</v>
      </c>
      <c r="AV17" s="1" t="s">
        <v>260</v>
      </c>
      <c r="AW17" s="1" t="s">
        <v>261</v>
      </c>
      <c r="AX17" s="1">
        <v>25000000</v>
      </c>
      <c r="BA17" s="1" t="s">
        <v>69</v>
      </c>
      <c r="BB17" s="1" t="s">
        <v>554</v>
      </c>
      <c r="BD17" s="1" t="s">
        <v>555</v>
      </c>
      <c r="BG17" s="1" t="s">
        <v>556</v>
      </c>
      <c r="BH17" s="1">
        <v>25</v>
      </c>
      <c r="BI17" s="1" t="s">
        <v>79</v>
      </c>
      <c r="BJ17" s="1" t="s">
        <v>67</v>
      </c>
      <c r="BK17" s="1">
        <v>5.35</v>
      </c>
      <c r="BM17" s="1" t="s">
        <v>260</v>
      </c>
      <c r="BN17" s="1" t="s">
        <v>261</v>
      </c>
      <c r="BP17" s="1">
        <v>25000000</v>
      </c>
      <c r="BS17" s="1" t="s">
        <v>69</v>
      </c>
      <c r="BT17" s="1" t="s">
        <v>557</v>
      </c>
      <c r="BV17" s="1" t="s">
        <v>555</v>
      </c>
      <c r="BY17" s="1" t="s">
        <v>558</v>
      </c>
      <c r="BZ17" s="1">
        <v>25</v>
      </c>
      <c r="CJ17" s="1">
        <v>3.3014299999999999</v>
      </c>
      <c r="CK17" s="1">
        <v>3.2989299999999999</v>
      </c>
      <c r="CL17" s="1">
        <v>3.3039299999999998</v>
      </c>
      <c r="CR17" s="1">
        <v>-13929975.955940099</v>
      </c>
      <c r="CS17" s="1">
        <v>-13930005.67</v>
      </c>
      <c r="CT17" s="1">
        <v>-13929946.24</v>
      </c>
      <c r="CU17" s="1">
        <v>-55.719900000000003</v>
      </c>
      <c r="CZ17" s="1">
        <v>-13929975.960000001</v>
      </c>
      <c r="DA17" s="1">
        <v>-13929975.960000001</v>
      </c>
      <c r="DB17" s="1">
        <v>-13981870.880000001</v>
      </c>
      <c r="DC17" s="1">
        <v>51894.93</v>
      </c>
      <c r="DD17" s="2">
        <v>6013.58</v>
      </c>
      <c r="DG17" s="1">
        <v>-992.93</v>
      </c>
      <c r="DL17" s="1">
        <v>-42987019.299999997</v>
      </c>
      <c r="DM17" s="1">
        <v>-42124955.890000001</v>
      </c>
      <c r="DN17" s="1">
        <v>-862063.41</v>
      </c>
      <c r="DO17" s="1">
        <v>3.4</v>
      </c>
      <c r="DP17" s="1" t="s">
        <v>788</v>
      </c>
      <c r="DQ17" s="1" t="s">
        <v>1138</v>
      </c>
      <c r="DS17" s="1">
        <v>29057043.34</v>
      </c>
      <c r="DT17" s="1">
        <v>28143085.010000002</v>
      </c>
      <c r="DU17" s="1">
        <v>913958.33</v>
      </c>
      <c r="DV17" s="1">
        <v>5.35</v>
      </c>
      <c r="DW17" s="1" t="s">
        <v>788</v>
      </c>
      <c r="DX17" s="1" t="s">
        <v>1138</v>
      </c>
      <c r="DZ17" s="1">
        <v>-14029243</v>
      </c>
      <c r="EA17" s="1">
        <v>-13830709</v>
      </c>
      <c r="ED17" s="1" t="s">
        <v>50</v>
      </c>
      <c r="EE17" s="1">
        <v>67897338</v>
      </c>
      <c r="EF17" s="1" t="s">
        <v>53</v>
      </c>
      <c r="EG17" s="1" t="s">
        <v>299</v>
      </c>
      <c r="EH17" s="1" t="s">
        <v>51</v>
      </c>
      <c r="EI17" s="1" t="s">
        <v>298</v>
      </c>
      <c r="EJ17" s="1" t="s">
        <v>55</v>
      </c>
      <c r="EK17" s="1" t="s">
        <v>179</v>
      </c>
      <c r="EL17" s="1" t="s">
        <v>57</v>
      </c>
      <c r="EM17" s="1" t="s">
        <v>300</v>
      </c>
    </row>
    <row r="18" spans="1:143" x14ac:dyDescent="0.2">
      <c r="A18" s="101">
        <v>605332398</v>
      </c>
      <c r="B18" s="101">
        <v>600835003</v>
      </c>
      <c r="C18" s="1">
        <v>70589501</v>
      </c>
      <c r="D18" s="1" t="s">
        <v>63</v>
      </c>
      <c r="E18" s="1" t="s">
        <v>44</v>
      </c>
      <c r="F18" s="1" t="s">
        <v>173</v>
      </c>
      <c r="AC18" s="1" t="s">
        <v>69</v>
      </c>
      <c r="AE18" s="1" t="s">
        <v>564</v>
      </c>
      <c r="AI18" s="1" t="s">
        <v>551</v>
      </c>
      <c r="AJ18" s="1" t="s">
        <v>44</v>
      </c>
      <c r="AK18" s="1" t="s">
        <v>569</v>
      </c>
      <c r="AL18" s="1" t="s">
        <v>571</v>
      </c>
      <c r="AR18" s="1" t="s">
        <v>174</v>
      </c>
      <c r="AS18" s="1" t="s">
        <v>67</v>
      </c>
      <c r="AT18" s="1" t="s">
        <v>430</v>
      </c>
      <c r="AU18" s="1">
        <v>88.25</v>
      </c>
      <c r="AV18" s="1" t="s">
        <v>175</v>
      </c>
      <c r="AW18" s="1" t="s">
        <v>176</v>
      </c>
      <c r="AX18" s="1">
        <v>152000000</v>
      </c>
      <c r="AY18" s="1" t="s">
        <v>570</v>
      </c>
      <c r="AZ18" s="1" t="s">
        <v>86</v>
      </c>
      <c r="BA18" s="1" t="s">
        <v>86</v>
      </c>
      <c r="BB18" s="1" t="s">
        <v>557</v>
      </c>
      <c r="BD18" s="1" t="s">
        <v>555</v>
      </c>
      <c r="BG18" s="1" t="s">
        <v>558</v>
      </c>
      <c r="BH18" s="1">
        <v>25</v>
      </c>
      <c r="BI18" s="1" t="s">
        <v>79</v>
      </c>
      <c r="BJ18" s="1" t="s">
        <v>71</v>
      </c>
      <c r="BK18" s="1">
        <v>5.5</v>
      </c>
      <c r="BM18" s="1" t="s">
        <v>175</v>
      </c>
      <c r="BN18" s="1" t="s">
        <v>176</v>
      </c>
      <c r="BP18" s="1">
        <v>152000000</v>
      </c>
      <c r="BS18" s="1" t="s">
        <v>69</v>
      </c>
      <c r="BT18" s="1" t="s">
        <v>557</v>
      </c>
      <c r="BV18" s="1" t="s">
        <v>555</v>
      </c>
      <c r="BY18" s="1" t="s">
        <v>558</v>
      </c>
      <c r="BZ18" s="1">
        <v>25</v>
      </c>
      <c r="CJ18" s="1">
        <v>3.17849</v>
      </c>
      <c r="CK18" s="1">
        <v>3.1759900000000001</v>
      </c>
      <c r="CL18" s="1">
        <v>3.18099</v>
      </c>
      <c r="CR18" s="1">
        <v>-16883705.2164887</v>
      </c>
      <c r="CS18" s="1">
        <v>-16901887.039999999</v>
      </c>
      <c r="CT18" s="1">
        <v>-16865523.399999999</v>
      </c>
      <c r="CU18" s="1">
        <v>-11.107699999999999</v>
      </c>
      <c r="CZ18" s="1">
        <v>-16883705.219999999</v>
      </c>
      <c r="DA18" s="1">
        <v>-16883705.219999999</v>
      </c>
      <c r="DB18" s="1">
        <v>-9990201.2200000007</v>
      </c>
      <c r="DC18" s="1">
        <v>-6893504</v>
      </c>
      <c r="DD18" s="2">
        <v>61743.08</v>
      </c>
      <c r="DF18" s="1">
        <v>72216.67</v>
      </c>
      <c r="DL18" s="1">
        <v>161984732.88999999</v>
      </c>
      <c r="DM18" s="1">
        <v>161075570.22</v>
      </c>
      <c r="DN18" s="1">
        <v>909162.67</v>
      </c>
      <c r="DP18" s="1" t="s">
        <v>739</v>
      </c>
      <c r="DQ18" s="1" t="s">
        <v>788</v>
      </c>
      <c r="DR18" s="1" t="s">
        <v>1103</v>
      </c>
      <c r="DS18" s="1">
        <v>-178868438.11000001</v>
      </c>
      <c r="DT18" s="1">
        <v>-171065771.44</v>
      </c>
      <c r="DU18" s="1">
        <v>-7802666.6699999999</v>
      </c>
      <c r="DW18" s="1" t="s">
        <v>739</v>
      </c>
      <c r="DX18" s="1" t="s">
        <v>603</v>
      </c>
      <c r="DZ18" s="1">
        <v>-17864954</v>
      </c>
      <c r="EA18" s="1">
        <v>-15902456</v>
      </c>
      <c r="ED18" s="1" t="s">
        <v>50</v>
      </c>
      <c r="EE18" s="1">
        <v>70589501</v>
      </c>
      <c r="EF18" s="1" t="s">
        <v>53</v>
      </c>
      <c r="EG18" s="1" t="s">
        <v>178</v>
      </c>
      <c r="EH18" s="1" t="s">
        <v>51</v>
      </c>
      <c r="EI18" s="1" t="s">
        <v>177</v>
      </c>
      <c r="EJ18" s="1" t="s">
        <v>55</v>
      </c>
      <c r="EK18" s="1" t="s">
        <v>179</v>
      </c>
      <c r="EL18" s="1" t="s">
        <v>57</v>
      </c>
      <c r="EM18" s="1" t="s">
        <v>180</v>
      </c>
    </row>
    <row r="19" spans="1:143" x14ac:dyDescent="0.2">
      <c r="A19" s="101">
        <v>605332456</v>
      </c>
      <c r="B19" s="101">
        <v>600835060</v>
      </c>
      <c r="C19" s="1">
        <v>70589503</v>
      </c>
      <c r="D19" s="1" t="s">
        <v>63</v>
      </c>
      <c r="E19" s="1" t="s">
        <v>44</v>
      </c>
      <c r="F19" s="1" t="s">
        <v>173</v>
      </c>
      <c r="AC19" s="1" t="s">
        <v>69</v>
      </c>
      <c r="AE19" s="1" t="s">
        <v>564</v>
      </c>
      <c r="AI19" s="1" t="s">
        <v>551</v>
      </c>
      <c r="AJ19" s="1" t="s">
        <v>44</v>
      </c>
      <c r="AK19" s="1" t="s">
        <v>569</v>
      </c>
      <c r="AL19" s="1" t="s">
        <v>571</v>
      </c>
      <c r="AR19" s="1" t="s">
        <v>174</v>
      </c>
      <c r="AS19" s="1" t="s">
        <v>67</v>
      </c>
      <c r="AT19" s="1" t="s">
        <v>430</v>
      </c>
      <c r="AU19" s="1">
        <v>161.30000000000001</v>
      </c>
      <c r="AV19" s="1" t="s">
        <v>181</v>
      </c>
      <c r="AW19" s="1" t="s">
        <v>182</v>
      </c>
      <c r="AX19" s="1">
        <v>138118808</v>
      </c>
      <c r="AY19" s="1" t="s">
        <v>570</v>
      </c>
      <c r="AZ19" s="1" t="s">
        <v>86</v>
      </c>
      <c r="BA19" s="1" t="s">
        <v>86</v>
      </c>
      <c r="BB19" s="1" t="s">
        <v>557</v>
      </c>
      <c r="BD19" s="1" t="s">
        <v>555</v>
      </c>
      <c r="BG19" s="1" t="s">
        <v>558</v>
      </c>
      <c r="BH19" s="1">
        <v>25</v>
      </c>
      <c r="BI19" s="1" t="s">
        <v>79</v>
      </c>
      <c r="BJ19" s="1" t="s">
        <v>71</v>
      </c>
      <c r="BK19" s="1">
        <v>6</v>
      </c>
      <c r="BM19" s="1" t="s">
        <v>181</v>
      </c>
      <c r="BN19" s="1" t="s">
        <v>182</v>
      </c>
      <c r="BP19" s="1">
        <v>138118808</v>
      </c>
      <c r="BS19" s="1" t="s">
        <v>69</v>
      </c>
      <c r="BT19" s="1" t="s">
        <v>557</v>
      </c>
      <c r="BV19" s="1" t="s">
        <v>555</v>
      </c>
      <c r="BY19" s="1" t="s">
        <v>558</v>
      </c>
      <c r="BZ19" s="1">
        <v>25</v>
      </c>
      <c r="CJ19" s="1">
        <v>3.16052</v>
      </c>
      <c r="CK19" s="1">
        <v>3.15802</v>
      </c>
      <c r="CL19" s="1">
        <v>3.1630199999999999</v>
      </c>
      <c r="CR19" s="1">
        <v>-3872267.3903955799</v>
      </c>
      <c r="CS19" s="1">
        <v>-3875676.7</v>
      </c>
      <c r="CT19" s="1">
        <v>-3868858.08</v>
      </c>
      <c r="CU19" s="1">
        <v>-2.8035999999999999</v>
      </c>
      <c r="CZ19" s="1">
        <v>-3872267.39</v>
      </c>
      <c r="DA19" s="1">
        <v>-3872267.39</v>
      </c>
      <c r="DB19" s="1">
        <v>-1286683.3</v>
      </c>
      <c r="DC19" s="1">
        <v>-2585584.09</v>
      </c>
      <c r="DD19" s="2">
        <v>7168.44</v>
      </c>
      <c r="DF19" s="1">
        <v>759.05</v>
      </c>
      <c r="DL19" s="1">
        <v>140682283.13999999</v>
      </c>
      <c r="DM19" s="1">
        <v>139676778.22</v>
      </c>
      <c r="DN19" s="1">
        <v>1005504.92</v>
      </c>
      <c r="DP19" s="1" t="s">
        <v>739</v>
      </c>
      <c r="DQ19" s="1" t="s">
        <v>788</v>
      </c>
      <c r="DR19" s="1" t="s">
        <v>1103</v>
      </c>
      <c r="DS19" s="1">
        <v>-144554550.53</v>
      </c>
      <c r="DT19" s="1">
        <v>-140963461.52000001</v>
      </c>
      <c r="DU19" s="1">
        <v>-3591089.01</v>
      </c>
      <c r="DW19" s="1" t="s">
        <v>608</v>
      </c>
      <c r="DX19" s="1" t="s">
        <v>608</v>
      </c>
      <c r="DZ19" s="1">
        <v>-3985547</v>
      </c>
      <c r="EA19" s="1">
        <v>-3758987</v>
      </c>
      <c r="ED19" s="1" t="s">
        <v>50</v>
      </c>
      <c r="EE19" s="1">
        <v>70589503</v>
      </c>
      <c r="EF19" s="1" t="s">
        <v>53</v>
      </c>
      <c r="EG19" s="1" t="s">
        <v>184</v>
      </c>
      <c r="EH19" s="1" t="s">
        <v>51</v>
      </c>
      <c r="EI19" s="1" t="s">
        <v>183</v>
      </c>
      <c r="EJ19" s="1" t="s">
        <v>55</v>
      </c>
      <c r="EK19" s="1" t="s">
        <v>179</v>
      </c>
      <c r="EL19" s="1" t="s">
        <v>57</v>
      </c>
      <c r="EM19" s="1" t="s">
        <v>185</v>
      </c>
    </row>
    <row r="20" spans="1:143" x14ac:dyDescent="0.2">
      <c r="A20" s="101">
        <v>605364747</v>
      </c>
      <c r="B20" s="101">
        <v>600842052</v>
      </c>
      <c r="C20" s="1">
        <v>70600138</v>
      </c>
      <c r="D20" s="1" t="s">
        <v>75</v>
      </c>
      <c r="E20" s="1" t="s">
        <v>44</v>
      </c>
      <c r="F20" s="1" t="s">
        <v>173</v>
      </c>
      <c r="AC20" s="1" t="s">
        <v>69</v>
      </c>
      <c r="AE20" s="1" t="s">
        <v>564</v>
      </c>
      <c r="AI20" s="1" t="s">
        <v>551</v>
      </c>
      <c r="AJ20" s="1" t="s">
        <v>44</v>
      </c>
      <c r="AK20" s="1" t="s">
        <v>569</v>
      </c>
      <c r="AL20" s="1" t="s">
        <v>573</v>
      </c>
      <c r="AR20" s="1" t="s">
        <v>174</v>
      </c>
      <c r="AS20" s="1" t="s">
        <v>67</v>
      </c>
      <c r="AT20" s="1" t="s">
        <v>430</v>
      </c>
      <c r="AU20" s="1">
        <v>109</v>
      </c>
      <c r="AV20" s="1" t="s">
        <v>210</v>
      </c>
      <c r="AW20" s="1" t="s">
        <v>211</v>
      </c>
      <c r="AX20" s="1">
        <v>116200000</v>
      </c>
      <c r="AY20" s="1" t="s">
        <v>570</v>
      </c>
      <c r="AZ20" s="1" t="s">
        <v>86</v>
      </c>
      <c r="BA20" s="1" t="s">
        <v>86</v>
      </c>
      <c r="BB20" s="1" t="s">
        <v>557</v>
      </c>
      <c r="BD20" s="1" t="s">
        <v>555</v>
      </c>
      <c r="BG20" s="1" t="s">
        <v>558</v>
      </c>
      <c r="BH20" s="1">
        <v>28</v>
      </c>
      <c r="BI20" s="1" t="s">
        <v>79</v>
      </c>
      <c r="BJ20" s="1" t="s">
        <v>71</v>
      </c>
      <c r="BK20" s="1">
        <v>5.5</v>
      </c>
      <c r="BM20" s="1" t="s">
        <v>210</v>
      </c>
      <c r="BN20" s="1" t="s">
        <v>211</v>
      </c>
      <c r="BP20" s="1">
        <v>116200000</v>
      </c>
      <c r="BS20" s="1" t="s">
        <v>69</v>
      </c>
      <c r="BT20" s="1" t="s">
        <v>557</v>
      </c>
      <c r="BV20" s="1" t="s">
        <v>555</v>
      </c>
      <c r="BY20" s="1" t="s">
        <v>558</v>
      </c>
      <c r="BZ20" s="1">
        <v>28</v>
      </c>
      <c r="CJ20" s="1">
        <v>3.9468299999999998</v>
      </c>
      <c r="CK20" s="1">
        <v>3.9443299999999999</v>
      </c>
      <c r="CL20" s="1">
        <v>3.9493299999999998</v>
      </c>
      <c r="CR20" s="1">
        <v>-5193365.7155750496</v>
      </c>
      <c r="CS20" s="1">
        <v>-5201725.0199999996</v>
      </c>
      <c r="CT20" s="1">
        <v>-5185006.41</v>
      </c>
      <c r="CU20" s="1">
        <v>-4.4692999999999996</v>
      </c>
      <c r="CZ20" s="1">
        <v>-5193365.72</v>
      </c>
      <c r="DA20" s="1">
        <v>-5193365.72</v>
      </c>
      <c r="DB20" s="1">
        <v>-5176836.2699999996</v>
      </c>
      <c r="DC20" s="1">
        <v>-16529.45</v>
      </c>
      <c r="DD20" s="2">
        <v>32424.44</v>
      </c>
      <c r="DF20" s="1">
        <v>29117.84</v>
      </c>
      <c r="DL20" s="1">
        <v>122229510.61</v>
      </c>
      <c r="DM20" s="1">
        <v>122192781.73</v>
      </c>
      <c r="DN20" s="1">
        <v>36728.879999999997</v>
      </c>
      <c r="DP20" s="1" t="s">
        <v>1404</v>
      </c>
      <c r="DQ20" s="1" t="s">
        <v>1650</v>
      </c>
      <c r="DR20" s="1" t="s">
        <v>1134</v>
      </c>
      <c r="DS20" s="1">
        <v>-127422876.31999999</v>
      </c>
      <c r="DT20" s="1">
        <v>-127369617.98999999</v>
      </c>
      <c r="DU20" s="1">
        <v>-53258.33</v>
      </c>
      <c r="DW20" s="1" t="s">
        <v>1001</v>
      </c>
      <c r="DX20" s="1" t="s">
        <v>1651</v>
      </c>
      <c r="DZ20" s="1">
        <v>-5833234</v>
      </c>
      <c r="EA20" s="1">
        <v>-4553497</v>
      </c>
      <c r="ED20" s="1" t="s">
        <v>50</v>
      </c>
      <c r="EE20" s="1">
        <v>70600138</v>
      </c>
      <c r="EF20" s="1" t="s">
        <v>53</v>
      </c>
      <c r="EG20" s="1" t="s">
        <v>213</v>
      </c>
      <c r="EH20" s="1" t="s">
        <v>51</v>
      </c>
      <c r="EI20" s="1" t="s">
        <v>212</v>
      </c>
      <c r="EJ20" s="1" t="s">
        <v>55</v>
      </c>
      <c r="EK20" s="1" t="s">
        <v>102</v>
      </c>
      <c r="EL20" s="1" t="s">
        <v>57</v>
      </c>
      <c r="EM20" s="1" t="s">
        <v>214</v>
      </c>
    </row>
    <row r="21" spans="1:143" x14ac:dyDescent="0.2">
      <c r="A21" s="101">
        <v>605364750</v>
      </c>
      <c r="B21" s="101">
        <v>600842055</v>
      </c>
      <c r="C21" s="1">
        <v>70600140</v>
      </c>
      <c r="D21" s="1" t="s">
        <v>75</v>
      </c>
      <c r="E21" s="1" t="s">
        <v>44</v>
      </c>
      <c r="F21" s="1" t="s">
        <v>173</v>
      </c>
      <c r="AC21" s="1" t="s">
        <v>69</v>
      </c>
      <c r="AE21" s="1" t="s">
        <v>564</v>
      </c>
      <c r="AI21" s="1" t="s">
        <v>551</v>
      </c>
      <c r="AJ21" s="1" t="s">
        <v>44</v>
      </c>
      <c r="AK21" s="1" t="s">
        <v>569</v>
      </c>
      <c r="AL21" s="1" t="s">
        <v>573</v>
      </c>
      <c r="AR21" s="1" t="s">
        <v>174</v>
      </c>
      <c r="AS21" s="1" t="s">
        <v>67</v>
      </c>
      <c r="AT21" s="1" t="s">
        <v>430</v>
      </c>
      <c r="AU21" s="1">
        <v>299.5</v>
      </c>
      <c r="AV21" s="1" t="s">
        <v>215</v>
      </c>
      <c r="AW21" s="1" t="s">
        <v>216</v>
      </c>
      <c r="AX21" s="1">
        <v>50000000</v>
      </c>
      <c r="AY21" s="1" t="s">
        <v>570</v>
      </c>
      <c r="AZ21" s="1" t="s">
        <v>49</v>
      </c>
      <c r="BA21" s="1" t="s">
        <v>49</v>
      </c>
      <c r="BB21" s="1" t="s">
        <v>557</v>
      </c>
      <c r="BD21" s="1" t="s">
        <v>555</v>
      </c>
      <c r="BG21" s="1" t="s">
        <v>558</v>
      </c>
      <c r="BH21" s="1">
        <v>24</v>
      </c>
      <c r="BI21" s="1" t="s">
        <v>79</v>
      </c>
      <c r="BJ21" s="1" t="s">
        <v>71</v>
      </c>
      <c r="BK21" s="1">
        <v>6</v>
      </c>
      <c r="BM21" s="1" t="s">
        <v>215</v>
      </c>
      <c r="BN21" s="1" t="s">
        <v>216</v>
      </c>
      <c r="BP21" s="1">
        <v>50000000</v>
      </c>
      <c r="BS21" s="1" t="s">
        <v>69</v>
      </c>
      <c r="BT21" s="1" t="s">
        <v>560</v>
      </c>
      <c r="BV21" s="1" t="s">
        <v>555</v>
      </c>
      <c r="BY21" s="1" t="s">
        <v>558</v>
      </c>
      <c r="BZ21" s="1">
        <v>24</v>
      </c>
      <c r="CJ21" s="1">
        <v>5.5855399999999999</v>
      </c>
      <c r="CK21" s="1">
        <v>5.5830399999999996</v>
      </c>
      <c r="CL21" s="1">
        <v>5.5880400000000003</v>
      </c>
      <c r="CR21" s="1">
        <v>-204535.745626897</v>
      </c>
      <c r="CS21" s="1">
        <v>-205769.5</v>
      </c>
      <c r="CT21" s="1">
        <v>-203301.99</v>
      </c>
      <c r="CU21" s="1">
        <v>-0.40910000000000002</v>
      </c>
      <c r="CZ21" s="1">
        <v>-204535.75</v>
      </c>
      <c r="DA21" s="1">
        <v>-204535.75</v>
      </c>
      <c r="DB21" s="1">
        <v>-96075.96</v>
      </c>
      <c r="DC21" s="1">
        <v>-108459.79</v>
      </c>
      <c r="DD21" s="2">
        <v>2548.87</v>
      </c>
      <c r="DF21" s="1">
        <v>80.33</v>
      </c>
      <c r="DL21" s="1">
        <v>52132344.060000002</v>
      </c>
      <c r="DM21" s="1">
        <v>50943723.219999999</v>
      </c>
      <c r="DN21" s="1">
        <v>1188620.83</v>
      </c>
      <c r="DP21" s="1" t="s">
        <v>1013</v>
      </c>
      <c r="DQ21" s="1" t="s">
        <v>216</v>
      </c>
      <c r="DR21" s="1" t="s">
        <v>1016</v>
      </c>
      <c r="DS21" s="1">
        <v>-52336879.799999997</v>
      </c>
      <c r="DT21" s="1">
        <v>-51039799.18</v>
      </c>
      <c r="DU21" s="1">
        <v>-1297080.6200000001</v>
      </c>
      <c r="DW21" s="1" t="s">
        <v>216</v>
      </c>
      <c r="DX21" s="1" t="s">
        <v>216</v>
      </c>
      <c r="DZ21" s="1">
        <v>-275720</v>
      </c>
      <c r="EA21" s="1">
        <v>-133352</v>
      </c>
      <c r="ED21" s="1" t="s">
        <v>50</v>
      </c>
      <c r="EE21" s="1">
        <v>70600140</v>
      </c>
      <c r="EF21" s="1" t="s">
        <v>53</v>
      </c>
      <c r="EG21" s="1" t="s">
        <v>218</v>
      </c>
      <c r="EH21" s="1" t="s">
        <v>51</v>
      </c>
      <c r="EI21" s="1" t="s">
        <v>217</v>
      </c>
      <c r="EJ21" s="1" t="s">
        <v>55</v>
      </c>
      <c r="EK21" s="1" t="s">
        <v>102</v>
      </c>
      <c r="EL21" s="1" t="s">
        <v>57</v>
      </c>
      <c r="EM21" s="1" t="s">
        <v>219</v>
      </c>
    </row>
    <row r="22" spans="1:143" x14ac:dyDescent="0.2">
      <c r="A22" s="101">
        <v>605374916</v>
      </c>
      <c r="B22" s="101">
        <v>600844090</v>
      </c>
      <c r="C22" s="1">
        <v>70607235</v>
      </c>
      <c r="D22" s="1" t="s">
        <v>220</v>
      </c>
      <c r="E22" s="1" t="s">
        <v>44</v>
      </c>
      <c r="F22" s="1" t="s">
        <v>173</v>
      </c>
      <c r="AC22" s="1" t="s">
        <v>69</v>
      </c>
      <c r="AE22" s="1" t="s">
        <v>564</v>
      </c>
      <c r="AI22" s="1" t="s">
        <v>551</v>
      </c>
      <c r="AJ22" s="1" t="s">
        <v>44</v>
      </c>
      <c r="AK22" s="1" t="s">
        <v>569</v>
      </c>
      <c r="AL22" s="1" t="s">
        <v>571</v>
      </c>
      <c r="AR22" s="1" t="s">
        <v>174</v>
      </c>
      <c r="AS22" s="1" t="s">
        <v>67</v>
      </c>
      <c r="AT22" s="1" t="s">
        <v>430</v>
      </c>
      <c r="AU22" s="1">
        <v>141.6</v>
      </c>
      <c r="AV22" s="1" t="s">
        <v>221</v>
      </c>
      <c r="AW22" s="1" t="s">
        <v>222</v>
      </c>
      <c r="AX22" s="1">
        <v>104000000</v>
      </c>
      <c r="AY22" s="1" t="s">
        <v>570</v>
      </c>
      <c r="AZ22" s="1" t="s">
        <v>86</v>
      </c>
      <c r="BA22" s="1" t="s">
        <v>86</v>
      </c>
      <c r="BB22" s="1" t="s">
        <v>557</v>
      </c>
      <c r="BD22" s="1" t="s">
        <v>555</v>
      </c>
      <c r="BG22" s="1" t="s">
        <v>558</v>
      </c>
      <c r="BH22" s="1">
        <v>31</v>
      </c>
      <c r="BI22" s="1" t="s">
        <v>79</v>
      </c>
      <c r="BJ22" s="1" t="s">
        <v>71</v>
      </c>
      <c r="BK22" s="1">
        <v>6</v>
      </c>
      <c r="BM22" s="1" t="s">
        <v>221</v>
      </c>
      <c r="BN22" s="1" t="s">
        <v>222</v>
      </c>
      <c r="BP22" s="1">
        <v>104000000</v>
      </c>
      <c r="BS22" s="1" t="s">
        <v>69</v>
      </c>
      <c r="BT22" s="1" t="s">
        <v>557</v>
      </c>
      <c r="BV22" s="1" t="s">
        <v>555</v>
      </c>
      <c r="BY22" s="1" t="s">
        <v>558</v>
      </c>
      <c r="BZ22" s="1">
        <v>31</v>
      </c>
      <c r="CJ22" s="1">
        <v>4.3037599999999996</v>
      </c>
      <c r="CK22" s="1">
        <v>4.3012600000000001</v>
      </c>
      <c r="CL22" s="1">
        <v>4.30626</v>
      </c>
      <c r="CR22" s="1">
        <v>-6718980.8951135399</v>
      </c>
      <c r="CS22" s="1">
        <v>-6728883.6399999997</v>
      </c>
      <c r="CT22" s="1">
        <v>-6709078.1500000004</v>
      </c>
      <c r="CU22" s="1">
        <v>-6.4606000000000003</v>
      </c>
      <c r="CZ22" s="1">
        <v>-6718980.9000000004</v>
      </c>
      <c r="DA22" s="1">
        <v>-6718980.9000000004</v>
      </c>
      <c r="DB22" s="1">
        <v>-6355327.5599999996</v>
      </c>
      <c r="DC22" s="1">
        <v>-363653.33</v>
      </c>
      <c r="DD22" s="2">
        <v>39771.94</v>
      </c>
      <c r="DF22" s="1">
        <v>43969.98</v>
      </c>
      <c r="DL22" s="1">
        <v>112621102.26000001</v>
      </c>
      <c r="DM22" s="1">
        <v>111944755.59</v>
      </c>
      <c r="DN22" s="1">
        <v>676346.67</v>
      </c>
      <c r="DP22" s="1" t="s">
        <v>1047</v>
      </c>
      <c r="DQ22" s="1" t="s">
        <v>1414</v>
      </c>
      <c r="DR22" s="1" t="s">
        <v>1415</v>
      </c>
      <c r="DS22" s="1">
        <v>-119340083.15000001</v>
      </c>
      <c r="DT22" s="1">
        <v>-118300083.15000001</v>
      </c>
      <c r="DU22" s="1">
        <v>-1040000</v>
      </c>
      <c r="DW22" s="1" t="s">
        <v>920</v>
      </c>
      <c r="DX22" s="1" t="s">
        <v>951</v>
      </c>
      <c r="DZ22" s="1">
        <v>-7574825</v>
      </c>
      <c r="EA22" s="1">
        <v>-5863136</v>
      </c>
      <c r="ED22" s="1" t="s">
        <v>50</v>
      </c>
      <c r="EE22" s="1">
        <v>70607235</v>
      </c>
      <c r="EF22" s="1" t="s">
        <v>53</v>
      </c>
      <c r="EG22" s="1" t="s">
        <v>223</v>
      </c>
      <c r="EH22" s="1" t="s">
        <v>51</v>
      </c>
      <c r="EI22" s="1" t="s">
        <v>143</v>
      </c>
      <c r="EJ22" s="1" t="s">
        <v>55</v>
      </c>
      <c r="EK22" s="1" t="s">
        <v>224</v>
      </c>
      <c r="EL22" s="1" t="s">
        <v>57</v>
      </c>
      <c r="EM22" s="1" t="s">
        <v>225</v>
      </c>
    </row>
    <row r="23" spans="1:143" x14ac:dyDescent="0.2">
      <c r="A23" s="101">
        <v>605401880</v>
      </c>
      <c r="B23" s="101">
        <v>600848762</v>
      </c>
      <c r="C23" s="1">
        <v>70618160</v>
      </c>
      <c r="D23" s="1" t="s">
        <v>228</v>
      </c>
      <c r="E23" s="1" t="s">
        <v>44</v>
      </c>
      <c r="F23" s="1" t="s">
        <v>173</v>
      </c>
      <c r="AC23" s="1" t="s">
        <v>69</v>
      </c>
      <c r="AE23" s="1" t="s">
        <v>564</v>
      </c>
      <c r="AI23" s="1" t="s">
        <v>551</v>
      </c>
      <c r="AJ23" s="1" t="s">
        <v>44</v>
      </c>
      <c r="AK23" s="1" t="s">
        <v>569</v>
      </c>
      <c r="AL23" s="1" t="s">
        <v>572</v>
      </c>
      <c r="AR23" s="1" t="s">
        <v>174</v>
      </c>
      <c r="AS23" s="1" t="s">
        <v>67</v>
      </c>
      <c r="AT23" s="1" t="s">
        <v>430</v>
      </c>
      <c r="AU23" s="1">
        <v>303.3</v>
      </c>
      <c r="AV23" s="1" t="s">
        <v>232</v>
      </c>
      <c r="AW23" s="1" t="s">
        <v>216</v>
      </c>
      <c r="AX23" s="1">
        <v>50000000</v>
      </c>
      <c r="AY23" s="1" t="s">
        <v>570</v>
      </c>
      <c r="AZ23" s="1" t="s">
        <v>49</v>
      </c>
      <c r="BA23" s="1" t="s">
        <v>49</v>
      </c>
      <c r="BB23" s="1" t="s">
        <v>557</v>
      </c>
      <c r="BD23" s="1" t="s">
        <v>555</v>
      </c>
      <c r="BG23" s="1" t="s">
        <v>558</v>
      </c>
      <c r="BH23" s="1">
        <v>24</v>
      </c>
      <c r="BI23" s="1" t="s">
        <v>79</v>
      </c>
      <c r="BJ23" s="1" t="s">
        <v>71</v>
      </c>
      <c r="BK23" s="1">
        <v>6</v>
      </c>
      <c r="BM23" s="1" t="s">
        <v>232</v>
      </c>
      <c r="BN23" s="1" t="s">
        <v>216</v>
      </c>
      <c r="BP23" s="1">
        <v>50000000</v>
      </c>
      <c r="BS23" s="1" t="s">
        <v>69</v>
      </c>
      <c r="BT23" s="1" t="s">
        <v>560</v>
      </c>
      <c r="BV23" s="1" t="s">
        <v>555</v>
      </c>
      <c r="BY23" s="1" t="s">
        <v>558</v>
      </c>
      <c r="BZ23" s="1">
        <v>24</v>
      </c>
      <c r="CJ23" s="1">
        <v>5.6237700000000004</v>
      </c>
      <c r="CK23" s="1">
        <v>5.62127</v>
      </c>
      <c r="CL23" s="1">
        <v>5.6262699999999999</v>
      </c>
      <c r="CR23" s="1">
        <v>-185670.14246174699</v>
      </c>
      <c r="CS23" s="1">
        <v>-186903.9</v>
      </c>
      <c r="CT23" s="1">
        <v>-184436.38</v>
      </c>
      <c r="CU23" s="1">
        <v>-0.37130000000000002</v>
      </c>
      <c r="CZ23" s="1">
        <v>-185670.14</v>
      </c>
      <c r="DA23" s="1">
        <v>-185670.14</v>
      </c>
      <c r="DB23" s="1">
        <v>-85496.47</v>
      </c>
      <c r="DC23" s="1">
        <v>-100173.68</v>
      </c>
      <c r="DD23" s="2">
        <v>2548.2800000000002</v>
      </c>
      <c r="DF23" s="1">
        <v>80.33</v>
      </c>
      <c r="DL23" s="1">
        <v>52151209.659999996</v>
      </c>
      <c r="DM23" s="1">
        <v>50954302.719999999</v>
      </c>
      <c r="DN23" s="1">
        <v>1196906.94</v>
      </c>
      <c r="DP23" s="1" t="s">
        <v>1013</v>
      </c>
      <c r="DQ23" s="1" t="s">
        <v>216</v>
      </c>
      <c r="DR23" s="1" t="s">
        <v>1016</v>
      </c>
      <c r="DS23" s="1">
        <v>-52336879.799999997</v>
      </c>
      <c r="DT23" s="1">
        <v>-51039799.18</v>
      </c>
      <c r="DU23" s="1">
        <v>-1297080.6200000001</v>
      </c>
      <c r="DW23" s="1" t="s">
        <v>216</v>
      </c>
      <c r="DX23" s="1" t="s">
        <v>216</v>
      </c>
      <c r="DZ23" s="1">
        <v>-257325</v>
      </c>
      <c r="EA23" s="1">
        <v>-114015</v>
      </c>
      <c r="ED23" s="1" t="s">
        <v>50</v>
      </c>
      <c r="EE23" s="1">
        <v>70618160</v>
      </c>
      <c r="EF23" s="1" t="s">
        <v>53</v>
      </c>
      <c r="EG23" s="1" t="s">
        <v>234</v>
      </c>
      <c r="EH23" s="1" t="s">
        <v>51</v>
      </c>
      <c r="EI23" s="1" t="s">
        <v>233</v>
      </c>
      <c r="EJ23" s="1" t="s">
        <v>55</v>
      </c>
      <c r="EK23" s="1" t="s">
        <v>229</v>
      </c>
      <c r="EL23" s="1" t="s">
        <v>57</v>
      </c>
      <c r="EM23" s="1" t="s">
        <v>235</v>
      </c>
    </row>
    <row r="24" spans="1:143" x14ac:dyDescent="0.2">
      <c r="A24" s="101">
        <v>605401889</v>
      </c>
      <c r="B24" s="101">
        <v>600848771</v>
      </c>
      <c r="C24" s="1">
        <v>70618161</v>
      </c>
      <c r="D24" s="1" t="s">
        <v>228</v>
      </c>
      <c r="E24" s="1" t="s">
        <v>44</v>
      </c>
      <c r="F24" s="1" t="s">
        <v>173</v>
      </c>
      <c r="AC24" s="1" t="s">
        <v>69</v>
      </c>
      <c r="AE24" s="1" t="s">
        <v>564</v>
      </c>
      <c r="AI24" s="1" t="s">
        <v>551</v>
      </c>
      <c r="AJ24" s="1" t="s">
        <v>44</v>
      </c>
      <c r="AK24" s="1" t="s">
        <v>569</v>
      </c>
      <c r="AL24" s="1" t="s">
        <v>572</v>
      </c>
      <c r="AR24" s="1" t="s">
        <v>174</v>
      </c>
      <c r="AS24" s="1" t="s">
        <v>67</v>
      </c>
      <c r="AT24" s="1" t="s">
        <v>430</v>
      </c>
      <c r="AU24" s="1">
        <v>312.5</v>
      </c>
      <c r="AV24" s="1" t="s">
        <v>236</v>
      </c>
      <c r="AW24" s="1" t="s">
        <v>182</v>
      </c>
      <c r="AX24" s="1">
        <v>50000000</v>
      </c>
      <c r="AY24" s="1" t="s">
        <v>570</v>
      </c>
      <c r="AZ24" s="1" t="s">
        <v>49</v>
      </c>
      <c r="BA24" s="1" t="s">
        <v>49</v>
      </c>
      <c r="BB24" s="1" t="s">
        <v>557</v>
      </c>
      <c r="BD24" s="1" t="s">
        <v>555</v>
      </c>
      <c r="BG24" s="1" t="s">
        <v>558</v>
      </c>
      <c r="BH24" s="1">
        <v>25</v>
      </c>
      <c r="BI24" s="1" t="s">
        <v>79</v>
      </c>
      <c r="BJ24" s="1" t="s">
        <v>71</v>
      </c>
      <c r="BK24" s="1">
        <v>6</v>
      </c>
      <c r="BM24" s="1" t="s">
        <v>236</v>
      </c>
      <c r="BN24" s="1" t="s">
        <v>182</v>
      </c>
      <c r="BP24" s="1">
        <v>50000000</v>
      </c>
      <c r="BS24" s="1" t="s">
        <v>69</v>
      </c>
      <c r="BT24" s="1" t="s">
        <v>560</v>
      </c>
      <c r="BV24" s="1" t="s">
        <v>555</v>
      </c>
      <c r="BY24" s="1" t="s">
        <v>558</v>
      </c>
      <c r="BZ24" s="1">
        <v>25</v>
      </c>
      <c r="CJ24" s="1">
        <v>5.7096099999999996</v>
      </c>
      <c r="CK24" s="1">
        <v>5.7071100000000001</v>
      </c>
      <c r="CL24" s="1">
        <v>5.71211</v>
      </c>
      <c r="CR24" s="1">
        <v>-143287.593806513</v>
      </c>
      <c r="CS24" s="1">
        <v>-144521.16</v>
      </c>
      <c r="CT24" s="1">
        <v>-142054.03</v>
      </c>
      <c r="CU24" s="1">
        <v>-0.28660000000000002</v>
      </c>
      <c r="CZ24" s="1">
        <v>-143287.59</v>
      </c>
      <c r="DA24" s="1">
        <v>-143287.59</v>
      </c>
      <c r="DB24" s="1">
        <v>-60587.03</v>
      </c>
      <c r="DC24" s="1">
        <v>-82700.570000000007</v>
      </c>
      <c r="DD24" s="2">
        <v>2547.29</v>
      </c>
      <c r="DF24" s="1">
        <v>84.05</v>
      </c>
      <c r="DL24" s="1">
        <v>52184989.649999999</v>
      </c>
      <c r="DM24" s="1">
        <v>50978806.32</v>
      </c>
      <c r="DN24" s="1">
        <v>1206183.33</v>
      </c>
      <c r="DP24" s="1" t="s">
        <v>739</v>
      </c>
      <c r="DQ24" s="1" t="s">
        <v>608</v>
      </c>
      <c r="DR24" s="1" t="s">
        <v>1103</v>
      </c>
      <c r="DS24" s="1">
        <v>-52328277.25</v>
      </c>
      <c r="DT24" s="1">
        <v>-51039393.350000001</v>
      </c>
      <c r="DU24" s="1">
        <v>-1288883.8999999999</v>
      </c>
      <c r="DW24" s="1" t="s">
        <v>608</v>
      </c>
      <c r="DX24" s="1" t="s">
        <v>608</v>
      </c>
      <c r="DZ24" s="1">
        <v>-216008</v>
      </c>
      <c r="EA24" s="1">
        <v>-70567</v>
      </c>
      <c r="ED24" s="1" t="s">
        <v>50</v>
      </c>
      <c r="EE24" s="1">
        <v>70618161</v>
      </c>
      <c r="EF24" s="1" t="s">
        <v>53</v>
      </c>
      <c r="EG24" s="1" t="s">
        <v>238</v>
      </c>
      <c r="EH24" s="1" t="s">
        <v>51</v>
      </c>
      <c r="EI24" s="1" t="s">
        <v>237</v>
      </c>
      <c r="EJ24" s="1" t="s">
        <v>55</v>
      </c>
      <c r="EK24" s="1" t="s">
        <v>229</v>
      </c>
      <c r="EL24" s="1" t="s">
        <v>57</v>
      </c>
      <c r="EM24" s="1" t="s">
        <v>239</v>
      </c>
    </row>
    <row r="25" spans="1:143" x14ac:dyDescent="0.2">
      <c r="A25" s="101">
        <v>800196305</v>
      </c>
      <c r="B25" s="101">
        <v>800042064</v>
      </c>
      <c r="D25" s="1" t="s">
        <v>63</v>
      </c>
      <c r="E25" s="1" t="s">
        <v>64</v>
      </c>
      <c r="F25" s="1" t="s">
        <v>561</v>
      </c>
      <c r="AI25" s="1" t="s">
        <v>551</v>
      </c>
      <c r="AJ25" s="1" t="s">
        <v>64</v>
      </c>
      <c r="AK25" s="1" t="s">
        <v>581</v>
      </c>
      <c r="AL25" s="1" t="s">
        <v>65</v>
      </c>
      <c r="AR25" s="1" t="s">
        <v>66</v>
      </c>
      <c r="AS25" s="1" t="s">
        <v>67</v>
      </c>
      <c r="AT25" s="1">
        <v>3.4474999999999998</v>
      </c>
      <c r="AV25" s="1" t="s">
        <v>65</v>
      </c>
      <c r="AW25" s="1" t="s">
        <v>68</v>
      </c>
      <c r="AX25" s="1">
        <v>200000</v>
      </c>
      <c r="BA25" s="1" t="s">
        <v>69</v>
      </c>
      <c r="BB25" s="1" t="s">
        <v>557</v>
      </c>
      <c r="BD25" s="1" t="s">
        <v>555</v>
      </c>
      <c r="BG25" s="1" t="s">
        <v>558</v>
      </c>
      <c r="BH25" s="1">
        <v>15</v>
      </c>
      <c r="BI25" s="1" t="s">
        <v>70</v>
      </c>
      <c r="BJ25" s="1" t="s">
        <v>71</v>
      </c>
      <c r="BK25" s="1" t="s">
        <v>72</v>
      </c>
      <c r="BM25" s="1" t="s">
        <v>65</v>
      </c>
      <c r="BN25" s="1" t="s">
        <v>68</v>
      </c>
      <c r="BP25" s="1">
        <v>200000</v>
      </c>
      <c r="BT25" s="1" t="s">
        <v>566</v>
      </c>
      <c r="BV25" s="1" t="s">
        <v>555</v>
      </c>
      <c r="BY25" s="1" t="s">
        <v>558</v>
      </c>
      <c r="BZ25" s="1">
        <v>15</v>
      </c>
      <c r="CJ25" s="1">
        <v>3.6728399999999999</v>
      </c>
      <c r="CK25" s="1">
        <v>3.6703399999999999</v>
      </c>
      <c r="CL25" s="1">
        <v>3.6753399999999998</v>
      </c>
      <c r="CR25" s="1">
        <v>-14346.816249821</v>
      </c>
      <c r="CU25" s="1">
        <v>-7.1734</v>
      </c>
      <c r="CZ25" s="1">
        <v>-14346.82</v>
      </c>
      <c r="DA25" s="1">
        <v>-14346.82</v>
      </c>
      <c r="DB25" s="1">
        <v>15570.26</v>
      </c>
      <c r="DC25" s="1">
        <v>-29917.08</v>
      </c>
      <c r="DD25" s="2">
        <v>30.26</v>
      </c>
      <c r="DG25" s="1">
        <v>26.56</v>
      </c>
      <c r="DL25" s="1">
        <v>212722.05</v>
      </c>
      <c r="DM25" s="1">
        <v>146345.63</v>
      </c>
      <c r="DN25" s="1">
        <v>66376.42</v>
      </c>
      <c r="DO25" s="1">
        <v>3.4474999999999998</v>
      </c>
      <c r="DP25" s="1" t="s">
        <v>68</v>
      </c>
      <c r="DQ25" s="1" t="s">
        <v>68</v>
      </c>
      <c r="DS25" s="1">
        <v>-227068.86</v>
      </c>
      <c r="DT25" s="1">
        <v>-130775.37</v>
      </c>
      <c r="DU25" s="1">
        <v>-96293.49</v>
      </c>
      <c r="DV25" s="1">
        <v>3.6704400000000001</v>
      </c>
      <c r="DW25" s="1" t="s">
        <v>68</v>
      </c>
      <c r="DX25" s="1" t="s">
        <v>68</v>
      </c>
      <c r="DZ25" s="1">
        <v>-14903</v>
      </c>
      <c r="EA25" s="1">
        <v>-13791</v>
      </c>
      <c r="ED25" s="1" t="s">
        <v>50</v>
      </c>
      <c r="EE25" s="1">
        <v>70827058</v>
      </c>
      <c r="EF25" s="1" t="s">
        <v>53</v>
      </c>
      <c r="EH25" s="1" t="s">
        <v>51</v>
      </c>
      <c r="EJ25" s="1" t="s">
        <v>55</v>
      </c>
      <c r="EL25" s="1" t="s">
        <v>57</v>
      </c>
    </row>
    <row r="26" spans="1:143" x14ac:dyDescent="0.2">
      <c r="A26" s="101">
        <v>800250090</v>
      </c>
      <c r="B26" s="101">
        <v>800050549</v>
      </c>
      <c r="D26" s="1" t="s">
        <v>63</v>
      </c>
      <c r="E26" s="1" t="s">
        <v>64</v>
      </c>
      <c r="F26" s="1" t="s">
        <v>561</v>
      </c>
      <c r="AI26" s="1" t="s">
        <v>551</v>
      </c>
      <c r="AJ26" s="1" t="s">
        <v>64</v>
      </c>
      <c r="AK26" s="1" t="s">
        <v>581</v>
      </c>
      <c r="AL26" s="1" t="s">
        <v>582</v>
      </c>
      <c r="AR26" s="1" t="s">
        <v>66</v>
      </c>
      <c r="AS26" s="1" t="s">
        <v>67</v>
      </c>
      <c r="AT26" s="1">
        <v>3.57</v>
      </c>
      <c r="AV26" s="1" t="s">
        <v>73</v>
      </c>
      <c r="AW26" s="1" t="s">
        <v>74</v>
      </c>
      <c r="AX26" s="1">
        <v>100000</v>
      </c>
      <c r="BA26" s="1" t="s">
        <v>69</v>
      </c>
      <c r="BB26" s="1" t="s">
        <v>560</v>
      </c>
      <c r="BD26" s="1" t="s">
        <v>555</v>
      </c>
      <c r="BG26" s="1" t="s">
        <v>558</v>
      </c>
      <c r="BH26" s="1">
        <v>15</v>
      </c>
      <c r="BI26" s="1" t="s">
        <v>70</v>
      </c>
      <c r="BJ26" s="1" t="s">
        <v>71</v>
      </c>
      <c r="BK26" s="1" t="s">
        <v>72</v>
      </c>
      <c r="BM26" s="1" t="s">
        <v>73</v>
      </c>
      <c r="BN26" s="1" t="s">
        <v>74</v>
      </c>
      <c r="BP26" s="1">
        <v>100000</v>
      </c>
      <c r="BT26" s="1" t="s">
        <v>566</v>
      </c>
      <c r="BV26" s="1" t="s">
        <v>555</v>
      </c>
      <c r="BY26" s="1" t="s">
        <v>558</v>
      </c>
      <c r="BZ26" s="1">
        <v>15</v>
      </c>
      <c r="CJ26" s="1">
        <v>3.66493</v>
      </c>
      <c r="CK26" s="1">
        <v>3.6624300000000001</v>
      </c>
      <c r="CL26" s="1">
        <v>3.66743</v>
      </c>
      <c r="CR26" s="1">
        <v>-3059.6296897392999</v>
      </c>
      <c r="CU26" s="1">
        <v>-3.0596000000000001</v>
      </c>
      <c r="CZ26" s="1">
        <v>-3059.63</v>
      </c>
      <c r="DA26" s="1">
        <v>-3059.63</v>
      </c>
      <c r="DB26" s="1">
        <v>10672.32</v>
      </c>
      <c r="DC26" s="1">
        <v>-13731.95</v>
      </c>
      <c r="DD26" s="2">
        <v>6.48</v>
      </c>
      <c r="DG26" s="1">
        <v>13.7</v>
      </c>
      <c r="DL26" s="1">
        <v>109798.91</v>
      </c>
      <c r="DM26" s="1">
        <v>75663.73</v>
      </c>
      <c r="DN26" s="1">
        <v>34135.17</v>
      </c>
      <c r="DO26" s="1">
        <v>3.57</v>
      </c>
      <c r="DP26" s="1" t="s">
        <v>74</v>
      </c>
      <c r="DQ26" s="1" t="s">
        <v>74</v>
      </c>
      <c r="DS26" s="1">
        <v>-112858.53</v>
      </c>
      <c r="DT26" s="1">
        <v>-64991.42</v>
      </c>
      <c r="DU26" s="1">
        <v>-47867.12</v>
      </c>
      <c r="DV26" s="1">
        <v>3.6625000000000001</v>
      </c>
      <c r="DW26" s="1" t="s">
        <v>74</v>
      </c>
      <c r="DX26" s="1" t="s">
        <v>74</v>
      </c>
      <c r="DZ26" s="1">
        <v>-3178</v>
      </c>
      <c r="EA26" s="1">
        <v>-2941</v>
      </c>
      <c r="ED26" s="1" t="s">
        <v>50</v>
      </c>
      <c r="EE26" s="1">
        <v>70849434</v>
      </c>
      <c r="EF26" s="1" t="s">
        <v>53</v>
      </c>
      <c r="EH26" s="1" t="s">
        <v>51</v>
      </c>
      <c r="EJ26" s="1" t="s">
        <v>55</v>
      </c>
      <c r="EL26" s="1" t="s">
        <v>57</v>
      </c>
    </row>
    <row r="27" spans="1:143" x14ac:dyDescent="0.2">
      <c r="A27" s="101">
        <v>801279973</v>
      </c>
      <c r="B27" s="101">
        <v>800385940</v>
      </c>
      <c r="D27" s="1" t="s">
        <v>80</v>
      </c>
      <c r="E27" s="1" t="s">
        <v>46</v>
      </c>
      <c r="F27" s="1" t="s">
        <v>81</v>
      </c>
      <c r="AI27" s="1" t="s">
        <v>551</v>
      </c>
      <c r="AJ27" s="1" t="s">
        <v>46</v>
      </c>
      <c r="AK27" s="1" t="s">
        <v>575</v>
      </c>
      <c r="AL27" s="1" t="s">
        <v>579</v>
      </c>
      <c r="AR27" s="1" t="s">
        <v>79</v>
      </c>
      <c r="AS27" s="1" t="s">
        <v>67</v>
      </c>
      <c r="AT27" s="1">
        <v>2.286</v>
      </c>
      <c r="AV27" s="1" t="s">
        <v>87</v>
      </c>
      <c r="AW27" s="1" t="s">
        <v>88</v>
      </c>
      <c r="AX27" s="1">
        <v>3050000</v>
      </c>
      <c r="BA27" s="1" t="s">
        <v>49</v>
      </c>
      <c r="BB27" s="1" t="s">
        <v>557</v>
      </c>
      <c r="BD27" s="1" t="s">
        <v>555</v>
      </c>
      <c r="BG27" s="1" t="s">
        <v>558</v>
      </c>
      <c r="BH27" s="1">
        <v>6</v>
      </c>
      <c r="BI27" s="1" t="s">
        <v>84</v>
      </c>
      <c r="BJ27" s="1" t="s">
        <v>71</v>
      </c>
      <c r="BK27" s="1" t="s">
        <v>85</v>
      </c>
      <c r="BL27" s="1">
        <v>0</v>
      </c>
      <c r="BM27" s="1" t="s">
        <v>87</v>
      </c>
      <c r="BN27" s="1" t="s">
        <v>88</v>
      </c>
      <c r="BP27" s="1">
        <v>3050000</v>
      </c>
      <c r="BQ27" s="1" t="s">
        <v>570</v>
      </c>
      <c r="BR27" s="1" t="s">
        <v>86</v>
      </c>
      <c r="BS27" s="1" t="s">
        <v>86</v>
      </c>
      <c r="BT27" s="1" t="s">
        <v>574</v>
      </c>
      <c r="BU27" s="1" t="s">
        <v>456</v>
      </c>
      <c r="BV27" s="1" t="s">
        <v>555</v>
      </c>
      <c r="BY27" s="1" t="s">
        <v>558</v>
      </c>
      <c r="BZ27" s="1">
        <v>6</v>
      </c>
      <c r="CJ27" s="1">
        <v>4.0579700000000001</v>
      </c>
      <c r="CK27" s="1">
        <v>4.0554699999999997</v>
      </c>
      <c r="CL27" s="1">
        <v>4.0604699999999996</v>
      </c>
      <c r="CR27" s="1">
        <v>-108311.49144678201</v>
      </c>
      <c r="CS27" s="1">
        <v>-108458.15</v>
      </c>
      <c r="CT27" s="1">
        <v>-108164.83</v>
      </c>
      <c r="CU27" s="1">
        <v>-3.5512000000000001</v>
      </c>
      <c r="CZ27" s="1">
        <v>-108311.49</v>
      </c>
      <c r="DA27" s="1">
        <v>-108311.49</v>
      </c>
      <c r="DB27" s="1">
        <v>-91949.7</v>
      </c>
      <c r="DC27" s="1">
        <v>-16361.79</v>
      </c>
      <c r="DD27" s="2">
        <v>-501.82</v>
      </c>
      <c r="DG27" s="1">
        <v>-98.97</v>
      </c>
      <c r="DL27" s="1">
        <v>2989959.82</v>
      </c>
      <c r="DM27" s="1">
        <v>2973497.45</v>
      </c>
      <c r="DN27" s="1">
        <v>16462.38</v>
      </c>
      <c r="DO27" s="1">
        <v>2.286</v>
      </c>
      <c r="DP27" s="1" t="s">
        <v>795</v>
      </c>
      <c r="DQ27" s="1" t="s">
        <v>961</v>
      </c>
      <c r="DS27" s="1">
        <v>-3098271.31</v>
      </c>
      <c r="DT27" s="1">
        <v>-3065447.14</v>
      </c>
      <c r="DU27" s="1">
        <v>-32824.17</v>
      </c>
      <c r="DV27" s="1">
        <v>4.6132099999999996</v>
      </c>
      <c r="DW27" s="1" t="s">
        <v>1292</v>
      </c>
      <c r="DX27" s="1" t="s">
        <v>795</v>
      </c>
      <c r="DY27" s="1" t="s">
        <v>1416</v>
      </c>
      <c r="DZ27" s="1">
        <v>-98130</v>
      </c>
      <c r="EA27" s="1">
        <v>-118493</v>
      </c>
      <c r="ED27" s="1" t="s">
        <v>50</v>
      </c>
      <c r="EE27" s="1">
        <v>70938949</v>
      </c>
      <c r="EF27" s="1" t="s">
        <v>53</v>
      </c>
      <c r="EH27" s="1" t="s">
        <v>51</v>
      </c>
      <c r="EJ27" s="1" t="s">
        <v>55</v>
      </c>
      <c r="EL27" s="1" t="s">
        <v>57</v>
      </c>
    </row>
    <row r="28" spans="1:143" x14ac:dyDescent="0.2">
      <c r="A28" s="101">
        <v>802507978</v>
      </c>
      <c r="B28" s="101">
        <v>800683989</v>
      </c>
      <c r="D28" s="1" t="s">
        <v>89</v>
      </c>
      <c r="E28" s="1" t="s">
        <v>46</v>
      </c>
      <c r="F28" s="1" t="s">
        <v>81</v>
      </c>
      <c r="AI28" s="1" t="s">
        <v>551</v>
      </c>
      <c r="AJ28" s="1" t="s">
        <v>46</v>
      </c>
      <c r="AK28" s="1" t="s">
        <v>575</v>
      </c>
      <c r="AL28" s="1" t="s">
        <v>578</v>
      </c>
      <c r="AR28" s="1" t="s">
        <v>84</v>
      </c>
      <c r="AS28" s="1" t="s">
        <v>71</v>
      </c>
      <c r="AT28" s="1" t="s">
        <v>85</v>
      </c>
      <c r="AU28" s="1">
        <v>0</v>
      </c>
      <c r="AV28" s="1" t="s">
        <v>90</v>
      </c>
      <c r="AW28" s="1" t="s">
        <v>91</v>
      </c>
      <c r="AX28" s="1">
        <v>1650000</v>
      </c>
      <c r="AY28" s="1" t="s">
        <v>570</v>
      </c>
      <c r="AZ28" s="1" t="s">
        <v>86</v>
      </c>
      <c r="BA28" s="1" t="s">
        <v>86</v>
      </c>
      <c r="BB28" s="1" t="s">
        <v>574</v>
      </c>
      <c r="BC28" s="1" t="s">
        <v>456</v>
      </c>
      <c r="BD28" s="1" t="s">
        <v>555</v>
      </c>
      <c r="BG28" s="1" t="s">
        <v>558</v>
      </c>
      <c r="BH28" s="1">
        <v>26</v>
      </c>
      <c r="BI28" s="1" t="s">
        <v>79</v>
      </c>
      <c r="BJ28" s="1" t="s">
        <v>67</v>
      </c>
      <c r="BK28" s="1">
        <v>2.3050000000000002</v>
      </c>
      <c r="BM28" s="1" t="s">
        <v>90</v>
      </c>
      <c r="BN28" s="1" t="s">
        <v>91</v>
      </c>
      <c r="BP28" s="1">
        <v>1650000</v>
      </c>
      <c r="BS28" s="1" t="s">
        <v>49</v>
      </c>
      <c r="BT28" s="1" t="s">
        <v>557</v>
      </c>
      <c r="BV28" s="1" t="s">
        <v>555</v>
      </c>
      <c r="BY28" s="1" t="s">
        <v>558</v>
      </c>
      <c r="BZ28" s="1">
        <v>26</v>
      </c>
      <c r="CJ28" s="1">
        <v>4.0388299999999999</v>
      </c>
      <c r="CK28" s="1">
        <v>4.0363300000000004</v>
      </c>
      <c r="CL28" s="1">
        <v>4.0413300000000003</v>
      </c>
      <c r="CR28" s="1">
        <v>-55525.800872693799</v>
      </c>
      <c r="CS28" s="1">
        <v>-55604.74</v>
      </c>
      <c r="CT28" s="1">
        <v>-55446.86</v>
      </c>
      <c r="CU28" s="1">
        <v>-3.3652000000000002</v>
      </c>
      <c r="CZ28" s="1">
        <v>-55525.8</v>
      </c>
      <c r="DA28" s="1">
        <v>-55525.8</v>
      </c>
      <c r="DB28" s="1">
        <v>-52262.8</v>
      </c>
      <c r="DC28" s="1">
        <v>-3263</v>
      </c>
      <c r="DD28" s="2">
        <v>-291.27999999999997</v>
      </c>
      <c r="DG28" s="1">
        <v>-50.37</v>
      </c>
      <c r="DL28" s="1">
        <v>-1665950.55</v>
      </c>
      <c r="DM28" s="1">
        <v>-1658989.95</v>
      </c>
      <c r="DN28" s="1">
        <v>-6960.6</v>
      </c>
      <c r="DO28" s="1">
        <v>4.5999800000000004</v>
      </c>
      <c r="DP28" s="1" t="s">
        <v>1067</v>
      </c>
      <c r="DQ28" s="1" t="s">
        <v>1141</v>
      </c>
      <c r="DR28" s="1" t="s">
        <v>1079</v>
      </c>
      <c r="DS28" s="1">
        <v>1610424.75</v>
      </c>
      <c r="DT28" s="1">
        <v>1606727.14</v>
      </c>
      <c r="DU28" s="1">
        <v>3697.6</v>
      </c>
      <c r="DV28" s="1">
        <v>2.3050000000000002</v>
      </c>
      <c r="DW28" s="1" t="s">
        <v>1141</v>
      </c>
      <c r="DX28" s="1" t="s">
        <v>1417</v>
      </c>
      <c r="DZ28" s="1">
        <v>-49644</v>
      </c>
      <c r="EA28" s="1">
        <v>-61408</v>
      </c>
      <c r="ED28" s="1" t="s">
        <v>50</v>
      </c>
      <c r="EE28" s="1">
        <v>71009816</v>
      </c>
      <c r="EF28" s="1" t="s">
        <v>53</v>
      </c>
      <c r="EH28" s="1" t="s">
        <v>51</v>
      </c>
      <c r="EJ28" s="1" t="s">
        <v>55</v>
      </c>
      <c r="EL28" s="1" t="s">
        <v>57</v>
      </c>
    </row>
    <row r="29" spans="1:143" x14ac:dyDescent="0.2">
      <c r="A29" s="101">
        <v>801514580</v>
      </c>
      <c r="B29" s="101">
        <v>800436147</v>
      </c>
      <c r="D29" s="1" t="s">
        <v>80</v>
      </c>
      <c r="E29" s="1" t="s">
        <v>46</v>
      </c>
      <c r="F29" s="1" t="s">
        <v>81</v>
      </c>
      <c r="AI29" s="1" t="s">
        <v>551</v>
      </c>
      <c r="AJ29" s="1" t="s">
        <v>46</v>
      </c>
      <c r="AK29" s="1" t="s">
        <v>575</v>
      </c>
      <c r="AL29" s="1" t="s">
        <v>577</v>
      </c>
      <c r="AR29" s="1" t="s">
        <v>79</v>
      </c>
      <c r="AS29" s="1" t="s">
        <v>71</v>
      </c>
      <c r="AT29" s="1">
        <v>2.2679999999999998</v>
      </c>
      <c r="AV29" s="1" t="s">
        <v>82</v>
      </c>
      <c r="AW29" s="1" t="s">
        <v>83</v>
      </c>
      <c r="AX29" s="1">
        <v>16500000</v>
      </c>
      <c r="BA29" s="1" t="s">
        <v>49</v>
      </c>
      <c r="BB29" s="1" t="s">
        <v>557</v>
      </c>
      <c r="BD29" s="1" t="s">
        <v>555</v>
      </c>
      <c r="BG29" s="1" t="s">
        <v>558</v>
      </c>
      <c r="BH29" s="1">
        <v>13</v>
      </c>
      <c r="BI29" s="1" t="s">
        <v>84</v>
      </c>
      <c r="BJ29" s="1" t="s">
        <v>67</v>
      </c>
      <c r="BK29" s="1" t="s">
        <v>85</v>
      </c>
      <c r="BL29" s="1">
        <v>0</v>
      </c>
      <c r="BM29" s="1" t="s">
        <v>82</v>
      </c>
      <c r="BN29" s="1" t="s">
        <v>83</v>
      </c>
      <c r="BP29" s="1">
        <v>16500000</v>
      </c>
      <c r="BQ29" s="1" t="s">
        <v>570</v>
      </c>
      <c r="BR29" s="1" t="s">
        <v>86</v>
      </c>
      <c r="BS29" s="1" t="s">
        <v>86</v>
      </c>
      <c r="BT29" s="1" t="s">
        <v>574</v>
      </c>
      <c r="BU29" s="1" t="s">
        <v>456</v>
      </c>
      <c r="BV29" s="1" t="s">
        <v>555</v>
      </c>
      <c r="BY29" s="1" t="s">
        <v>558</v>
      </c>
      <c r="BZ29" s="1">
        <v>13</v>
      </c>
      <c r="CJ29" s="1">
        <v>4.0539500000000004</v>
      </c>
      <c r="CK29" s="1">
        <v>4.05145</v>
      </c>
      <c r="CL29" s="1">
        <v>4.0564499999999999</v>
      </c>
      <c r="CR29" s="1">
        <v>588203.81391384301</v>
      </c>
      <c r="CS29" s="1">
        <v>587410.94999999995</v>
      </c>
      <c r="CT29" s="1">
        <v>588996.67000000004</v>
      </c>
      <c r="CU29" s="1">
        <v>3.5649000000000002</v>
      </c>
      <c r="CZ29" s="1">
        <v>588203.81000000006</v>
      </c>
      <c r="DA29" s="1">
        <v>588203.81000000006</v>
      </c>
      <c r="DB29" s="1">
        <v>506515</v>
      </c>
      <c r="DC29" s="1">
        <v>81688.81</v>
      </c>
      <c r="DD29" s="2">
        <v>2742.81</v>
      </c>
      <c r="DG29" s="1">
        <v>536.05999999999995</v>
      </c>
      <c r="DL29" s="1">
        <v>-16158900.59</v>
      </c>
      <c r="DM29" s="1">
        <v>-16077819.59</v>
      </c>
      <c r="DN29" s="1">
        <v>-81081</v>
      </c>
      <c r="DO29" s="1">
        <v>2.2679999999999998</v>
      </c>
      <c r="DP29" s="1" t="s">
        <v>1142</v>
      </c>
      <c r="DQ29" s="1" t="s">
        <v>1418</v>
      </c>
      <c r="DS29" s="1">
        <v>16747104.4</v>
      </c>
      <c r="DT29" s="1">
        <v>16584334.59</v>
      </c>
      <c r="DU29" s="1">
        <v>162769.81</v>
      </c>
      <c r="DV29" s="1">
        <v>4.6136799999999996</v>
      </c>
      <c r="DW29" s="1" t="s">
        <v>1293</v>
      </c>
      <c r="DX29" s="1" t="s">
        <v>1142</v>
      </c>
      <c r="DY29" s="1" t="s">
        <v>1056</v>
      </c>
      <c r="DZ29" s="1">
        <v>532608</v>
      </c>
      <c r="EA29" s="1">
        <v>643800</v>
      </c>
      <c r="ED29" s="1" t="s">
        <v>50</v>
      </c>
      <c r="EE29" s="1">
        <v>70948096</v>
      </c>
      <c r="EF29" s="1" t="s">
        <v>53</v>
      </c>
      <c r="EH29" s="1" t="s">
        <v>51</v>
      </c>
      <c r="EJ29" s="1" t="s">
        <v>55</v>
      </c>
      <c r="EL29" s="1" t="s">
        <v>57</v>
      </c>
    </row>
    <row r="30" spans="1:143" x14ac:dyDescent="0.2">
      <c r="A30" s="101">
        <v>801512662</v>
      </c>
      <c r="B30" s="101">
        <v>800436140</v>
      </c>
      <c r="D30" s="1" t="s">
        <v>80</v>
      </c>
      <c r="E30" s="1" t="s">
        <v>46</v>
      </c>
      <c r="F30" s="1" t="s">
        <v>81</v>
      </c>
      <c r="AI30" s="1" t="s">
        <v>551</v>
      </c>
      <c r="AJ30" s="1" t="s">
        <v>46</v>
      </c>
      <c r="AK30" s="1" t="s">
        <v>575</v>
      </c>
      <c r="AL30" s="1" t="s">
        <v>577</v>
      </c>
      <c r="AR30" s="1" t="s">
        <v>79</v>
      </c>
      <c r="AS30" s="1" t="s">
        <v>71</v>
      </c>
      <c r="AT30" s="1">
        <v>2.2679999999999998</v>
      </c>
      <c r="AV30" s="1" t="s">
        <v>82</v>
      </c>
      <c r="AW30" s="1" t="s">
        <v>83</v>
      </c>
      <c r="AX30" s="1">
        <v>5500000</v>
      </c>
      <c r="BA30" s="1" t="s">
        <v>49</v>
      </c>
      <c r="BB30" s="1" t="s">
        <v>557</v>
      </c>
      <c r="BD30" s="1" t="s">
        <v>555</v>
      </c>
      <c r="BG30" s="1" t="s">
        <v>558</v>
      </c>
      <c r="BH30" s="1">
        <v>13</v>
      </c>
      <c r="BI30" s="1" t="s">
        <v>84</v>
      </c>
      <c r="BJ30" s="1" t="s">
        <v>67</v>
      </c>
      <c r="BK30" s="1" t="s">
        <v>85</v>
      </c>
      <c r="BL30" s="1">
        <v>0</v>
      </c>
      <c r="BM30" s="1" t="s">
        <v>82</v>
      </c>
      <c r="BN30" s="1" t="s">
        <v>83</v>
      </c>
      <c r="BP30" s="1">
        <v>5500000</v>
      </c>
      <c r="BQ30" s="1" t="s">
        <v>570</v>
      </c>
      <c r="BR30" s="1" t="s">
        <v>86</v>
      </c>
      <c r="BS30" s="1" t="s">
        <v>86</v>
      </c>
      <c r="BT30" s="1" t="s">
        <v>574</v>
      </c>
      <c r="BU30" s="1" t="s">
        <v>456</v>
      </c>
      <c r="BV30" s="1" t="s">
        <v>555</v>
      </c>
      <c r="BY30" s="1" t="s">
        <v>558</v>
      </c>
      <c r="BZ30" s="1">
        <v>13</v>
      </c>
      <c r="CJ30" s="1">
        <v>4.0539500000000004</v>
      </c>
      <c r="CK30" s="1">
        <v>4.05145</v>
      </c>
      <c r="CL30" s="1">
        <v>4.0564499999999999</v>
      </c>
      <c r="CR30" s="1">
        <v>196067.937971281</v>
      </c>
      <c r="CS30" s="1">
        <v>195803.65</v>
      </c>
      <c r="CT30" s="1">
        <v>196332.22</v>
      </c>
      <c r="CU30" s="1">
        <v>3.5649000000000002</v>
      </c>
      <c r="CZ30" s="1">
        <v>196067.94</v>
      </c>
      <c r="DA30" s="1">
        <v>196067.94</v>
      </c>
      <c r="DB30" s="1">
        <v>168838.33</v>
      </c>
      <c r="DC30" s="1">
        <v>27229.599999999999</v>
      </c>
      <c r="DD30" s="2">
        <v>914.27</v>
      </c>
      <c r="DG30" s="1">
        <v>178.69</v>
      </c>
      <c r="DL30" s="1">
        <v>-5386300.2000000002</v>
      </c>
      <c r="DM30" s="1">
        <v>-5359273.2</v>
      </c>
      <c r="DN30" s="1">
        <v>-27027</v>
      </c>
      <c r="DO30" s="1">
        <v>2.2679999999999998</v>
      </c>
      <c r="DP30" s="1" t="s">
        <v>1142</v>
      </c>
      <c r="DQ30" s="1" t="s">
        <v>1418</v>
      </c>
      <c r="DS30" s="1">
        <v>5582368.1299999999</v>
      </c>
      <c r="DT30" s="1">
        <v>5528111.5300000003</v>
      </c>
      <c r="DU30" s="1">
        <v>54256.6</v>
      </c>
      <c r="DV30" s="1">
        <v>4.6136799999999996</v>
      </c>
      <c r="DW30" s="1" t="s">
        <v>1293</v>
      </c>
      <c r="DX30" s="1" t="s">
        <v>1142</v>
      </c>
      <c r="DY30" s="1" t="s">
        <v>1056</v>
      </c>
      <c r="DZ30" s="1">
        <v>177536</v>
      </c>
      <c r="EA30" s="1">
        <v>214600</v>
      </c>
      <c r="ED30" s="1" t="s">
        <v>50</v>
      </c>
      <c r="EE30" s="1">
        <v>70948186</v>
      </c>
      <c r="EF30" s="1" t="s">
        <v>53</v>
      </c>
      <c r="EH30" s="1" t="s">
        <v>51</v>
      </c>
      <c r="EJ30" s="1" t="s">
        <v>55</v>
      </c>
      <c r="EL30" s="1" t="s">
        <v>57</v>
      </c>
    </row>
    <row r="31" spans="1:143" x14ac:dyDescent="0.2">
      <c r="A31" s="101">
        <v>805034584</v>
      </c>
      <c r="B31" s="101">
        <v>801426412</v>
      </c>
      <c r="D31" s="1" t="s">
        <v>80</v>
      </c>
      <c r="E31" s="1" t="s">
        <v>44</v>
      </c>
      <c r="F31" s="1" t="s">
        <v>81</v>
      </c>
      <c r="AI31" s="1" t="s">
        <v>551</v>
      </c>
      <c r="AJ31" s="1" t="s">
        <v>44</v>
      </c>
      <c r="AK31" s="1" t="s">
        <v>575</v>
      </c>
      <c r="AL31" s="1" t="s">
        <v>576</v>
      </c>
      <c r="AR31" s="1" t="s">
        <v>84</v>
      </c>
      <c r="AS31" s="1" t="s">
        <v>71</v>
      </c>
      <c r="AT31" s="1" t="s">
        <v>47</v>
      </c>
      <c r="AU31" s="1">
        <v>0</v>
      </c>
      <c r="AV31" s="1" t="s">
        <v>246</v>
      </c>
      <c r="AW31" s="1" t="s">
        <v>247</v>
      </c>
      <c r="AX31" s="1">
        <v>3000000</v>
      </c>
      <c r="AY31" s="1" t="s">
        <v>570</v>
      </c>
      <c r="AZ31" s="1" t="s">
        <v>49</v>
      </c>
      <c r="BA31" s="1" t="s">
        <v>49</v>
      </c>
      <c r="BB31" s="1" t="s">
        <v>574</v>
      </c>
      <c r="BC31" s="1" t="s">
        <v>456</v>
      </c>
      <c r="BD31" s="1" t="s">
        <v>555</v>
      </c>
      <c r="BG31" s="1" t="s">
        <v>558</v>
      </c>
      <c r="BH31" s="1">
        <v>14</v>
      </c>
      <c r="BI31" s="1" t="s">
        <v>79</v>
      </c>
      <c r="BJ31" s="1" t="s">
        <v>67</v>
      </c>
      <c r="BK31" s="1">
        <v>1.456</v>
      </c>
      <c r="BM31" s="1" t="s">
        <v>246</v>
      </c>
      <c r="BN31" s="1" t="s">
        <v>247</v>
      </c>
      <c r="BP31" s="1">
        <v>3000000</v>
      </c>
      <c r="BS31" s="1" t="s">
        <v>69</v>
      </c>
      <c r="BT31" s="1" t="s">
        <v>557</v>
      </c>
      <c r="BV31" s="1" t="s">
        <v>555</v>
      </c>
      <c r="BY31" s="1" t="s">
        <v>558</v>
      </c>
      <c r="BZ31" s="1">
        <v>14</v>
      </c>
      <c r="CJ31" s="1">
        <v>2.7313000000000001</v>
      </c>
      <c r="CK31" s="1">
        <v>2.7288000000000001</v>
      </c>
      <c r="CL31" s="1">
        <v>2.7338</v>
      </c>
      <c r="CR31" s="1">
        <v>-623469.50530267495</v>
      </c>
      <c r="CS31" s="1">
        <v>-624769.54</v>
      </c>
      <c r="CT31" s="1">
        <v>-622169.47</v>
      </c>
      <c r="CU31" s="1">
        <v>-20.782299999999999</v>
      </c>
      <c r="CZ31" s="1">
        <v>-623469.51</v>
      </c>
      <c r="DA31" s="1">
        <v>-623469.51</v>
      </c>
      <c r="DB31" s="1">
        <v>-635052.17000000004</v>
      </c>
      <c r="DC31" s="1">
        <v>11582.67</v>
      </c>
      <c r="DD31" s="2">
        <v>-4243.51</v>
      </c>
      <c r="DG31" s="1">
        <v>-35.93</v>
      </c>
      <c r="DL31" s="1">
        <v>-3009907.02</v>
      </c>
      <c r="DM31" s="1">
        <v>-2986667.02</v>
      </c>
      <c r="DN31" s="1">
        <v>-23240</v>
      </c>
      <c r="DO31" s="1">
        <v>2.6560000000000001</v>
      </c>
      <c r="DP31" s="1" t="s">
        <v>740</v>
      </c>
      <c r="DQ31" s="1" t="s">
        <v>1294</v>
      </c>
      <c r="DR31" s="1" t="s">
        <v>1295</v>
      </c>
      <c r="DS31" s="1">
        <v>2386437.52</v>
      </c>
      <c r="DT31" s="1">
        <v>2351614.85</v>
      </c>
      <c r="DU31" s="1">
        <v>34822.67</v>
      </c>
      <c r="DV31" s="1">
        <v>1.456</v>
      </c>
      <c r="DW31" s="1" t="s">
        <v>740</v>
      </c>
      <c r="DX31" s="1" t="s">
        <v>1018</v>
      </c>
      <c r="DZ31" s="1">
        <v>-565518</v>
      </c>
      <c r="EA31" s="1">
        <v>-681421</v>
      </c>
      <c r="ED31" s="1" t="s">
        <v>50</v>
      </c>
      <c r="EE31" s="1">
        <v>71166947</v>
      </c>
      <c r="EF31" s="1" t="s">
        <v>53</v>
      </c>
      <c r="EH31" s="1" t="s">
        <v>51</v>
      </c>
      <c r="EJ31" s="1" t="s">
        <v>55</v>
      </c>
      <c r="EL31" s="1" t="s">
        <v>57</v>
      </c>
    </row>
    <row r="32" spans="1:143" x14ac:dyDescent="0.2">
      <c r="A32" s="101">
        <v>805034592</v>
      </c>
      <c r="B32" s="101">
        <v>801426418</v>
      </c>
      <c r="D32" s="1" t="s">
        <v>80</v>
      </c>
      <c r="E32" s="1" t="s">
        <v>44</v>
      </c>
      <c r="F32" s="1" t="s">
        <v>81</v>
      </c>
      <c r="AI32" s="1" t="s">
        <v>551</v>
      </c>
      <c r="AJ32" s="1" t="s">
        <v>44</v>
      </c>
      <c r="AK32" s="1" t="s">
        <v>575</v>
      </c>
      <c r="AL32" s="1" t="s">
        <v>576</v>
      </c>
      <c r="AR32" s="1" t="s">
        <v>84</v>
      </c>
      <c r="AS32" s="1" t="s">
        <v>67</v>
      </c>
      <c r="AT32" s="1" t="s">
        <v>47</v>
      </c>
      <c r="AU32" s="1">
        <v>0</v>
      </c>
      <c r="AV32" s="1" t="s">
        <v>246</v>
      </c>
      <c r="AW32" s="1" t="s">
        <v>248</v>
      </c>
      <c r="AX32" s="1">
        <v>36000000</v>
      </c>
      <c r="AY32" s="1" t="s">
        <v>570</v>
      </c>
      <c r="AZ32" s="1" t="s">
        <v>49</v>
      </c>
      <c r="BA32" s="1" t="s">
        <v>49</v>
      </c>
      <c r="BB32" s="1" t="s">
        <v>574</v>
      </c>
      <c r="BC32" s="1" t="s">
        <v>456</v>
      </c>
      <c r="BD32" s="1" t="s">
        <v>555</v>
      </c>
      <c r="BG32" s="1" t="s">
        <v>558</v>
      </c>
      <c r="BH32" s="1">
        <v>15</v>
      </c>
      <c r="BI32" s="1" t="s">
        <v>79</v>
      </c>
      <c r="BJ32" s="1" t="s">
        <v>71</v>
      </c>
      <c r="BK32" s="1">
        <v>0.76600000000000001</v>
      </c>
      <c r="BM32" s="1" t="s">
        <v>246</v>
      </c>
      <c r="BN32" s="1" t="s">
        <v>248</v>
      </c>
      <c r="BP32" s="1">
        <v>36000000</v>
      </c>
      <c r="BS32" s="1" t="s">
        <v>69</v>
      </c>
      <c r="BT32" s="1" t="s">
        <v>557</v>
      </c>
      <c r="BV32" s="1" t="s">
        <v>555</v>
      </c>
      <c r="BY32" s="1" t="s">
        <v>558</v>
      </c>
      <c r="BZ32" s="1">
        <v>15</v>
      </c>
      <c r="CJ32" s="1">
        <v>2.1982300000000001</v>
      </c>
      <c r="CK32" s="1">
        <v>2.1957300000000002</v>
      </c>
      <c r="CL32" s="1">
        <v>2.2007300000000001</v>
      </c>
      <c r="CR32" s="1">
        <v>1188500.8673356101</v>
      </c>
      <c r="CS32" s="1">
        <v>1185872.73</v>
      </c>
      <c r="CT32" s="1">
        <v>1191129</v>
      </c>
      <c r="CU32" s="1">
        <v>3.3014000000000001</v>
      </c>
      <c r="CZ32" s="1">
        <v>1188500.8700000001</v>
      </c>
      <c r="DA32" s="1">
        <v>1188500.8700000001</v>
      </c>
      <c r="DB32" s="1">
        <v>1127164.8700000001</v>
      </c>
      <c r="DC32" s="1">
        <v>61336</v>
      </c>
      <c r="DD32" s="2">
        <v>6743.06</v>
      </c>
      <c r="DG32" s="1">
        <v>119.69</v>
      </c>
      <c r="DL32" s="1">
        <v>36388891.840000004</v>
      </c>
      <c r="DM32" s="1">
        <v>36110011.840000004</v>
      </c>
      <c r="DN32" s="1">
        <v>278880</v>
      </c>
      <c r="DO32" s="1">
        <v>2.6560000000000001</v>
      </c>
      <c r="DP32" s="1" t="s">
        <v>740</v>
      </c>
      <c r="DQ32" s="1" t="s">
        <v>1294</v>
      </c>
      <c r="DR32" s="1" t="s">
        <v>1295</v>
      </c>
      <c r="DS32" s="1">
        <v>-35200390.969999999</v>
      </c>
      <c r="DT32" s="1">
        <v>-34982846.969999999</v>
      </c>
      <c r="DU32" s="1">
        <v>-217544</v>
      </c>
      <c r="DV32" s="1">
        <v>0.76600000000000001</v>
      </c>
      <c r="DW32" s="1" t="s">
        <v>740</v>
      </c>
      <c r="DX32" s="1" t="s">
        <v>1018</v>
      </c>
      <c r="DZ32" s="1">
        <v>1114387</v>
      </c>
      <c r="EA32" s="1">
        <v>1262615</v>
      </c>
      <c r="ED32" s="1" t="s">
        <v>50</v>
      </c>
      <c r="EE32" s="1">
        <v>71166948</v>
      </c>
      <c r="EF32" s="1" t="s">
        <v>53</v>
      </c>
      <c r="EH32" s="1" t="s">
        <v>51</v>
      </c>
      <c r="EJ32" s="1" t="s">
        <v>55</v>
      </c>
      <c r="EL32" s="1" t="s">
        <v>57</v>
      </c>
    </row>
    <row r="33" spans="1:142" x14ac:dyDescent="0.2">
      <c r="A33" s="101">
        <v>22501073001</v>
      </c>
      <c r="B33" s="101">
        <v>22501073</v>
      </c>
      <c r="D33" s="1" t="s">
        <v>63</v>
      </c>
      <c r="E33" s="1" t="s">
        <v>46</v>
      </c>
      <c r="F33" s="1" t="s">
        <v>81</v>
      </c>
      <c r="AI33" s="1" t="s">
        <v>551</v>
      </c>
      <c r="AJ33" s="1" t="s">
        <v>46</v>
      </c>
      <c r="AK33" s="1" t="s">
        <v>575</v>
      </c>
      <c r="AL33" s="1" t="s">
        <v>427</v>
      </c>
      <c r="AR33" s="1" t="s">
        <v>79</v>
      </c>
      <c r="AS33" s="1" t="s">
        <v>71</v>
      </c>
      <c r="AT33" s="1">
        <v>1.4435</v>
      </c>
      <c r="AV33" s="1" t="s">
        <v>427</v>
      </c>
      <c r="AW33" s="1" t="s">
        <v>451</v>
      </c>
      <c r="AX33" s="1">
        <v>850000</v>
      </c>
      <c r="BA33" s="1" t="s">
        <v>49</v>
      </c>
      <c r="BB33" s="1" t="s">
        <v>557</v>
      </c>
      <c r="BD33" s="1" t="s">
        <v>555</v>
      </c>
      <c r="BG33" s="1" t="s">
        <v>558</v>
      </c>
      <c r="BH33" s="1">
        <v>0</v>
      </c>
      <c r="BI33" s="1" t="s">
        <v>84</v>
      </c>
      <c r="BJ33" s="1" t="s">
        <v>67</v>
      </c>
      <c r="BK33" s="1" t="s">
        <v>85</v>
      </c>
      <c r="BL33" s="1">
        <v>0</v>
      </c>
      <c r="BM33" s="1" t="s">
        <v>427</v>
      </c>
      <c r="BN33" s="1" t="s">
        <v>451</v>
      </c>
      <c r="BP33" s="1">
        <v>850000</v>
      </c>
      <c r="BQ33" s="1" t="s">
        <v>570</v>
      </c>
      <c r="BR33" s="1" t="s">
        <v>86</v>
      </c>
      <c r="BS33" s="1" t="s">
        <v>86</v>
      </c>
      <c r="BT33" s="1" t="s">
        <v>574</v>
      </c>
      <c r="BU33" s="1" t="s">
        <v>456</v>
      </c>
      <c r="BV33" s="1" t="s">
        <v>555</v>
      </c>
      <c r="BY33" s="1" t="s">
        <v>558</v>
      </c>
      <c r="BZ33" s="1">
        <v>0</v>
      </c>
      <c r="CJ33" s="1">
        <v>3.9761299999999999</v>
      </c>
      <c r="CK33" s="1">
        <v>3.97363</v>
      </c>
      <c r="CL33" s="1">
        <v>3.9786299999999999</v>
      </c>
      <c r="CR33" s="1">
        <v>116534.320116445</v>
      </c>
      <c r="CS33" s="1">
        <v>116411.24</v>
      </c>
      <c r="CT33" s="1">
        <v>116657.4</v>
      </c>
      <c r="CU33" s="1">
        <v>13.709899999999999</v>
      </c>
      <c r="CZ33" s="1">
        <v>116534.32</v>
      </c>
      <c r="DA33" s="1">
        <v>116534.32</v>
      </c>
      <c r="DB33" s="1">
        <v>119081.84</v>
      </c>
      <c r="DC33" s="1">
        <v>-2547.52</v>
      </c>
      <c r="DD33" s="2">
        <v>429.05</v>
      </c>
      <c r="DG33" s="1">
        <v>26.85</v>
      </c>
      <c r="DL33" s="1">
        <v>-748900.39</v>
      </c>
      <c r="DM33" s="1">
        <v>-745594.37</v>
      </c>
      <c r="DN33" s="1">
        <v>-3306.02</v>
      </c>
      <c r="DO33" s="1">
        <v>1.4435</v>
      </c>
      <c r="DP33" s="1" t="s">
        <v>1113</v>
      </c>
      <c r="DQ33" s="1" t="s">
        <v>1405</v>
      </c>
      <c r="DS33" s="1">
        <v>865434.71</v>
      </c>
      <c r="DT33" s="1">
        <v>864676.22</v>
      </c>
      <c r="DU33" s="1">
        <v>758.49</v>
      </c>
      <c r="DV33" s="1">
        <v>4.5664300000000004</v>
      </c>
      <c r="DW33" s="1" t="s">
        <v>1113</v>
      </c>
      <c r="DX33" s="1" t="s">
        <v>1282</v>
      </c>
      <c r="DY33" s="1" t="s">
        <v>1612</v>
      </c>
      <c r="DZ33" s="1">
        <v>108005</v>
      </c>
      <c r="EA33" s="1">
        <v>125064</v>
      </c>
      <c r="ED33" s="1" t="s">
        <v>50</v>
      </c>
      <c r="EE33" s="1" t="s">
        <v>453</v>
      </c>
      <c r="EF33" s="1" t="s">
        <v>53</v>
      </c>
      <c r="EG33" s="1" t="s">
        <v>453</v>
      </c>
      <c r="EH33" s="1" t="s">
        <v>51</v>
      </c>
      <c r="EJ33" s="1" t="s">
        <v>55</v>
      </c>
      <c r="EL33" s="1" t="s">
        <v>57</v>
      </c>
    </row>
    <row r="34" spans="1:142" x14ac:dyDescent="0.2">
      <c r="A34" s="101">
        <v>28549814001</v>
      </c>
      <c r="B34" s="101">
        <v>28549814</v>
      </c>
      <c r="D34" s="1" t="s">
        <v>607</v>
      </c>
      <c r="E34" s="1" t="s">
        <v>44</v>
      </c>
      <c r="F34" s="1" t="s">
        <v>602</v>
      </c>
      <c r="I34" s="1">
        <v>87.638490000000004</v>
      </c>
      <c r="J34" s="1" t="s">
        <v>589</v>
      </c>
      <c r="V34" s="1" t="s">
        <v>608</v>
      </c>
      <c r="AI34" s="1" t="s">
        <v>551</v>
      </c>
      <c r="AJ34" s="1" t="s">
        <v>44</v>
      </c>
      <c r="AK34" s="1" t="s">
        <v>602</v>
      </c>
      <c r="AL34" s="1" t="s">
        <v>567</v>
      </c>
      <c r="AT34" s="1">
        <v>0.75</v>
      </c>
      <c r="AV34" s="1" t="s">
        <v>608</v>
      </c>
      <c r="AW34" s="1" t="s">
        <v>606</v>
      </c>
      <c r="AX34" s="1">
        <v>58000000</v>
      </c>
      <c r="BA34" s="1" t="s">
        <v>69</v>
      </c>
      <c r="BB34" s="1" t="s">
        <v>560</v>
      </c>
      <c r="CR34" s="1">
        <v>-23740192.523014899</v>
      </c>
      <c r="CU34" s="1">
        <v>-40.931399999999996</v>
      </c>
      <c r="DD34" s="2">
        <v>-58113.36</v>
      </c>
      <c r="DG34" s="1">
        <v>-2685.76</v>
      </c>
      <c r="ED34" s="1" t="s">
        <v>50</v>
      </c>
      <c r="EE34" s="1" t="s">
        <v>609</v>
      </c>
      <c r="EF34" s="1" t="s">
        <v>53</v>
      </c>
      <c r="EG34" s="1" t="s">
        <v>609</v>
      </c>
      <c r="EH34" s="1" t="s">
        <v>51</v>
      </c>
      <c r="EJ34" s="1" t="s">
        <v>55</v>
      </c>
      <c r="EL34" s="1" t="s">
        <v>57</v>
      </c>
    </row>
    <row r="35" spans="1:142" x14ac:dyDescent="0.2">
      <c r="A35" s="101">
        <v>28579491001</v>
      </c>
      <c r="B35" s="101">
        <v>28579491</v>
      </c>
      <c r="D35" s="1" t="s">
        <v>63</v>
      </c>
      <c r="E35" s="1" t="s">
        <v>44</v>
      </c>
      <c r="F35" s="1" t="s">
        <v>81</v>
      </c>
      <c r="AI35" s="1" t="s">
        <v>551</v>
      </c>
      <c r="AJ35" s="1" t="s">
        <v>44</v>
      </c>
      <c r="AK35" s="1" t="s">
        <v>588</v>
      </c>
      <c r="AL35" s="1" t="s">
        <v>586</v>
      </c>
      <c r="AR35" s="1" t="s">
        <v>84</v>
      </c>
      <c r="AS35" s="1" t="s">
        <v>71</v>
      </c>
      <c r="AT35" s="1" t="s">
        <v>244</v>
      </c>
      <c r="AU35" s="1">
        <v>6.7</v>
      </c>
      <c r="AV35" s="1" t="s">
        <v>596</v>
      </c>
      <c r="AW35" s="1" t="s">
        <v>599</v>
      </c>
      <c r="AX35" s="1">
        <v>4500000</v>
      </c>
      <c r="AY35" s="1" t="s">
        <v>570</v>
      </c>
      <c r="AZ35" s="1" t="s">
        <v>86</v>
      </c>
      <c r="BA35" s="1" t="s">
        <v>86</v>
      </c>
      <c r="BB35" s="1" t="s">
        <v>574</v>
      </c>
      <c r="BC35" s="1" t="s">
        <v>456</v>
      </c>
      <c r="BD35" s="1" t="s">
        <v>555</v>
      </c>
      <c r="BG35" s="1" t="s">
        <v>558</v>
      </c>
      <c r="BH35" s="1">
        <v>0</v>
      </c>
      <c r="BI35" s="1" t="s">
        <v>84</v>
      </c>
      <c r="BJ35" s="1" t="s">
        <v>67</v>
      </c>
      <c r="BK35" s="1" t="s">
        <v>47</v>
      </c>
      <c r="BL35" s="1">
        <v>0</v>
      </c>
      <c r="BM35" s="1" t="s">
        <v>596</v>
      </c>
      <c r="BN35" s="1" t="s">
        <v>599</v>
      </c>
      <c r="BP35" s="1">
        <v>4500000</v>
      </c>
      <c r="BQ35" s="1" t="s">
        <v>570</v>
      </c>
      <c r="BR35" s="1" t="s">
        <v>49</v>
      </c>
      <c r="BS35" s="1" t="s">
        <v>49</v>
      </c>
      <c r="BT35" s="1" t="s">
        <v>574</v>
      </c>
      <c r="BU35" s="1" t="s">
        <v>456</v>
      </c>
      <c r="BV35" s="1" t="s">
        <v>555</v>
      </c>
      <c r="BY35" s="1" t="s">
        <v>558</v>
      </c>
      <c r="BZ35" s="1">
        <v>0</v>
      </c>
      <c r="CM35" s="2">
        <v>6.34</v>
      </c>
      <c r="CN35" s="1">
        <v>6.09</v>
      </c>
      <c r="CO35" s="1">
        <v>6.59</v>
      </c>
      <c r="CR35" s="1">
        <v>35060.117725992597</v>
      </c>
      <c r="CS35" s="1">
        <v>34920.050000000003</v>
      </c>
      <c r="CT35" s="1">
        <v>35200.19</v>
      </c>
      <c r="CU35" s="1">
        <v>0.77910000000000001</v>
      </c>
      <c r="CZ35" s="1">
        <v>35060.120000000003</v>
      </c>
      <c r="DA35" s="1">
        <v>35060.120000000003</v>
      </c>
      <c r="DB35" s="1">
        <v>1261.74</v>
      </c>
      <c r="DC35" s="1">
        <v>33798.379999999997</v>
      </c>
      <c r="DD35" s="2">
        <v>-1.46</v>
      </c>
      <c r="DG35" s="1">
        <v>12.8</v>
      </c>
      <c r="DL35" s="1">
        <v>-4525419.8099999996</v>
      </c>
      <c r="DM35" s="1">
        <v>-4510185.93</v>
      </c>
      <c r="DN35" s="1">
        <v>-15233.88</v>
      </c>
      <c r="DO35" s="1">
        <v>2.593</v>
      </c>
      <c r="DP35" s="1" t="s">
        <v>1019</v>
      </c>
      <c r="DQ35" s="1" t="s">
        <v>964</v>
      </c>
      <c r="DR35" s="1" t="s">
        <v>1296</v>
      </c>
      <c r="DS35" s="1">
        <v>4560479.93</v>
      </c>
      <c r="DT35" s="1">
        <v>4511447.68</v>
      </c>
      <c r="DU35" s="1">
        <v>49032.25</v>
      </c>
      <c r="DV35" s="1">
        <v>2.8220000000000001</v>
      </c>
      <c r="DW35" s="1" t="s">
        <v>1019</v>
      </c>
      <c r="DX35" s="1" t="s">
        <v>1093</v>
      </c>
      <c r="DY35" s="1" t="s">
        <v>1296</v>
      </c>
      <c r="ED35" s="1" t="s">
        <v>50</v>
      </c>
      <c r="EE35" s="1" t="s">
        <v>601</v>
      </c>
      <c r="EF35" s="1" t="s">
        <v>53</v>
      </c>
      <c r="EG35" s="1" t="s">
        <v>601</v>
      </c>
      <c r="EH35" s="1" t="s">
        <v>51</v>
      </c>
      <c r="EJ35" s="1" t="s">
        <v>55</v>
      </c>
      <c r="EL35" s="1" t="s">
        <v>57</v>
      </c>
    </row>
    <row r="36" spans="1:142" x14ac:dyDescent="0.2">
      <c r="A36" s="101">
        <v>29656139001</v>
      </c>
      <c r="B36" s="101">
        <v>29656139</v>
      </c>
      <c r="D36" s="1" t="s">
        <v>63</v>
      </c>
      <c r="E36" s="1" t="s">
        <v>44</v>
      </c>
      <c r="F36" s="1" t="s">
        <v>602</v>
      </c>
      <c r="I36" s="1">
        <v>85.403000000000006</v>
      </c>
      <c r="J36" s="1" t="s">
        <v>589</v>
      </c>
      <c r="V36" s="1" t="s">
        <v>608</v>
      </c>
      <c r="AI36" s="1" t="s">
        <v>551</v>
      </c>
      <c r="AJ36" s="1" t="s">
        <v>44</v>
      </c>
      <c r="AK36" s="1" t="s">
        <v>602</v>
      </c>
      <c r="AL36" s="1" t="s">
        <v>587</v>
      </c>
      <c r="AT36" s="1">
        <v>0.75</v>
      </c>
      <c r="AV36" s="1" t="s">
        <v>608</v>
      </c>
      <c r="AW36" s="1" t="s">
        <v>604</v>
      </c>
      <c r="AX36" s="1">
        <v>28700000</v>
      </c>
      <c r="BA36" s="1" t="s">
        <v>69</v>
      </c>
      <c r="BB36" s="1" t="s">
        <v>560</v>
      </c>
      <c r="BG36" s="1" t="s">
        <v>556</v>
      </c>
      <c r="BY36" s="1" t="s">
        <v>556</v>
      </c>
      <c r="CR36" s="1">
        <v>-10828558.5451984</v>
      </c>
      <c r="CU36" s="1">
        <v>-37.730200000000004</v>
      </c>
      <c r="DD36" s="2">
        <v>-28899.39</v>
      </c>
      <c r="DG36" s="1">
        <v>-1300.17</v>
      </c>
      <c r="ED36" s="1" t="s">
        <v>50</v>
      </c>
      <c r="EE36" s="1" t="s">
        <v>610</v>
      </c>
      <c r="EF36" s="1" t="s">
        <v>53</v>
      </c>
      <c r="EG36" s="1" t="s">
        <v>610</v>
      </c>
      <c r="EH36" s="1" t="s">
        <v>51</v>
      </c>
      <c r="EJ36" s="1" t="s">
        <v>55</v>
      </c>
      <c r="EL36" s="1" t="s">
        <v>57</v>
      </c>
    </row>
    <row r="37" spans="1:142" x14ac:dyDescent="0.2">
      <c r="A37" s="101">
        <v>29845056001</v>
      </c>
      <c r="B37" s="101">
        <v>29845056</v>
      </c>
      <c r="D37" s="1" t="s">
        <v>80</v>
      </c>
      <c r="E37" s="1" t="s">
        <v>44</v>
      </c>
      <c r="F37" s="1" t="s">
        <v>602</v>
      </c>
      <c r="I37" s="1">
        <v>83.79</v>
      </c>
      <c r="J37" s="1" t="s">
        <v>589</v>
      </c>
      <c r="V37" s="1" t="s">
        <v>603</v>
      </c>
      <c r="AI37" s="1" t="s">
        <v>551</v>
      </c>
      <c r="AJ37" s="1" t="s">
        <v>44</v>
      </c>
      <c r="AK37" s="1" t="s">
        <v>602</v>
      </c>
      <c r="AL37" s="1" t="s">
        <v>580</v>
      </c>
      <c r="AT37" s="1">
        <v>0.75</v>
      </c>
      <c r="AV37" s="1" t="s">
        <v>603</v>
      </c>
      <c r="AW37" s="1" t="s">
        <v>604</v>
      </c>
      <c r="AX37" s="1">
        <v>30000000</v>
      </c>
      <c r="BA37" s="1" t="s">
        <v>69</v>
      </c>
      <c r="BB37" s="1" t="s">
        <v>560</v>
      </c>
      <c r="CR37" s="1">
        <v>-10719474.4722651</v>
      </c>
      <c r="CU37" s="1">
        <v>-35.7316</v>
      </c>
      <c r="DD37" s="2">
        <v>-29026.18</v>
      </c>
      <c r="DG37" s="1">
        <v>-1275.6300000000001</v>
      </c>
      <c r="ED37" s="1" t="s">
        <v>50</v>
      </c>
      <c r="EE37" s="1" t="s">
        <v>605</v>
      </c>
      <c r="EF37" s="1" t="s">
        <v>53</v>
      </c>
      <c r="EG37" s="1" t="s">
        <v>605</v>
      </c>
      <c r="EH37" s="1" t="s">
        <v>51</v>
      </c>
      <c r="EJ37" s="1" t="s">
        <v>55</v>
      </c>
      <c r="EL37" s="1" t="s">
        <v>57</v>
      </c>
    </row>
    <row r="38" spans="1:142" x14ac:dyDescent="0.2">
      <c r="A38" s="101">
        <v>30220489001</v>
      </c>
      <c r="B38" s="101">
        <v>30220489</v>
      </c>
      <c r="D38" s="1" t="s">
        <v>655</v>
      </c>
      <c r="E38" s="1" t="s">
        <v>44</v>
      </c>
      <c r="F38" s="1" t="s">
        <v>602</v>
      </c>
      <c r="I38" s="1">
        <v>98.284000000000006</v>
      </c>
      <c r="J38" s="1" t="s">
        <v>589</v>
      </c>
      <c r="V38" s="1" t="s">
        <v>608</v>
      </c>
      <c r="AI38" s="1" t="s">
        <v>551</v>
      </c>
      <c r="AJ38" s="1" t="s">
        <v>44</v>
      </c>
      <c r="AK38" s="1" t="s">
        <v>602</v>
      </c>
      <c r="AL38" s="1" t="s">
        <v>568</v>
      </c>
      <c r="AT38" s="1">
        <v>1.5</v>
      </c>
      <c r="AV38" s="1" t="s">
        <v>608</v>
      </c>
      <c r="AW38" s="1" t="s">
        <v>656</v>
      </c>
      <c r="AX38" s="1">
        <v>26000000</v>
      </c>
      <c r="BA38" s="1" t="s">
        <v>69</v>
      </c>
      <c r="BB38" s="1" t="s">
        <v>560</v>
      </c>
      <c r="CR38" s="1">
        <v>-9579727.1899008006</v>
      </c>
      <c r="CU38" s="1">
        <v>-36.845100000000002</v>
      </c>
      <c r="DD38" s="2">
        <v>-29045.89</v>
      </c>
      <c r="DG38" s="1">
        <v>-1375.26</v>
      </c>
      <c r="ED38" s="1" t="s">
        <v>50</v>
      </c>
      <c r="EE38" s="1" t="s">
        <v>657</v>
      </c>
      <c r="EF38" s="1" t="s">
        <v>53</v>
      </c>
      <c r="EG38" s="1" t="s">
        <v>657</v>
      </c>
      <c r="EH38" s="1" t="s">
        <v>51</v>
      </c>
      <c r="EJ38" s="1" t="s">
        <v>55</v>
      </c>
      <c r="EL38" s="1" t="s">
        <v>57</v>
      </c>
    </row>
    <row r="39" spans="1:142" x14ac:dyDescent="0.2">
      <c r="A39" s="101">
        <v>30597262001</v>
      </c>
      <c r="B39" s="101">
        <v>30597262</v>
      </c>
      <c r="D39" s="1" t="s">
        <v>80</v>
      </c>
      <c r="E39" s="1" t="s">
        <v>44</v>
      </c>
      <c r="F39" s="1" t="s">
        <v>602</v>
      </c>
      <c r="I39" s="1">
        <v>96.516930000000002</v>
      </c>
      <c r="J39" s="1" t="s">
        <v>589</v>
      </c>
      <c r="V39" s="1" t="s">
        <v>603</v>
      </c>
      <c r="AI39" s="1" t="s">
        <v>551</v>
      </c>
      <c r="AJ39" s="1" t="s">
        <v>44</v>
      </c>
      <c r="AK39" s="1" t="s">
        <v>602</v>
      </c>
      <c r="AL39" s="1" t="s">
        <v>590</v>
      </c>
      <c r="AT39" s="1">
        <v>1.5</v>
      </c>
      <c r="AV39" s="1" t="s">
        <v>603</v>
      </c>
      <c r="AW39" s="1" t="s">
        <v>656</v>
      </c>
      <c r="AX39" s="1">
        <v>25000000</v>
      </c>
      <c r="BA39" s="1" t="s">
        <v>69</v>
      </c>
      <c r="BB39" s="1" t="s">
        <v>560</v>
      </c>
      <c r="CR39" s="1">
        <v>-8396327.9246162102</v>
      </c>
      <c r="CU39" s="1">
        <v>-33.585299999999997</v>
      </c>
      <c r="DD39" s="2">
        <v>-26817.27</v>
      </c>
      <c r="DG39" s="1">
        <v>-1230.08</v>
      </c>
      <c r="ED39" s="1" t="s">
        <v>50</v>
      </c>
      <c r="EE39" s="1" t="s">
        <v>679</v>
      </c>
      <c r="EF39" s="1" t="s">
        <v>53</v>
      </c>
      <c r="EG39" s="1" t="s">
        <v>679</v>
      </c>
      <c r="EH39" s="1" t="s">
        <v>51</v>
      </c>
      <c r="EJ39" s="1" t="s">
        <v>55</v>
      </c>
      <c r="EL39" s="1" t="s">
        <v>57</v>
      </c>
    </row>
    <row r="40" spans="1:142" x14ac:dyDescent="0.2">
      <c r="A40" s="101">
        <v>30597268001</v>
      </c>
      <c r="B40" s="101">
        <v>30597268</v>
      </c>
      <c r="D40" s="1" t="s">
        <v>655</v>
      </c>
      <c r="E40" s="1" t="s">
        <v>44</v>
      </c>
      <c r="F40" s="1" t="s">
        <v>602</v>
      </c>
      <c r="I40" s="1">
        <v>80.118489999999994</v>
      </c>
      <c r="J40" s="1" t="s">
        <v>589</v>
      </c>
      <c r="V40" s="1" t="s">
        <v>182</v>
      </c>
      <c r="AI40" s="1" t="s">
        <v>551</v>
      </c>
      <c r="AJ40" s="1" t="s">
        <v>44</v>
      </c>
      <c r="AK40" s="1" t="s">
        <v>602</v>
      </c>
      <c r="AL40" s="1" t="s">
        <v>590</v>
      </c>
      <c r="AT40" s="1">
        <v>0.75</v>
      </c>
      <c r="AV40" s="1" t="s">
        <v>182</v>
      </c>
      <c r="AW40" s="1" t="s">
        <v>604</v>
      </c>
      <c r="AX40" s="1">
        <v>30600000</v>
      </c>
      <c r="BA40" s="1" t="s">
        <v>69</v>
      </c>
      <c r="BB40" s="1" t="s">
        <v>560</v>
      </c>
      <c r="CR40" s="1">
        <v>-9854311.7744188905</v>
      </c>
      <c r="CU40" s="1">
        <v>-32.203600000000002</v>
      </c>
      <c r="DD40" s="2">
        <v>-30923.21</v>
      </c>
      <c r="DG40" s="1">
        <v>-1298.78</v>
      </c>
      <c r="ED40" s="1" t="s">
        <v>50</v>
      </c>
      <c r="EE40" s="1" t="s">
        <v>678</v>
      </c>
      <c r="EF40" s="1" t="s">
        <v>53</v>
      </c>
      <c r="EG40" s="1" t="s">
        <v>678</v>
      </c>
      <c r="EH40" s="1" t="s">
        <v>51</v>
      </c>
      <c r="EJ40" s="1" t="s">
        <v>55</v>
      </c>
      <c r="EL40" s="1" t="s">
        <v>57</v>
      </c>
    </row>
    <row r="41" spans="1:142" x14ac:dyDescent="0.2">
      <c r="A41" s="101">
        <v>31058737001</v>
      </c>
      <c r="B41" s="101">
        <v>31058737</v>
      </c>
      <c r="D41" s="1" t="s">
        <v>63</v>
      </c>
      <c r="E41" s="1" t="s">
        <v>44</v>
      </c>
      <c r="F41" s="1" t="s">
        <v>602</v>
      </c>
      <c r="I41" s="1">
        <v>91.307000000000002</v>
      </c>
      <c r="J41" s="1" t="s">
        <v>589</v>
      </c>
      <c r="V41" s="1" t="s">
        <v>603</v>
      </c>
      <c r="AI41" s="1" t="s">
        <v>551</v>
      </c>
      <c r="AJ41" s="1" t="s">
        <v>44</v>
      </c>
      <c r="AK41" s="1" t="s">
        <v>602</v>
      </c>
      <c r="AL41" s="1" t="s">
        <v>429</v>
      </c>
      <c r="AT41" s="1">
        <v>1.5</v>
      </c>
      <c r="AV41" s="1" t="s">
        <v>603</v>
      </c>
      <c r="AW41" s="1" t="s">
        <v>656</v>
      </c>
      <c r="AX41" s="1">
        <v>27000000</v>
      </c>
      <c r="BA41" s="1" t="s">
        <v>69</v>
      </c>
      <c r="BB41" s="1" t="s">
        <v>560</v>
      </c>
      <c r="CR41" s="1">
        <v>-8057311.5251349201</v>
      </c>
      <c r="CU41" s="1">
        <v>-29.841899999999999</v>
      </c>
      <c r="DD41" s="2">
        <v>-29070.48</v>
      </c>
      <c r="DG41" s="1">
        <v>-1277.42</v>
      </c>
      <c r="ED41" s="1" t="s">
        <v>50</v>
      </c>
      <c r="EE41" s="1" t="s">
        <v>677</v>
      </c>
      <c r="EF41" s="1" t="s">
        <v>53</v>
      </c>
      <c r="EG41" s="1" t="s">
        <v>677</v>
      </c>
      <c r="EH41" s="1" t="s">
        <v>51</v>
      </c>
      <c r="EJ41" s="1" t="s">
        <v>55</v>
      </c>
      <c r="EL41" s="1" t="s">
        <v>57</v>
      </c>
    </row>
    <row r="42" spans="1:142" x14ac:dyDescent="0.2">
      <c r="A42" s="101">
        <v>31884185001</v>
      </c>
      <c r="B42" s="101">
        <v>31884185</v>
      </c>
      <c r="D42" s="1" t="s">
        <v>63</v>
      </c>
      <c r="E42" s="1" t="s">
        <v>44</v>
      </c>
      <c r="F42" s="1" t="s">
        <v>583</v>
      </c>
      <c r="AI42" s="1" t="s">
        <v>551</v>
      </c>
      <c r="AJ42" s="1" t="s">
        <v>44</v>
      </c>
      <c r="AK42" s="1" t="s">
        <v>584</v>
      </c>
      <c r="AL42" s="1" t="s">
        <v>449</v>
      </c>
      <c r="AR42" s="1" t="s">
        <v>79</v>
      </c>
      <c r="AS42" s="1" t="s">
        <v>71</v>
      </c>
      <c r="AT42" s="1">
        <v>0.91249999999999998</v>
      </c>
      <c r="AV42" s="1" t="s">
        <v>448</v>
      </c>
      <c r="AW42" s="1" t="s">
        <v>668</v>
      </c>
      <c r="AX42" s="1">
        <v>100000000</v>
      </c>
      <c r="BA42" s="1" t="s">
        <v>69</v>
      </c>
      <c r="BB42" s="1" t="s">
        <v>574</v>
      </c>
      <c r="BC42" s="1" t="s">
        <v>456</v>
      </c>
      <c r="BD42" s="1" t="s">
        <v>555</v>
      </c>
      <c r="BG42" s="1" t="s">
        <v>558</v>
      </c>
      <c r="BH42" s="1">
        <v>0</v>
      </c>
      <c r="BI42" s="1" t="s">
        <v>431</v>
      </c>
      <c r="BJ42" s="1" t="s">
        <v>67</v>
      </c>
      <c r="BK42" s="1" t="s">
        <v>440</v>
      </c>
      <c r="BL42" s="1">
        <v>0</v>
      </c>
      <c r="BM42" s="1" t="s">
        <v>448</v>
      </c>
      <c r="BN42" s="1" t="s">
        <v>668</v>
      </c>
      <c r="BP42" s="1">
        <v>100000000</v>
      </c>
      <c r="BR42" s="1" t="s">
        <v>69</v>
      </c>
      <c r="BS42" s="1" t="s">
        <v>69</v>
      </c>
      <c r="BT42" s="1" t="s">
        <v>574</v>
      </c>
      <c r="BU42" s="1" t="s">
        <v>456</v>
      </c>
      <c r="BV42" s="1" t="s">
        <v>555</v>
      </c>
      <c r="BY42" s="1" t="s">
        <v>558</v>
      </c>
      <c r="BZ42" s="1">
        <v>0</v>
      </c>
      <c r="CJ42" s="1">
        <v>2.35046</v>
      </c>
      <c r="CK42" s="1">
        <v>2.34796</v>
      </c>
      <c r="CL42" s="1">
        <v>2.3529599999999999</v>
      </c>
      <c r="CR42" s="1">
        <v>2363497.8383657499</v>
      </c>
      <c r="CS42" s="1">
        <v>2360969.23</v>
      </c>
      <c r="CT42" s="1">
        <v>2366026.4500000002</v>
      </c>
      <c r="CU42" s="1">
        <v>2.3635000000000002</v>
      </c>
      <c r="CZ42" s="1">
        <v>2363497.84</v>
      </c>
      <c r="DA42" s="1">
        <v>2363497.84</v>
      </c>
      <c r="DB42" s="1">
        <v>145665.42000000001</v>
      </c>
      <c r="DC42" s="1">
        <v>2217832.42</v>
      </c>
      <c r="DD42" s="2">
        <v>975.43</v>
      </c>
      <c r="DG42" s="1">
        <v>647.51</v>
      </c>
      <c r="DL42" s="1">
        <v>-100688057.06999999</v>
      </c>
      <c r="DM42" s="1">
        <v>-99854133.459999993</v>
      </c>
      <c r="DN42" s="1">
        <v>-833923.61</v>
      </c>
      <c r="DO42" s="1">
        <v>0.91249999999999998</v>
      </c>
      <c r="DP42" s="1" t="s">
        <v>743</v>
      </c>
      <c r="DQ42" s="1" t="s">
        <v>743</v>
      </c>
      <c r="DS42" s="1">
        <v>103051554.91</v>
      </c>
      <c r="DT42" s="1">
        <v>99999798.890000001</v>
      </c>
      <c r="DU42" s="1">
        <v>3051756.03</v>
      </c>
      <c r="DV42" s="1">
        <v>3.24926</v>
      </c>
      <c r="DW42" s="1" t="s">
        <v>743</v>
      </c>
      <c r="DX42" s="1" t="s">
        <v>743</v>
      </c>
      <c r="DY42" s="1" t="s">
        <v>744</v>
      </c>
      <c r="DZ42" s="1">
        <v>2352034</v>
      </c>
      <c r="EA42" s="1">
        <v>2374961</v>
      </c>
      <c r="ED42" s="1" t="s">
        <v>50</v>
      </c>
      <c r="EE42" s="1" t="s">
        <v>670</v>
      </c>
      <c r="EF42" s="1" t="s">
        <v>53</v>
      </c>
      <c r="EG42" s="1" t="s">
        <v>670</v>
      </c>
      <c r="EH42" s="1" t="s">
        <v>51</v>
      </c>
      <c r="EJ42" s="1" t="s">
        <v>55</v>
      </c>
      <c r="EL42" s="1" t="s">
        <v>57</v>
      </c>
    </row>
    <row r="43" spans="1:142" x14ac:dyDescent="0.2">
      <c r="A43" s="101">
        <v>32932378001</v>
      </c>
      <c r="B43" s="101">
        <v>32932378</v>
      </c>
      <c r="D43" s="1" t="s">
        <v>77</v>
      </c>
      <c r="E43" s="1" t="s">
        <v>44</v>
      </c>
      <c r="F43" s="1" t="s">
        <v>81</v>
      </c>
      <c r="AI43" s="1" t="s">
        <v>551</v>
      </c>
      <c r="AJ43" s="1" t="s">
        <v>44</v>
      </c>
      <c r="AK43" s="1" t="s">
        <v>575</v>
      </c>
      <c r="AL43" s="1" t="s">
        <v>585</v>
      </c>
      <c r="AR43" s="1" t="s">
        <v>79</v>
      </c>
      <c r="AS43" s="1" t="s">
        <v>71</v>
      </c>
      <c r="AT43" s="1">
        <v>1.754</v>
      </c>
      <c r="AV43" s="1" t="s">
        <v>442</v>
      </c>
      <c r="AW43" s="1" t="s">
        <v>664</v>
      </c>
      <c r="AX43" s="1">
        <v>1000000</v>
      </c>
      <c r="BA43" s="1" t="s">
        <v>69</v>
      </c>
      <c r="BB43" s="1" t="s">
        <v>557</v>
      </c>
      <c r="BD43" s="1" t="s">
        <v>555</v>
      </c>
      <c r="BG43" s="1" t="s">
        <v>558</v>
      </c>
      <c r="BH43" s="1">
        <v>0</v>
      </c>
      <c r="BI43" s="1" t="s">
        <v>84</v>
      </c>
      <c r="BJ43" s="1" t="s">
        <v>67</v>
      </c>
      <c r="BK43" s="1" t="s">
        <v>244</v>
      </c>
      <c r="BL43" s="1">
        <v>0</v>
      </c>
      <c r="BM43" s="1" t="s">
        <v>442</v>
      </c>
      <c r="BN43" s="1" t="s">
        <v>664</v>
      </c>
      <c r="BP43" s="1">
        <v>1000000</v>
      </c>
      <c r="BQ43" s="1" t="s">
        <v>570</v>
      </c>
      <c r="BR43" s="1" t="s">
        <v>86</v>
      </c>
      <c r="BS43" s="1" t="s">
        <v>86</v>
      </c>
      <c r="BT43" s="1" t="s">
        <v>574</v>
      </c>
      <c r="BU43" s="1" t="s">
        <v>456</v>
      </c>
      <c r="BV43" s="1" t="s">
        <v>555</v>
      </c>
      <c r="BY43" s="1" t="s">
        <v>558</v>
      </c>
      <c r="BZ43" s="1">
        <v>0</v>
      </c>
      <c r="CJ43" s="1">
        <v>2.4784999999999999</v>
      </c>
      <c r="CK43" s="1">
        <v>2.476</v>
      </c>
      <c r="CL43" s="1">
        <v>2.4809999999999999</v>
      </c>
      <c r="CR43" s="1">
        <v>35193.346698663401</v>
      </c>
      <c r="CS43" s="1">
        <v>35008.400000000001</v>
      </c>
      <c r="CT43" s="1">
        <v>35378.300000000003</v>
      </c>
      <c r="CU43" s="1">
        <v>3.5192999999999999</v>
      </c>
      <c r="CZ43" s="1">
        <v>35193.35</v>
      </c>
      <c r="DA43" s="1">
        <v>35193.35</v>
      </c>
      <c r="DB43" s="1">
        <v>47607.57</v>
      </c>
      <c r="DC43" s="1">
        <v>-12414.22</v>
      </c>
      <c r="DD43" s="2">
        <v>621.21</v>
      </c>
      <c r="DG43" s="1">
        <v>-10.02</v>
      </c>
      <c r="DL43" s="1">
        <v>-974737.14</v>
      </c>
      <c r="DM43" s="1">
        <v>-959340.92</v>
      </c>
      <c r="DN43" s="1">
        <v>-15396.22</v>
      </c>
      <c r="DO43" s="1">
        <v>1.754</v>
      </c>
      <c r="DP43" s="1" t="s">
        <v>745</v>
      </c>
      <c r="DQ43" s="1" t="s">
        <v>1020</v>
      </c>
      <c r="DS43" s="1">
        <v>1009930.49</v>
      </c>
      <c r="DT43" s="1">
        <v>1006948.49</v>
      </c>
      <c r="DU43" s="1">
        <v>2982</v>
      </c>
      <c r="DV43" s="1">
        <v>2.556</v>
      </c>
      <c r="DW43" s="1" t="s">
        <v>745</v>
      </c>
      <c r="DX43" s="1" t="s">
        <v>1146</v>
      </c>
      <c r="DY43" s="1" t="s">
        <v>1419</v>
      </c>
      <c r="DZ43" s="1">
        <v>27495</v>
      </c>
      <c r="EA43" s="1">
        <v>42892</v>
      </c>
      <c r="ED43" s="1" t="s">
        <v>50</v>
      </c>
      <c r="EE43" s="1" t="s">
        <v>666</v>
      </c>
      <c r="EF43" s="1" t="s">
        <v>53</v>
      </c>
      <c r="EG43" s="1" t="s">
        <v>666</v>
      </c>
      <c r="EH43" s="1" t="s">
        <v>51</v>
      </c>
      <c r="EJ43" s="1" t="s">
        <v>55</v>
      </c>
      <c r="EL43" s="1" t="s">
        <v>57</v>
      </c>
    </row>
    <row r="44" spans="1:142" x14ac:dyDescent="0.2">
      <c r="A44" s="101">
        <v>32932396001</v>
      </c>
      <c r="B44" s="101">
        <v>32932396</v>
      </c>
      <c r="D44" s="1" t="s">
        <v>80</v>
      </c>
      <c r="E44" s="1" t="s">
        <v>44</v>
      </c>
      <c r="F44" s="1" t="s">
        <v>602</v>
      </c>
      <c r="I44" s="1">
        <v>85.3</v>
      </c>
      <c r="J44" s="1" t="s">
        <v>589</v>
      </c>
      <c r="V44" s="1" t="s">
        <v>603</v>
      </c>
      <c r="AI44" s="1" t="s">
        <v>551</v>
      </c>
      <c r="AJ44" s="1" t="s">
        <v>44</v>
      </c>
      <c r="AK44" s="1" t="s">
        <v>602</v>
      </c>
      <c r="AL44" s="1" t="s">
        <v>585</v>
      </c>
      <c r="AT44" s="1">
        <v>1.5</v>
      </c>
      <c r="AV44" s="1" t="s">
        <v>603</v>
      </c>
      <c r="AW44" s="1" t="s">
        <v>656</v>
      </c>
      <c r="AX44" s="1">
        <v>29000000</v>
      </c>
      <c r="BA44" s="1" t="s">
        <v>69</v>
      </c>
      <c r="BB44" s="1" t="s">
        <v>560</v>
      </c>
      <c r="CR44" s="1">
        <v>-6949275.1267113397</v>
      </c>
      <c r="CU44" s="1">
        <v>-23.963000000000001</v>
      </c>
      <c r="DD44" s="2">
        <v>-31405.75</v>
      </c>
      <c r="DG44" s="1">
        <v>-1285.8900000000001</v>
      </c>
      <c r="ED44" s="1" t="s">
        <v>50</v>
      </c>
      <c r="EE44" s="1" t="s">
        <v>676</v>
      </c>
      <c r="EF44" s="1" t="s">
        <v>53</v>
      </c>
      <c r="EG44" s="1" t="s">
        <v>676</v>
      </c>
      <c r="EH44" s="1" t="s">
        <v>51</v>
      </c>
      <c r="EJ44" s="1" t="s">
        <v>55</v>
      </c>
      <c r="EL44" s="1" t="s">
        <v>57</v>
      </c>
    </row>
    <row r="45" spans="1:142" x14ac:dyDescent="0.2">
      <c r="A45" s="101">
        <v>32953205001</v>
      </c>
      <c r="B45" s="101">
        <v>32953205</v>
      </c>
      <c r="D45" s="1" t="s">
        <v>75</v>
      </c>
      <c r="E45" s="1" t="s">
        <v>44</v>
      </c>
      <c r="F45" s="1" t="s">
        <v>602</v>
      </c>
      <c r="I45" s="1">
        <v>94.49</v>
      </c>
      <c r="J45" s="1" t="s">
        <v>589</v>
      </c>
      <c r="V45" s="1" t="s">
        <v>608</v>
      </c>
      <c r="AI45" s="1" t="s">
        <v>551</v>
      </c>
      <c r="AJ45" s="1" t="s">
        <v>44</v>
      </c>
      <c r="AK45" s="1" t="s">
        <v>602</v>
      </c>
      <c r="AL45" s="1" t="s">
        <v>447</v>
      </c>
      <c r="AT45" s="1">
        <v>2</v>
      </c>
      <c r="AV45" s="1" t="s">
        <v>608</v>
      </c>
      <c r="AW45" s="1" t="s">
        <v>674</v>
      </c>
      <c r="AX45" s="1">
        <v>27000000</v>
      </c>
      <c r="BA45" s="1" t="s">
        <v>69</v>
      </c>
      <c r="BB45" s="1" t="s">
        <v>560</v>
      </c>
      <c r="CR45" s="1">
        <v>-6342171.0609574001</v>
      </c>
      <c r="CU45" s="1">
        <v>-23.4895</v>
      </c>
      <c r="DD45" s="2">
        <v>-31798</v>
      </c>
      <c r="DG45" s="1">
        <v>-1390.14</v>
      </c>
      <c r="ED45" s="1" t="s">
        <v>50</v>
      </c>
      <c r="EE45" s="1" t="s">
        <v>675</v>
      </c>
      <c r="EF45" s="1" t="s">
        <v>53</v>
      </c>
      <c r="EG45" s="1" t="s">
        <v>675</v>
      </c>
      <c r="EH45" s="1" t="s">
        <v>51</v>
      </c>
      <c r="EJ45" s="1" t="s">
        <v>55</v>
      </c>
      <c r="EL45" s="1" t="s">
        <v>57</v>
      </c>
    </row>
    <row r="46" spans="1:142" x14ac:dyDescent="0.2">
      <c r="A46" s="101">
        <v>40034099001</v>
      </c>
      <c r="B46" s="101">
        <v>40034099</v>
      </c>
      <c r="D46" s="1" t="s">
        <v>43</v>
      </c>
      <c r="E46" s="1" t="s">
        <v>44</v>
      </c>
      <c r="F46" s="1" t="s">
        <v>583</v>
      </c>
      <c r="AI46" s="1" t="s">
        <v>551</v>
      </c>
      <c r="AJ46" s="1" t="s">
        <v>44</v>
      </c>
      <c r="AK46" s="1" t="s">
        <v>584</v>
      </c>
      <c r="AL46" s="1" t="s">
        <v>600</v>
      </c>
      <c r="AR46" s="1" t="s">
        <v>79</v>
      </c>
      <c r="AS46" s="1" t="s">
        <v>71</v>
      </c>
      <c r="AT46" s="1">
        <v>2.5499999999999998</v>
      </c>
      <c r="AV46" s="1" t="s">
        <v>600</v>
      </c>
      <c r="AW46" s="1" t="s">
        <v>701</v>
      </c>
      <c r="AX46" s="1">
        <v>1800000</v>
      </c>
      <c r="BA46" s="1" t="s">
        <v>69</v>
      </c>
      <c r="BB46" s="1" t="s">
        <v>574</v>
      </c>
      <c r="BC46" s="1" t="s">
        <v>456</v>
      </c>
      <c r="BD46" s="1" t="s">
        <v>555</v>
      </c>
      <c r="BG46" s="1" t="s">
        <v>558</v>
      </c>
      <c r="BH46" s="1">
        <v>30</v>
      </c>
      <c r="BI46" s="1" t="s">
        <v>431</v>
      </c>
      <c r="BJ46" s="1" t="s">
        <v>67</v>
      </c>
      <c r="BK46" s="1" t="s">
        <v>440</v>
      </c>
      <c r="BL46" s="1">
        <v>0</v>
      </c>
      <c r="BM46" s="1" t="s">
        <v>600</v>
      </c>
      <c r="BN46" s="1" t="s">
        <v>701</v>
      </c>
      <c r="BP46" s="1">
        <v>1800000</v>
      </c>
      <c r="BR46" s="1" t="s">
        <v>49</v>
      </c>
      <c r="BS46" s="1" t="s">
        <v>49</v>
      </c>
      <c r="BT46" s="1" t="s">
        <v>574</v>
      </c>
      <c r="BU46" s="1" t="s">
        <v>456</v>
      </c>
      <c r="BV46" s="1" t="s">
        <v>555</v>
      </c>
      <c r="BY46" s="1" t="s">
        <v>558</v>
      </c>
      <c r="BZ46" s="1">
        <v>30</v>
      </c>
      <c r="CJ46" s="1">
        <v>1.9735499999999999</v>
      </c>
      <c r="CK46" s="1">
        <v>1.97105</v>
      </c>
      <c r="CL46" s="1">
        <v>1.9760500000000001</v>
      </c>
      <c r="CR46" s="1">
        <v>-35414.921609916302</v>
      </c>
      <c r="CS46" s="1">
        <v>-35505.040000000001</v>
      </c>
      <c r="CT46" s="1">
        <v>-35324.800000000003</v>
      </c>
      <c r="CU46" s="1">
        <v>-1.9675</v>
      </c>
      <c r="CZ46" s="1">
        <v>-35414.92</v>
      </c>
      <c r="DA46" s="1">
        <v>-35414.92</v>
      </c>
      <c r="DB46" s="1">
        <v>-12623.9</v>
      </c>
      <c r="DC46" s="1">
        <v>-22791.02</v>
      </c>
      <c r="DD46" s="2">
        <v>224.96</v>
      </c>
      <c r="DG46" s="1">
        <v>26.98</v>
      </c>
      <c r="DL46" s="1">
        <v>-1847810.93</v>
      </c>
      <c r="DM46" s="1">
        <v>-1812620.93</v>
      </c>
      <c r="DN46" s="1">
        <v>-35190</v>
      </c>
      <c r="DO46" s="1">
        <v>2.5499999999999998</v>
      </c>
      <c r="DP46" s="1" t="s">
        <v>770</v>
      </c>
      <c r="DQ46" s="1" t="s">
        <v>1133</v>
      </c>
      <c r="DS46" s="1">
        <v>1812396.01</v>
      </c>
      <c r="DT46" s="1">
        <v>1799997.03</v>
      </c>
      <c r="DU46" s="1">
        <v>12398.98</v>
      </c>
      <c r="DV46" s="1">
        <v>2.4962200000000001</v>
      </c>
      <c r="DW46" s="1" t="s">
        <v>770</v>
      </c>
      <c r="DX46" s="1" t="s">
        <v>1406</v>
      </c>
      <c r="DY46" s="1" t="s">
        <v>1134</v>
      </c>
      <c r="DZ46" s="1">
        <v>-37635</v>
      </c>
      <c r="EA46" s="1">
        <v>-33195</v>
      </c>
      <c r="ED46" s="1" t="s">
        <v>50</v>
      </c>
      <c r="EE46" s="1" t="s">
        <v>703</v>
      </c>
      <c r="EF46" s="1" t="s">
        <v>53</v>
      </c>
      <c r="EG46" s="1" t="s">
        <v>703</v>
      </c>
      <c r="EH46" s="1" t="s">
        <v>51</v>
      </c>
      <c r="EJ46" s="1" t="s">
        <v>55</v>
      </c>
      <c r="EL46" s="1" t="s">
        <v>57</v>
      </c>
    </row>
    <row r="47" spans="1:142" x14ac:dyDescent="0.2">
      <c r="A47" s="101">
        <v>40034100001</v>
      </c>
      <c r="B47" s="101">
        <v>40034100</v>
      </c>
      <c r="D47" s="1" t="s">
        <v>77</v>
      </c>
      <c r="E47" s="1" t="s">
        <v>44</v>
      </c>
      <c r="F47" s="1" t="s">
        <v>583</v>
      </c>
      <c r="AI47" s="1" t="s">
        <v>551</v>
      </c>
      <c r="AJ47" s="1" t="s">
        <v>44</v>
      </c>
      <c r="AK47" s="1" t="s">
        <v>584</v>
      </c>
      <c r="AL47" s="1" t="s">
        <v>600</v>
      </c>
      <c r="AR47" s="1" t="s">
        <v>79</v>
      </c>
      <c r="AS47" s="1" t="s">
        <v>71</v>
      </c>
      <c r="AT47" s="1">
        <v>2.548</v>
      </c>
      <c r="AV47" s="1" t="s">
        <v>600</v>
      </c>
      <c r="AW47" s="1" t="s">
        <v>704</v>
      </c>
      <c r="AX47" s="1">
        <v>2700000</v>
      </c>
      <c r="BA47" s="1" t="s">
        <v>69</v>
      </c>
      <c r="BB47" s="1" t="s">
        <v>574</v>
      </c>
      <c r="BC47" s="1" t="s">
        <v>456</v>
      </c>
      <c r="BD47" s="1" t="s">
        <v>555</v>
      </c>
      <c r="BG47" s="1" t="s">
        <v>558</v>
      </c>
      <c r="BH47" s="1">
        <v>30</v>
      </c>
      <c r="BI47" s="1" t="s">
        <v>431</v>
      </c>
      <c r="BJ47" s="1" t="s">
        <v>67</v>
      </c>
      <c r="BK47" s="1" t="s">
        <v>440</v>
      </c>
      <c r="BL47" s="1">
        <v>0</v>
      </c>
      <c r="BM47" s="1" t="s">
        <v>600</v>
      </c>
      <c r="BN47" s="1" t="s">
        <v>704</v>
      </c>
      <c r="BP47" s="1">
        <v>2700000</v>
      </c>
      <c r="BR47" s="1" t="s">
        <v>49</v>
      </c>
      <c r="BS47" s="1" t="s">
        <v>49</v>
      </c>
      <c r="BT47" s="1" t="s">
        <v>574</v>
      </c>
      <c r="BU47" s="1" t="s">
        <v>456</v>
      </c>
      <c r="BV47" s="1" t="s">
        <v>555</v>
      </c>
      <c r="BY47" s="1" t="s">
        <v>558</v>
      </c>
      <c r="BZ47" s="1">
        <v>30</v>
      </c>
      <c r="CJ47" s="1">
        <v>1.97078</v>
      </c>
      <c r="CK47" s="1">
        <v>1.96828</v>
      </c>
      <c r="CL47" s="1">
        <v>1.9732799999999999</v>
      </c>
      <c r="CR47" s="1">
        <v>-68218.225334264294</v>
      </c>
      <c r="CS47" s="1">
        <v>-68418.850000000006</v>
      </c>
      <c r="CT47" s="1">
        <v>-68017.600000000006</v>
      </c>
      <c r="CU47" s="1">
        <v>-2.5266000000000002</v>
      </c>
      <c r="CZ47" s="1">
        <v>-68218.23</v>
      </c>
      <c r="DA47" s="1">
        <v>-68218.23</v>
      </c>
      <c r="DB47" s="1">
        <v>-34073.1</v>
      </c>
      <c r="DC47" s="1">
        <v>-34145.129999999997</v>
      </c>
      <c r="DD47" s="2">
        <v>600.63</v>
      </c>
      <c r="DG47" s="1">
        <v>21.46</v>
      </c>
      <c r="DL47" s="1">
        <v>-2786809.35</v>
      </c>
      <c r="DM47" s="1">
        <v>-2734065.75</v>
      </c>
      <c r="DN47" s="1">
        <v>-52743.6</v>
      </c>
      <c r="DO47" s="1">
        <v>2.548</v>
      </c>
      <c r="DP47" s="1" t="s">
        <v>770</v>
      </c>
      <c r="DQ47" s="1" t="s">
        <v>1133</v>
      </c>
      <c r="DS47" s="1">
        <v>2718591.12</v>
      </c>
      <c r="DT47" s="1">
        <v>2699992.65</v>
      </c>
      <c r="DU47" s="1">
        <v>18598.47</v>
      </c>
      <c r="DV47" s="1">
        <v>2.4962200000000001</v>
      </c>
      <c r="DW47" s="1" t="s">
        <v>770</v>
      </c>
      <c r="DX47" s="1" t="s">
        <v>1406</v>
      </c>
      <c r="DY47" s="1" t="s">
        <v>1134</v>
      </c>
      <c r="DZ47" s="1">
        <v>-74137</v>
      </c>
      <c r="EA47" s="1">
        <v>-62300</v>
      </c>
      <c r="ED47" s="1" t="s">
        <v>50</v>
      </c>
      <c r="EE47" s="1" t="s">
        <v>705</v>
      </c>
      <c r="EF47" s="1" t="s">
        <v>53</v>
      </c>
      <c r="EG47" s="1" t="s">
        <v>705</v>
      </c>
      <c r="EH47" s="1" t="s">
        <v>51</v>
      </c>
      <c r="EJ47" s="1" t="s">
        <v>55</v>
      </c>
      <c r="EL47" s="1" t="s">
        <v>57</v>
      </c>
    </row>
    <row r="48" spans="1:142" x14ac:dyDescent="0.2">
      <c r="A48" s="101">
        <v>40034103001</v>
      </c>
      <c r="B48" s="101">
        <v>40034103</v>
      </c>
      <c r="D48" s="1" t="s">
        <v>43</v>
      </c>
      <c r="E48" s="1" t="s">
        <v>44</v>
      </c>
      <c r="F48" s="1" t="s">
        <v>583</v>
      </c>
      <c r="AI48" s="1" t="s">
        <v>551</v>
      </c>
      <c r="AJ48" s="1" t="s">
        <v>44</v>
      </c>
      <c r="AK48" s="1" t="s">
        <v>584</v>
      </c>
      <c r="AL48" s="1" t="s">
        <v>600</v>
      </c>
      <c r="AR48" s="1" t="s">
        <v>79</v>
      </c>
      <c r="AS48" s="1" t="s">
        <v>71</v>
      </c>
      <c r="AT48" s="1">
        <v>2.536</v>
      </c>
      <c r="AV48" s="1" t="s">
        <v>600</v>
      </c>
      <c r="AW48" s="1" t="s">
        <v>706</v>
      </c>
      <c r="AX48" s="1">
        <v>3100000</v>
      </c>
      <c r="BA48" s="1" t="s">
        <v>69</v>
      </c>
      <c r="BB48" s="1" t="s">
        <v>574</v>
      </c>
      <c r="BC48" s="1" t="s">
        <v>456</v>
      </c>
      <c r="BD48" s="1" t="s">
        <v>555</v>
      </c>
      <c r="BG48" s="1" t="s">
        <v>558</v>
      </c>
      <c r="BH48" s="1">
        <v>0</v>
      </c>
      <c r="BI48" s="1" t="s">
        <v>431</v>
      </c>
      <c r="BJ48" s="1" t="s">
        <v>67</v>
      </c>
      <c r="BK48" s="1" t="s">
        <v>440</v>
      </c>
      <c r="BL48" s="1">
        <v>0</v>
      </c>
      <c r="BM48" s="1" t="s">
        <v>600</v>
      </c>
      <c r="BN48" s="1" t="s">
        <v>706</v>
      </c>
      <c r="BP48" s="1">
        <v>3100000</v>
      </c>
      <c r="BR48" s="1" t="s">
        <v>69</v>
      </c>
      <c r="BS48" s="1" t="s">
        <v>69</v>
      </c>
      <c r="BT48" s="1" t="s">
        <v>574</v>
      </c>
      <c r="BU48" s="1" t="s">
        <v>456</v>
      </c>
      <c r="BV48" s="1" t="s">
        <v>555</v>
      </c>
      <c r="BY48" s="1" t="s">
        <v>558</v>
      </c>
      <c r="BZ48" s="1">
        <v>0</v>
      </c>
      <c r="CJ48" s="1">
        <v>2.0532699999999999</v>
      </c>
      <c r="CK48" s="1">
        <v>2.05077</v>
      </c>
      <c r="CL48" s="1">
        <v>2.0557699999999999</v>
      </c>
      <c r="CR48" s="1">
        <v>-30534.059834048599</v>
      </c>
      <c r="CS48" s="1">
        <v>-30838.07</v>
      </c>
      <c r="CT48" s="1">
        <v>-30230.05</v>
      </c>
      <c r="CU48" s="1">
        <v>-0.98499999999999999</v>
      </c>
      <c r="CZ48" s="1">
        <v>-30534.06</v>
      </c>
      <c r="DA48" s="1">
        <v>-30534.06</v>
      </c>
      <c r="DB48" s="1">
        <v>-46890.5</v>
      </c>
      <c r="DC48" s="1">
        <v>16356.44</v>
      </c>
      <c r="DD48" s="2">
        <v>989.28</v>
      </c>
      <c r="DG48" s="1">
        <v>8.14</v>
      </c>
      <c r="DL48" s="1">
        <v>-3207138.25</v>
      </c>
      <c r="DM48" s="1">
        <v>-3146865.98</v>
      </c>
      <c r="DN48" s="1">
        <v>-60272.27</v>
      </c>
      <c r="DO48" s="1">
        <v>2.536</v>
      </c>
      <c r="DP48" s="1" t="s">
        <v>770</v>
      </c>
      <c r="DQ48" s="1" t="s">
        <v>1133</v>
      </c>
      <c r="DS48" s="1">
        <v>3176604.19</v>
      </c>
      <c r="DT48" s="1">
        <v>3099975.48</v>
      </c>
      <c r="DU48" s="1">
        <v>76628.710000000006</v>
      </c>
      <c r="DV48" s="1">
        <v>2.9969100000000002</v>
      </c>
      <c r="DW48" s="1" t="s">
        <v>770</v>
      </c>
      <c r="DX48" s="1" t="s">
        <v>1133</v>
      </c>
      <c r="DY48" s="1" t="s">
        <v>1134</v>
      </c>
      <c r="DZ48" s="1">
        <v>-40690</v>
      </c>
      <c r="EA48" s="1">
        <v>-20378</v>
      </c>
      <c r="ED48" s="1" t="s">
        <v>50</v>
      </c>
      <c r="EE48" s="1" t="s">
        <v>707</v>
      </c>
      <c r="EF48" s="1" t="s">
        <v>53</v>
      </c>
      <c r="EG48" s="1" t="s">
        <v>707</v>
      </c>
      <c r="EH48" s="1" t="s">
        <v>51</v>
      </c>
      <c r="EJ48" s="1" t="s">
        <v>55</v>
      </c>
      <c r="EL48" s="1" t="s">
        <v>57</v>
      </c>
    </row>
    <row r="49" spans="1:142" x14ac:dyDescent="0.2">
      <c r="A49" s="101">
        <v>50436745001</v>
      </c>
      <c r="B49" s="101">
        <v>50436745</v>
      </c>
      <c r="D49" s="1" t="s">
        <v>63</v>
      </c>
      <c r="E49" s="1" t="s">
        <v>44</v>
      </c>
      <c r="F49" s="1" t="s">
        <v>583</v>
      </c>
      <c r="AI49" s="1" t="s">
        <v>551</v>
      </c>
      <c r="AJ49" s="1" t="s">
        <v>44</v>
      </c>
      <c r="AK49" s="1" t="s">
        <v>584</v>
      </c>
      <c r="AL49" s="1" t="s">
        <v>696</v>
      </c>
      <c r="AR49" s="1" t="s">
        <v>79</v>
      </c>
      <c r="AS49" s="1" t="s">
        <v>71</v>
      </c>
      <c r="AT49" s="1">
        <v>2.8879999999999999</v>
      </c>
      <c r="AV49" s="1" t="s">
        <v>696</v>
      </c>
      <c r="AW49" s="1" t="s">
        <v>704</v>
      </c>
      <c r="AX49" s="1">
        <v>1700000</v>
      </c>
      <c r="BA49" s="1" t="s">
        <v>49</v>
      </c>
      <c r="BB49" s="1" t="s">
        <v>574</v>
      </c>
      <c r="BC49" s="1" t="s">
        <v>456</v>
      </c>
      <c r="BD49" s="1" t="s">
        <v>555</v>
      </c>
      <c r="BG49" s="1" t="s">
        <v>558</v>
      </c>
      <c r="BH49" s="1">
        <v>30</v>
      </c>
      <c r="BI49" s="1" t="s">
        <v>431</v>
      </c>
      <c r="BJ49" s="1" t="s">
        <v>67</v>
      </c>
      <c r="BK49" s="1" t="s">
        <v>440</v>
      </c>
      <c r="BL49" s="1">
        <v>0</v>
      </c>
      <c r="BM49" s="1" t="s">
        <v>696</v>
      </c>
      <c r="BN49" s="1" t="s">
        <v>704</v>
      </c>
      <c r="BP49" s="1">
        <v>1700000</v>
      </c>
      <c r="BR49" s="1" t="s">
        <v>49</v>
      </c>
      <c r="BS49" s="1" t="s">
        <v>49</v>
      </c>
      <c r="BT49" s="1" t="s">
        <v>574</v>
      </c>
      <c r="BU49" s="1" t="s">
        <v>456</v>
      </c>
      <c r="BV49" s="1" t="s">
        <v>555</v>
      </c>
      <c r="BY49" s="1" t="s">
        <v>558</v>
      </c>
      <c r="BZ49" s="1">
        <v>30</v>
      </c>
      <c r="CJ49" s="1">
        <v>1.9622599999999999</v>
      </c>
      <c r="CK49" s="1">
        <v>1.9597599999999999</v>
      </c>
      <c r="CL49" s="1">
        <v>1.9647600000000001</v>
      </c>
      <c r="CR49" s="1">
        <v>-35516.172041988902</v>
      </c>
      <c r="CS49" s="1">
        <v>-35621.18</v>
      </c>
      <c r="CT49" s="1">
        <v>-35411.160000000003</v>
      </c>
      <c r="CU49" s="1">
        <v>-2.0891999999999999</v>
      </c>
      <c r="CZ49" s="1">
        <v>-35516.17</v>
      </c>
      <c r="DA49" s="1">
        <v>-35516.17</v>
      </c>
      <c r="DB49" s="1">
        <v>-34815.94</v>
      </c>
      <c r="DC49" s="1">
        <v>-700.23</v>
      </c>
      <c r="DD49" s="2">
        <v>377.34</v>
      </c>
      <c r="DG49" s="1">
        <v>14.05</v>
      </c>
      <c r="DL49" s="1">
        <v>-1747221.69</v>
      </c>
      <c r="DM49" s="1">
        <v>-1734811.32</v>
      </c>
      <c r="DN49" s="1">
        <v>-12410.38</v>
      </c>
      <c r="DO49" s="1">
        <v>2.8879999999999999</v>
      </c>
      <c r="DP49" s="1" t="s">
        <v>770</v>
      </c>
      <c r="DQ49" s="1" t="s">
        <v>1406</v>
      </c>
      <c r="DS49" s="1">
        <v>1711705.52</v>
      </c>
      <c r="DT49" s="1">
        <v>1699995.37</v>
      </c>
      <c r="DU49" s="1">
        <v>11710.15</v>
      </c>
      <c r="DV49" s="1">
        <v>2.4962200000000001</v>
      </c>
      <c r="DW49" s="1" t="s">
        <v>770</v>
      </c>
      <c r="DX49" s="1" t="s">
        <v>1406</v>
      </c>
      <c r="DY49" s="1" t="s">
        <v>1134</v>
      </c>
      <c r="DZ49" s="1">
        <v>-39218</v>
      </c>
      <c r="EA49" s="1">
        <v>-31814</v>
      </c>
      <c r="ED49" s="1" t="s">
        <v>50</v>
      </c>
      <c r="EE49" s="1" t="s">
        <v>735</v>
      </c>
      <c r="EF49" s="1" t="s">
        <v>53</v>
      </c>
      <c r="EG49" s="1" t="s">
        <v>735</v>
      </c>
      <c r="EH49" s="1" t="s">
        <v>51</v>
      </c>
      <c r="EJ49" s="1" t="s">
        <v>55</v>
      </c>
      <c r="EL49" s="1" t="s">
        <v>57</v>
      </c>
    </row>
    <row r="50" spans="1:142" x14ac:dyDescent="0.2">
      <c r="A50" s="101">
        <v>50436748001</v>
      </c>
      <c r="B50" s="101">
        <v>50436748</v>
      </c>
      <c r="D50" s="1" t="s">
        <v>77</v>
      </c>
      <c r="E50" s="1" t="s">
        <v>44</v>
      </c>
      <c r="F50" s="1" t="s">
        <v>583</v>
      </c>
      <c r="AI50" s="1" t="s">
        <v>551</v>
      </c>
      <c r="AJ50" s="1" t="s">
        <v>44</v>
      </c>
      <c r="AK50" s="1" t="s">
        <v>584</v>
      </c>
      <c r="AL50" s="1" t="s">
        <v>696</v>
      </c>
      <c r="AR50" s="1" t="s">
        <v>79</v>
      </c>
      <c r="AS50" s="1" t="s">
        <v>71</v>
      </c>
      <c r="AT50" s="1">
        <v>3.0030000000000001</v>
      </c>
      <c r="AV50" s="1" t="s">
        <v>696</v>
      </c>
      <c r="AW50" s="1" t="s">
        <v>701</v>
      </c>
      <c r="AX50" s="1">
        <v>1200000</v>
      </c>
      <c r="BA50" s="1" t="s">
        <v>49</v>
      </c>
      <c r="BB50" s="1" t="s">
        <v>574</v>
      </c>
      <c r="BC50" s="1" t="s">
        <v>456</v>
      </c>
      <c r="BD50" s="1" t="s">
        <v>555</v>
      </c>
      <c r="BG50" s="1" t="s">
        <v>558</v>
      </c>
      <c r="BH50" s="1">
        <v>30</v>
      </c>
      <c r="BI50" s="1" t="s">
        <v>431</v>
      </c>
      <c r="BJ50" s="1" t="s">
        <v>67</v>
      </c>
      <c r="BK50" s="1" t="s">
        <v>440</v>
      </c>
      <c r="BL50" s="1">
        <v>0</v>
      </c>
      <c r="BM50" s="1" t="s">
        <v>696</v>
      </c>
      <c r="BN50" s="1" t="s">
        <v>701</v>
      </c>
      <c r="BP50" s="1">
        <v>1200000</v>
      </c>
      <c r="BR50" s="1" t="s">
        <v>49</v>
      </c>
      <c r="BS50" s="1" t="s">
        <v>49</v>
      </c>
      <c r="BT50" s="1" t="s">
        <v>574</v>
      </c>
      <c r="BU50" s="1" t="s">
        <v>456</v>
      </c>
      <c r="BV50" s="1" t="s">
        <v>555</v>
      </c>
      <c r="BY50" s="1" t="s">
        <v>558</v>
      </c>
      <c r="BZ50" s="1">
        <v>30</v>
      </c>
      <c r="CJ50" s="1">
        <v>1.9662200000000001</v>
      </c>
      <c r="CK50" s="1">
        <v>1.9637199999999999</v>
      </c>
      <c r="CL50" s="1">
        <v>1.96872</v>
      </c>
      <c r="CR50" s="1">
        <v>-16249.355323797599</v>
      </c>
      <c r="CS50" s="1">
        <v>-16294.24</v>
      </c>
      <c r="CT50" s="1">
        <v>-16204.47</v>
      </c>
      <c r="CU50" s="1">
        <v>-1.3541000000000001</v>
      </c>
      <c r="CZ50" s="1">
        <v>-16249.36</v>
      </c>
      <c r="DA50" s="1">
        <v>-16249.36</v>
      </c>
      <c r="DB50" s="1">
        <v>-15406.24</v>
      </c>
      <c r="DC50" s="1">
        <v>-843.11</v>
      </c>
      <c r="DD50" s="2">
        <v>149.44</v>
      </c>
      <c r="DG50" s="1">
        <v>18.43</v>
      </c>
      <c r="DL50" s="1">
        <v>-1224513.3600000001</v>
      </c>
      <c r="DM50" s="1">
        <v>-1215404.26</v>
      </c>
      <c r="DN50" s="1">
        <v>-9109.1</v>
      </c>
      <c r="DO50" s="1">
        <v>3.0030000000000001</v>
      </c>
      <c r="DP50" s="1" t="s">
        <v>770</v>
      </c>
      <c r="DQ50" s="1" t="s">
        <v>1406</v>
      </c>
      <c r="DS50" s="1">
        <v>1208264.01</v>
      </c>
      <c r="DT50" s="1">
        <v>1199998.02</v>
      </c>
      <c r="DU50" s="1">
        <v>8265.99</v>
      </c>
      <c r="DV50" s="1">
        <v>2.4962200000000001</v>
      </c>
      <c r="DW50" s="1" t="s">
        <v>770</v>
      </c>
      <c r="DX50" s="1" t="s">
        <v>1406</v>
      </c>
      <c r="DY50" s="1" t="s">
        <v>1134</v>
      </c>
      <c r="DZ50" s="1">
        <v>-17719</v>
      </c>
      <c r="EA50" s="1">
        <v>-14780</v>
      </c>
      <c r="ED50" s="1" t="s">
        <v>50</v>
      </c>
      <c r="EE50" s="1" t="s">
        <v>736</v>
      </c>
      <c r="EF50" s="1" t="s">
        <v>53</v>
      </c>
      <c r="EG50" s="1" t="s">
        <v>736</v>
      </c>
      <c r="EH50" s="1" t="s">
        <v>51</v>
      </c>
      <c r="EJ50" s="1" t="s">
        <v>55</v>
      </c>
      <c r="EL50" s="1" t="s">
        <v>57</v>
      </c>
    </row>
    <row r="51" spans="1:142" x14ac:dyDescent="0.2">
      <c r="A51" s="101">
        <v>50534008001</v>
      </c>
      <c r="B51" s="101">
        <v>50534008</v>
      </c>
      <c r="D51" s="1" t="s">
        <v>77</v>
      </c>
      <c r="E51" s="1" t="s">
        <v>44</v>
      </c>
      <c r="F51" s="1" t="s">
        <v>583</v>
      </c>
      <c r="AI51" s="1" t="s">
        <v>551</v>
      </c>
      <c r="AJ51" s="1" t="s">
        <v>44</v>
      </c>
      <c r="AK51" s="1" t="s">
        <v>584</v>
      </c>
      <c r="AL51" s="1" t="s">
        <v>597</v>
      </c>
      <c r="AR51" s="1" t="s">
        <v>79</v>
      </c>
      <c r="AS51" s="1" t="s">
        <v>71</v>
      </c>
      <c r="AT51" s="1">
        <v>3.1850000000000001</v>
      </c>
      <c r="AV51" s="1" t="s">
        <v>597</v>
      </c>
      <c r="AW51" s="1" t="s">
        <v>706</v>
      </c>
      <c r="AX51" s="1">
        <v>6200000</v>
      </c>
      <c r="BA51" s="1" t="s">
        <v>69</v>
      </c>
      <c r="BB51" s="1" t="s">
        <v>574</v>
      </c>
      <c r="BC51" s="1" t="s">
        <v>456</v>
      </c>
      <c r="BD51" s="1" t="s">
        <v>555</v>
      </c>
      <c r="BG51" s="1" t="s">
        <v>558</v>
      </c>
      <c r="BH51" s="1">
        <v>30</v>
      </c>
      <c r="BI51" s="1" t="s">
        <v>431</v>
      </c>
      <c r="BJ51" s="1" t="s">
        <v>67</v>
      </c>
      <c r="BK51" s="1" t="s">
        <v>440</v>
      </c>
      <c r="BL51" s="1">
        <v>0</v>
      </c>
      <c r="BM51" s="1" t="s">
        <v>597</v>
      </c>
      <c r="BN51" s="1" t="s">
        <v>706</v>
      </c>
      <c r="BP51" s="1">
        <v>6200000</v>
      </c>
      <c r="BR51" s="1" t="s">
        <v>49</v>
      </c>
      <c r="BS51" s="1" t="s">
        <v>49</v>
      </c>
      <c r="BT51" s="1" t="s">
        <v>574</v>
      </c>
      <c r="BU51" s="1" t="s">
        <v>456</v>
      </c>
      <c r="BV51" s="1" t="s">
        <v>555</v>
      </c>
      <c r="BY51" s="1" t="s">
        <v>558</v>
      </c>
      <c r="BZ51" s="1">
        <v>30</v>
      </c>
      <c r="CJ51" s="1">
        <v>2.0533100000000002</v>
      </c>
      <c r="CK51" s="1">
        <v>2.0508099999999998</v>
      </c>
      <c r="CL51" s="1">
        <v>2.0558100000000001</v>
      </c>
      <c r="CR51" s="1">
        <v>-329445.92181355599</v>
      </c>
      <c r="CS51" s="1">
        <v>-330053.95</v>
      </c>
      <c r="CT51" s="1">
        <v>-328837.90000000002</v>
      </c>
      <c r="CU51" s="1">
        <v>-5.3136000000000001</v>
      </c>
      <c r="CZ51" s="1">
        <v>-329445.92</v>
      </c>
      <c r="DA51" s="1">
        <v>-329445.92</v>
      </c>
      <c r="DB51" s="1">
        <v>-220759.86</v>
      </c>
      <c r="DC51" s="1">
        <v>-108686.07</v>
      </c>
      <c r="DD51" s="2">
        <v>2005.82</v>
      </c>
      <c r="DG51" s="1">
        <v>-0.24</v>
      </c>
      <c r="DL51" s="1">
        <v>-6572119.5499999998</v>
      </c>
      <c r="DM51" s="1">
        <v>-6420725.8799999999</v>
      </c>
      <c r="DN51" s="1">
        <v>-151393.67000000001</v>
      </c>
      <c r="DO51" s="1">
        <v>3.1850000000000001</v>
      </c>
      <c r="DP51" s="1" t="s">
        <v>770</v>
      </c>
      <c r="DQ51" s="1" t="s">
        <v>1133</v>
      </c>
      <c r="DS51" s="1">
        <v>6242673.6299999999</v>
      </c>
      <c r="DT51" s="1">
        <v>6199966.0300000003</v>
      </c>
      <c r="DU51" s="1">
        <v>42707.6</v>
      </c>
      <c r="DV51" s="1">
        <v>2.4962200000000001</v>
      </c>
      <c r="DW51" s="1" t="s">
        <v>770</v>
      </c>
      <c r="DX51" s="1" t="s">
        <v>1406</v>
      </c>
      <c r="DY51" s="1" t="s">
        <v>1134</v>
      </c>
      <c r="DZ51" s="1">
        <v>-350039</v>
      </c>
      <c r="EA51" s="1">
        <v>-308853</v>
      </c>
      <c r="ED51" s="1" t="s">
        <v>50</v>
      </c>
      <c r="EE51" s="1" t="s">
        <v>732</v>
      </c>
      <c r="EF51" s="1" t="s">
        <v>53</v>
      </c>
      <c r="EG51" s="1" t="s">
        <v>732</v>
      </c>
      <c r="EH51" s="1" t="s">
        <v>51</v>
      </c>
      <c r="EJ51" s="1" t="s">
        <v>55</v>
      </c>
      <c r="EL51" s="1" t="s">
        <v>57</v>
      </c>
    </row>
    <row r="52" spans="1:142" x14ac:dyDescent="0.2">
      <c r="A52" s="101">
        <v>52596234001</v>
      </c>
      <c r="B52" s="101">
        <v>52596234</v>
      </c>
      <c r="D52" s="1" t="s">
        <v>63</v>
      </c>
      <c r="E52" s="1" t="s">
        <v>44</v>
      </c>
      <c r="F52" s="1" t="s">
        <v>583</v>
      </c>
      <c r="AI52" s="1" t="s">
        <v>551</v>
      </c>
      <c r="AJ52" s="1" t="s">
        <v>44</v>
      </c>
      <c r="AK52" s="1" t="s">
        <v>584</v>
      </c>
      <c r="AL52" s="1" t="s">
        <v>731</v>
      </c>
      <c r="AR52" s="1" t="s">
        <v>79</v>
      </c>
      <c r="AS52" s="1" t="s">
        <v>71</v>
      </c>
      <c r="AT52" s="1">
        <v>0.91249999999999998</v>
      </c>
      <c r="AV52" s="1" t="s">
        <v>750</v>
      </c>
      <c r="AW52" s="1" t="s">
        <v>668</v>
      </c>
      <c r="AX52" s="1">
        <v>100000000</v>
      </c>
      <c r="BA52" s="1" t="s">
        <v>69</v>
      </c>
      <c r="BB52" s="1" t="s">
        <v>574</v>
      </c>
      <c r="BC52" s="1" t="s">
        <v>456</v>
      </c>
      <c r="BD52" s="1" t="s">
        <v>555</v>
      </c>
      <c r="BG52" s="1" t="s">
        <v>558</v>
      </c>
      <c r="BH52" s="1">
        <v>6</v>
      </c>
      <c r="BI52" s="1" t="s">
        <v>431</v>
      </c>
      <c r="BJ52" s="1" t="s">
        <v>67</v>
      </c>
      <c r="BK52" s="1" t="s">
        <v>440</v>
      </c>
      <c r="BL52" s="1">
        <v>0</v>
      </c>
      <c r="BM52" s="1" t="s">
        <v>750</v>
      </c>
      <c r="BN52" s="1" t="s">
        <v>668</v>
      </c>
      <c r="BP52" s="1">
        <v>100000000</v>
      </c>
      <c r="BR52" s="1" t="s">
        <v>69</v>
      </c>
      <c r="BS52" s="1" t="s">
        <v>69</v>
      </c>
      <c r="BT52" s="1" t="s">
        <v>574</v>
      </c>
      <c r="BU52" s="1" t="s">
        <v>456</v>
      </c>
      <c r="BV52" s="1" t="s">
        <v>555</v>
      </c>
      <c r="BY52" s="1" t="s">
        <v>558</v>
      </c>
      <c r="BZ52" s="1">
        <v>6</v>
      </c>
      <c r="CJ52" s="1">
        <v>2.35046</v>
      </c>
      <c r="CK52" s="1">
        <v>2.34796</v>
      </c>
      <c r="CL52" s="1">
        <v>2.3529599999999999</v>
      </c>
      <c r="CR52" s="1">
        <v>2363497.8383657499</v>
      </c>
      <c r="CS52" s="1">
        <v>2360969.23</v>
      </c>
      <c r="CT52" s="1">
        <v>2366026.4500000002</v>
      </c>
      <c r="CU52" s="1">
        <v>2.3635000000000002</v>
      </c>
      <c r="CZ52" s="1">
        <v>2363497.84</v>
      </c>
      <c r="DA52" s="1">
        <v>2363497.84</v>
      </c>
      <c r="DB52" s="1">
        <v>145665.42000000001</v>
      </c>
      <c r="DC52" s="1">
        <v>2217832.42</v>
      </c>
      <c r="DD52" s="2">
        <v>975.43</v>
      </c>
      <c r="DG52" s="1">
        <v>647.51</v>
      </c>
      <c r="DL52" s="1">
        <v>-100688057.06999999</v>
      </c>
      <c r="DM52" s="1">
        <v>-99854133.459999993</v>
      </c>
      <c r="DN52" s="1">
        <v>-833923.61</v>
      </c>
      <c r="DO52" s="1">
        <v>0.91249999999999998</v>
      </c>
      <c r="DP52" s="1" t="s">
        <v>743</v>
      </c>
      <c r="DQ52" s="1" t="s">
        <v>743</v>
      </c>
      <c r="DS52" s="1">
        <v>103051554.91</v>
      </c>
      <c r="DT52" s="1">
        <v>99999798.890000001</v>
      </c>
      <c r="DU52" s="1">
        <v>3051756.03</v>
      </c>
      <c r="DV52" s="1">
        <v>3.24926</v>
      </c>
      <c r="DW52" s="1" t="s">
        <v>743</v>
      </c>
      <c r="DX52" s="1" t="s">
        <v>743</v>
      </c>
      <c r="DY52" s="1" t="s">
        <v>744</v>
      </c>
      <c r="DZ52" s="1">
        <v>2352034</v>
      </c>
      <c r="EA52" s="1">
        <v>2374961</v>
      </c>
      <c r="ED52" s="1" t="s">
        <v>50</v>
      </c>
      <c r="EE52" s="1" t="s">
        <v>751</v>
      </c>
      <c r="EF52" s="1" t="s">
        <v>53</v>
      </c>
      <c r="EG52" s="1" t="s">
        <v>751</v>
      </c>
      <c r="EH52" s="1" t="s">
        <v>51</v>
      </c>
      <c r="EJ52" s="1" t="s">
        <v>55</v>
      </c>
      <c r="EL52" s="1" t="s">
        <v>57</v>
      </c>
    </row>
    <row r="53" spans="1:142" x14ac:dyDescent="0.2">
      <c r="A53" s="101">
        <v>58938743001</v>
      </c>
      <c r="B53" s="101">
        <v>58938743</v>
      </c>
      <c r="D53" s="1" t="s">
        <v>80</v>
      </c>
      <c r="E53" s="1" t="s">
        <v>44</v>
      </c>
      <c r="F53" s="1" t="s">
        <v>561</v>
      </c>
      <c r="U53" s="1">
        <v>114109961.1814</v>
      </c>
      <c r="AI53" s="1" t="s">
        <v>551</v>
      </c>
      <c r="AJ53" s="1" t="s">
        <v>44</v>
      </c>
      <c r="AK53" s="1" t="s">
        <v>581</v>
      </c>
      <c r="AL53" s="1" t="s">
        <v>697</v>
      </c>
      <c r="AR53" s="1" t="s">
        <v>66</v>
      </c>
      <c r="AS53" s="1" t="s">
        <v>71</v>
      </c>
      <c r="AT53" s="1">
        <v>2.6749999999999998</v>
      </c>
      <c r="AV53" s="1" t="s">
        <v>258</v>
      </c>
      <c r="AW53" s="1" t="s">
        <v>819</v>
      </c>
      <c r="AX53" s="1">
        <v>100000000</v>
      </c>
      <c r="BA53" s="1" t="s">
        <v>69</v>
      </c>
      <c r="BB53" s="1" t="s">
        <v>557</v>
      </c>
      <c r="BD53" s="1" t="s">
        <v>555</v>
      </c>
      <c r="BG53" s="1" t="s">
        <v>558</v>
      </c>
      <c r="BH53" s="1">
        <v>15</v>
      </c>
      <c r="BI53" s="1" t="s">
        <v>70</v>
      </c>
      <c r="BJ53" s="1" t="s">
        <v>67</v>
      </c>
      <c r="BK53" s="1" t="s">
        <v>76</v>
      </c>
      <c r="BM53" s="1" t="s">
        <v>258</v>
      </c>
      <c r="BN53" s="1" t="s">
        <v>819</v>
      </c>
      <c r="BP53" s="1">
        <v>100000000</v>
      </c>
      <c r="BT53" s="1" t="s">
        <v>557</v>
      </c>
      <c r="BV53" s="1" t="s">
        <v>555</v>
      </c>
      <c r="BY53" s="1" t="s">
        <v>558</v>
      </c>
      <c r="BZ53" s="1">
        <v>15</v>
      </c>
      <c r="CJ53" s="1">
        <v>1.98177</v>
      </c>
      <c r="CK53" s="1">
        <v>1.9792700000000001</v>
      </c>
      <c r="CL53" s="1">
        <v>1.98427</v>
      </c>
      <c r="CR53" s="1">
        <v>-3536009.5962907802</v>
      </c>
      <c r="CU53" s="1">
        <v>-3.536</v>
      </c>
      <c r="CZ53" s="1">
        <v>-3536009.6</v>
      </c>
      <c r="DA53" s="1">
        <v>-3536009.6</v>
      </c>
      <c r="DB53" s="1">
        <v>-2128292.15</v>
      </c>
      <c r="DC53" s="1">
        <v>-1407717.44</v>
      </c>
      <c r="DD53" s="2">
        <v>1217.78</v>
      </c>
      <c r="DG53" s="1">
        <v>-6958.92</v>
      </c>
      <c r="DL53" s="1">
        <v>-106168618.44</v>
      </c>
      <c r="DM53" s="1">
        <v>-102007266.04000001</v>
      </c>
      <c r="DN53" s="1">
        <v>-4161352.4</v>
      </c>
      <c r="DO53" s="1">
        <v>2.6749999999999998</v>
      </c>
      <c r="DP53" s="1" t="s">
        <v>819</v>
      </c>
      <c r="DQ53" s="1" t="s">
        <v>819</v>
      </c>
      <c r="DS53" s="1">
        <v>102632608.84</v>
      </c>
      <c r="DT53" s="1">
        <v>99878973.879999995</v>
      </c>
      <c r="DU53" s="1">
        <v>2753634.96</v>
      </c>
      <c r="DV53" s="1">
        <v>1.98177</v>
      </c>
      <c r="DW53" s="1" t="s">
        <v>819</v>
      </c>
      <c r="DX53" s="1" t="s">
        <v>819</v>
      </c>
      <c r="DZ53" s="1">
        <v>-3548076</v>
      </c>
      <c r="EA53" s="1">
        <v>-3523943</v>
      </c>
      <c r="ED53" s="1" t="s">
        <v>50</v>
      </c>
      <c r="EE53" s="1" t="s">
        <v>820</v>
      </c>
      <c r="EF53" s="1" t="s">
        <v>53</v>
      </c>
      <c r="EG53" s="1" t="s">
        <v>820</v>
      </c>
      <c r="EH53" s="1" t="s">
        <v>51</v>
      </c>
      <c r="EJ53" s="1" t="s">
        <v>55</v>
      </c>
      <c r="EL53" s="1" t="s">
        <v>57</v>
      </c>
    </row>
    <row r="54" spans="1:142" x14ac:dyDescent="0.2">
      <c r="A54" s="101">
        <v>59063598001</v>
      </c>
      <c r="B54" s="101">
        <v>59063598</v>
      </c>
      <c r="D54" s="1" t="s">
        <v>220</v>
      </c>
      <c r="E54" s="1" t="s">
        <v>44</v>
      </c>
      <c r="F54" s="1" t="s">
        <v>561</v>
      </c>
      <c r="U54" s="1">
        <v>114037385.001532</v>
      </c>
      <c r="AI54" s="1" t="s">
        <v>551</v>
      </c>
      <c r="AJ54" s="1" t="s">
        <v>44</v>
      </c>
      <c r="AK54" s="1" t="s">
        <v>581</v>
      </c>
      <c r="AL54" s="1" t="s">
        <v>729</v>
      </c>
      <c r="AR54" s="1" t="s">
        <v>66</v>
      </c>
      <c r="AS54" s="1" t="s">
        <v>71</v>
      </c>
      <c r="AT54" s="1">
        <v>2.6615000000000002</v>
      </c>
      <c r="AV54" s="1" t="s">
        <v>258</v>
      </c>
      <c r="AW54" s="1" t="s">
        <v>819</v>
      </c>
      <c r="AX54" s="1">
        <v>100000000</v>
      </c>
      <c r="BA54" s="1" t="s">
        <v>69</v>
      </c>
      <c r="BB54" s="1" t="s">
        <v>560</v>
      </c>
      <c r="BD54" s="1" t="s">
        <v>555</v>
      </c>
      <c r="BG54" s="1" t="s">
        <v>558</v>
      </c>
      <c r="BH54" s="1">
        <v>15</v>
      </c>
      <c r="BI54" s="1" t="s">
        <v>70</v>
      </c>
      <c r="BJ54" s="1" t="s">
        <v>67</v>
      </c>
      <c r="BK54" s="1" t="s">
        <v>76</v>
      </c>
      <c r="BM54" s="1" t="s">
        <v>258</v>
      </c>
      <c r="BN54" s="1" t="s">
        <v>819</v>
      </c>
      <c r="BP54" s="1">
        <v>33000000</v>
      </c>
      <c r="BT54" s="1" t="s">
        <v>557</v>
      </c>
      <c r="BV54" s="1" t="s">
        <v>555</v>
      </c>
      <c r="BY54" s="1" t="s">
        <v>558</v>
      </c>
      <c r="BZ54" s="1">
        <v>15</v>
      </c>
      <c r="CJ54" s="1">
        <v>1.9814499999999999</v>
      </c>
      <c r="CK54" s="1">
        <v>1.97895</v>
      </c>
      <c r="CL54" s="1">
        <v>1.9839500000000001</v>
      </c>
      <c r="CR54" s="1">
        <v>-3468484.26661296</v>
      </c>
      <c r="CU54" s="1">
        <v>-3.4685000000000001</v>
      </c>
      <c r="CZ54" s="1">
        <v>-3468484.27</v>
      </c>
      <c r="DA54" s="1">
        <v>-3468484.27</v>
      </c>
      <c r="DB54" s="1">
        <v>-2094824.09</v>
      </c>
      <c r="DC54" s="1">
        <v>-1373660.18</v>
      </c>
      <c r="DD54" s="2">
        <v>1194.52</v>
      </c>
      <c r="DG54" s="1">
        <v>-6954.49</v>
      </c>
      <c r="DL54" s="1">
        <v>-106101093.11</v>
      </c>
      <c r="DM54" s="1">
        <v>-101973797.97</v>
      </c>
      <c r="DN54" s="1">
        <v>-4127295.14</v>
      </c>
      <c r="DO54" s="1">
        <v>2.6615000000000002</v>
      </c>
      <c r="DP54" s="1" t="s">
        <v>819</v>
      </c>
      <c r="DQ54" s="1" t="s">
        <v>819</v>
      </c>
      <c r="DS54" s="1">
        <v>102632608.84</v>
      </c>
      <c r="DT54" s="1">
        <v>99878973.879999995</v>
      </c>
      <c r="DU54" s="1">
        <v>2753634.96</v>
      </c>
      <c r="DV54" s="1">
        <v>1.98177</v>
      </c>
      <c r="DW54" s="1" t="s">
        <v>819</v>
      </c>
      <c r="DX54" s="1" t="s">
        <v>819</v>
      </c>
      <c r="DZ54" s="1">
        <v>-3480319</v>
      </c>
      <c r="EA54" s="1">
        <v>-3456650</v>
      </c>
      <c r="ED54" s="1" t="s">
        <v>50</v>
      </c>
      <c r="EE54" s="1" t="s">
        <v>822</v>
      </c>
      <c r="EF54" s="1" t="s">
        <v>53</v>
      </c>
      <c r="EG54" s="1" t="s">
        <v>822</v>
      </c>
      <c r="EH54" s="1" t="s">
        <v>51</v>
      </c>
      <c r="EJ54" s="1" t="s">
        <v>55</v>
      </c>
      <c r="EL54" s="1" t="s">
        <v>57</v>
      </c>
    </row>
    <row r="55" spans="1:142" x14ac:dyDescent="0.2">
      <c r="A55" s="101">
        <v>59063605001</v>
      </c>
      <c r="B55" s="101">
        <v>59063605</v>
      </c>
      <c r="D55" s="1" t="s">
        <v>220</v>
      </c>
      <c r="E55" s="1" t="s">
        <v>46</v>
      </c>
      <c r="F55" s="1" t="s">
        <v>561</v>
      </c>
      <c r="U55" s="1">
        <v>37537243.529179297</v>
      </c>
      <c r="AI55" s="1" t="s">
        <v>551</v>
      </c>
      <c r="AJ55" s="1" t="s">
        <v>46</v>
      </c>
      <c r="AK55" s="1" t="s">
        <v>581</v>
      </c>
      <c r="AL55" s="1" t="s">
        <v>729</v>
      </c>
      <c r="AR55" s="1" t="s">
        <v>66</v>
      </c>
      <c r="AS55" s="1" t="s">
        <v>67</v>
      </c>
      <c r="AT55" s="1">
        <v>2.61</v>
      </c>
      <c r="AV55" s="1" t="s">
        <v>258</v>
      </c>
      <c r="AW55" s="1" t="s">
        <v>819</v>
      </c>
      <c r="AX55" s="1">
        <v>33000000</v>
      </c>
      <c r="BA55" s="1" t="s">
        <v>69</v>
      </c>
      <c r="BB55" s="1" t="s">
        <v>557</v>
      </c>
      <c r="BD55" s="1" t="s">
        <v>555</v>
      </c>
      <c r="BG55" s="1" t="s">
        <v>558</v>
      </c>
      <c r="BH55" s="1">
        <v>15</v>
      </c>
      <c r="BI55" s="1" t="s">
        <v>70</v>
      </c>
      <c r="BJ55" s="1" t="s">
        <v>71</v>
      </c>
      <c r="BK55" s="1" t="s">
        <v>452</v>
      </c>
      <c r="BM55" s="1" t="s">
        <v>258</v>
      </c>
      <c r="BN55" s="1" t="s">
        <v>819</v>
      </c>
      <c r="BP55" s="1">
        <v>33000000</v>
      </c>
      <c r="BT55" s="1" t="s">
        <v>557</v>
      </c>
      <c r="BV55" s="1" t="s">
        <v>555</v>
      </c>
      <c r="BY55" s="1" t="s">
        <v>558</v>
      </c>
      <c r="BZ55" s="1">
        <v>15</v>
      </c>
      <c r="CJ55" s="1">
        <v>2.8186800000000001</v>
      </c>
      <c r="CK55" s="1">
        <v>2.8161800000000001</v>
      </c>
      <c r="CL55" s="1">
        <v>2.82118</v>
      </c>
      <c r="CR55" s="1">
        <v>-337951.80060442898</v>
      </c>
      <c r="CU55" s="1">
        <v>-1.0241</v>
      </c>
      <c r="CZ55" s="1">
        <v>-337951.8</v>
      </c>
      <c r="DA55" s="1">
        <v>-337951.8</v>
      </c>
      <c r="DB55" s="1">
        <v>-318914.33</v>
      </c>
      <c r="DC55" s="1">
        <v>-19037.47</v>
      </c>
      <c r="DD55" s="2">
        <v>114.39</v>
      </c>
      <c r="DG55" s="1">
        <v>3268.54</v>
      </c>
      <c r="DL55" s="1">
        <v>33099883.649999999</v>
      </c>
      <c r="DM55" s="1">
        <v>31760239.48</v>
      </c>
      <c r="DN55" s="1">
        <v>1339644.18</v>
      </c>
      <c r="DO55" s="1">
        <v>2.61</v>
      </c>
      <c r="DP55" s="1" t="s">
        <v>819</v>
      </c>
      <c r="DQ55" s="1" t="s">
        <v>819</v>
      </c>
      <c r="DS55" s="1">
        <v>-33437835.449999999</v>
      </c>
      <c r="DT55" s="1">
        <v>-32079153.800000001</v>
      </c>
      <c r="DU55" s="1">
        <v>-1358681.65</v>
      </c>
      <c r="DV55" s="1">
        <v>2.8186800000000001</v>
      </c>
      <c r="DW55" s="1" t="s">
        <v>819</v>
      </c>
      <c r="DX55" s="1" t="s">
        <v>819</v>
      </c>
      <c r="DZ55" s="1">
        <v>-339564</v>
      </c>
      <c r="EA55" s="1">
        <v>-336340</v>
      </c>
      <c r="ED55" s="1" t="s">
        <v>50</v>
      </c>
      <c r="EE55" s="1" t="s">
        <v>823</v>
      </c>
      <c r="EF55" s="1" t="s">
        <v>53</v>
      </c>
      <c r="EG55" s="1" t="s">
        <v>823</v>
      </c>
      <c r="EH55" s="1" t="s">
        <v>51</v>
      </c>
      <c r="EJ55" s="1" t="s">
        <v>55</v>
      </c>
      <c r="EL55" s="1" t="s">
        <v>57</v>
      </c>
    </row>
    <row r="56" spans="1:142" x14ac:dyDescent="0.2">
      <c r="A56" s="101">
        <v>61919048001</v>
      </c>
      <c r="B56" s="101">
        <v>61919048</v>
      </c>
      <c r="D56" s="1" t="s">
        <v>220</v>
      </c>
      <c r="E56" s="1" t="s">
        <v>44</v>
      </c>
      <c r="F56" s="1" t="s">
        <v>561</v>
      </c>
      <c r="U56" s="1">
        <v>13591638.8342012</v>
      </c>
      <c r="AI56" s="1" t="s">
        <v>551</v>
      </c>
      <c r="AJ56" s="1" t="s">
        <v>44</v>
      </c>
      <c r="AK56" s="1" t="s">
        <v>581</v>
      </c>
      <c r="AL56" s="1" t="s">
        <v>742</v>
      </c>
      <c r="AR56" s="1" t="s">
        <v>66</v>
      </c>
      <c r="AS56" s="1" t="s">
        <v>71</v>
      </c>
      <c r="AT56" s="1">
        <v>2.2440000000000002</v>
      </c>
      <c r="AV56" s="1" t="s">
        <v>746</v>
      </c>
      <c r="AW56" s="1" t="s">
        <v>857</v>
      </c>
      <c r="AX56" s="1">
        <v>13000000</v>
      </c>
      <c r="BA56" s="1" t="s">
        <v>69</v>
      </c>
      <c r="BB56" s="1" t="s">
        <v>560</v>
      </c>
      <c r="BD56" s="1" t="s">
        <v>555</v>
      </c>
      <c r="BG56" s="1" t="s">
        <v>558</v>
      </c>
      <c r="BH56" s="1">
        <v>17</v>
      </c>
      <c r="BI56" s="1" t="s">
        <v>70</v>
      </c>
      <c r="BJ56" s="1" t="s">
        <v>67</v>
      </c>
      <c r="BK56" s="1" t="s">
        <v>76</v>
      </c>
      <c r="BM56" s="1" t="s">
        <v>746</v>
      </c>
      <c r="BN56" s="1" t="s">
        <v>857</v>
      </c>
      <c r="BP56" s="1">
        <v>13000000</v>
      </c>
      <c r="BT56" s="1" t="s">
        <v>557</v>
      </c>
      <c r="BV56" s="1" t="s">
        <v>555</v>
      </c>
      <c r="BY56" s="1" t="s">
        <v>558</v>
      </c>
      <c r="BZ56" s="1">
        <v>17</v>
      </c>
      <c r="CJ56" s="1">
        <v>2.0445099999999998</v>
      </c>
      <c r="CK56" s="1">
        <v>2.0420099999999999</v>
      </c>
      <c r="CL56" s="1">
        <v>2.0470100000000002</v>
      </c>
      <c r="CR56" s="1">
        <v>-52426.140782674804</v>
      </c>
      <c r="CU56" s="1">
        <v>-0.40329999999999999</v>
      </c>
      <c r="CZ56" s="1">
        <v>-52426.14</v>
      </c>
      <c r="DA56" s="1">
        <v>-52426.14</v>
      </c>
      <c r="DB56" s="1">
        <v>51095.16</v>
      </c>
      <c r="DC56" s="1">
        <v>-103521.3</v>
      </c>
      <c r="DD56" s="2">
        <v>3.32</v>
      </c>
      <c r="DG56" s="1">
        <v>-701.08</v>
      </c>
      <c r="DL56" s="1">
        <v>-13411599.140000001</v>
      </c>
      <c r="DM56" s="1">
        <v>-13009517.279999999</v>
      </c>
      <c r="DN56" s="1">
        <v>-402081.87</v>
      </c>
      <c r="DO56" s="1">
        <v>2.2440000000000002</v>
      </c>
      <c r="DP56" s="1" t="s">
        <v>857</v>
      </c>
      <c r="DQ56" s="1" t="s">
        <v>857</v>
      </c>
      <c r="DS56" s="1">
        <v>13359173</v>
      </c>
      <c r="DT56" s="1">
        <v>13060612.43</v>
      </c>
      <c r="DU56" s="1">
        <v>298560.57</v>
      </c>
      <c r="DV56" s="1">
        <v>2.0444399999999998</v>
      </c>
      <c r="DW56" s="1" t="s">
        <v>857</v>
      </c>
      <c r="DX56" s="1" t="s">
        <v>857</v>
      </c>
      <c r="DZ56" s="1">
        <v>-52460</v>
      </c>
      <c r="EA56" s="1">
        <v>-52392</v>
      </c>
      <c r="ED56" s="1" t="s">
        <v>50</v>
      </c>
      <c r="EE56" s="1" t="s">
        <v>861</v>
      </c>
      <c r="EF56" s="1" t="s">
        <v>53</v>
      </c>
      <c r="EG56" s="1" t="s">
        <v>861</v>
      </c>
      <c r="EH56" s="1" t="s">
        <v>51</v>
      </c>
      <c r="EJ56" s="1" t="s">
        <v>55</v>
      </c>
      <c r="EL56" s="1" t="s">
        <v>57</v>
      </c>
    </row>
    <row r="57" spans="1:142" x14ac:dyDescent="0.2">
      <c r="A57" s="101">
        <v>59126884001</v>
      </c>
      <c r="B57" s="101">
        <v>59126884</v>
      </c>
      <c r="D57" s="1" t="s">
        <v>824</v>
      </c>
      <c r="E57" s="1" t="s">
        <v>46</v>
      </c>
      <c r="F57" s="1" t="s">
        <v>561</v>
      </c>
      <c r="U57" s="1">
        <v>26142471.3640747</v>
      </c>
      <c r="AI57" s="1" t="s">
        <v>551</v>
      </c>
      <c r="AJ57" s="1" t="s">
        <v>46</v>
      </c>
      <c r="AK57" s="1" t="s">
        <v>581</v>
      </c>
      <c r="AL57" s="1" t="s">
        <v>258</v>
      </c>
      <c r="AR57" s="1" t="s">
        <v>66</v>
      </c>
      <c r="AS57" s="1" t="s">
        <v>67</v>
      </c>
      <c r="AT57" s="1">
        <v>2.5939999999999999</v>
      </c>
      <c r="AV57" s="1" t="s">
        <v>258</v>
      </c>
      <c r="AW57" s="1" t="s">
        <v>819</v>
      </c>
      <c r="AX57" s="1">
        <v>23000000</v>
      </c>
      <c r="BA57" s="1" t="s">
        <v>69</v>
      </c>
      <c r="BB57" s="1" t="s">
        <v>560</v>
      </c>
      <c r="BD57" s="1" t="s">
        <v>555</v>
      </c>
      <c r="BG57" s="1" t="s">
        <v>558</v>
      </c>
      <c r="BH57" s="1">
        <v>15</v>
      </c>
      <c r="BI57" s="1" t="s">
        <v>70</v>
      </c>
      <c r="BJ57" s="1" t="s">
        <v>71</v>
      </c>
      <c r="BK57" s="1" t="s">
        <v>452</v>
      </c>
      <c r="BM57" s="1" t="s">
        <v>258</v>
      </c>
      <c r="BN57" s="1" t="s">
        <v>819</v>
      </c>
      <c r="BP57" s="1">
        <v>23000000</v>
      </c>
      <c r="BT57" s="1" t="s">
        <v>557</v>
      </c>
      <c r="BV57" s="1" t="s">
        <v>555</v>
      </c>
      <c r="BY57" s="1" t="s">
        <v>558</v>
      </c>
      <c r="BZ57" s="1">
        <v>15</v>
      </c>
      <c r="CJ57" s="1">
        <v>2.8100100000000001</v>
      </c>
      <c r="CK57" s="1">
        <v>2.8075100000000002</v>
      </c>
      <c r="CL57" s="1">
        <v>2.8125100000000001</v>
      </c>
      <c r="CR57" s="1">
        <v>-243746.10812776501</v>
      </c>
      <c r="CU57" s="1">
        <v>-1.0598000000000001</v>
      </c>
      <c r="CZ57" s="1">
        <v>-243746.11</v>
      </c>
      <c r="DA57" s="1">
        <v>-243746.11</v>
      </c>
      <c r="DB57" s="1">
        <v>-239578.44</v>
      </c>
      <c r="DC57" s="1">
        <v>-4167.67</v>
      </c>
      <c r="DD57" s="2">
        <v>82.5</v>
      </c>
      <c r="DG57" s="1">
        <v>2276.35</v>
      </c>
      <c r="DL57" s="1">
        <v>23052112.489999998</v>
      </c>
      <c r="DM57" s="1">
        <v>22127075.859999999</v>
      </c>
      <c r="DN57" s="1">
        <v>925036.63</v>
      </c>
      <c r="DO57" s="1">
        <v>2.5939999999999999</v>
      </c>
      <c r="DP57" s="1" t="s">
        <v>819</v>
      </c>
      <c r="DQ57" s="1" t="s">
        <v>819</v>
      </c>
      <c r="DS57" s="1">
        <v>-23295858.600000001</v>
      </c>
      <c r="DT57" s="1">
        <v>-22366654.300000001</v>
      </c>
      <c r="DU57" s="1">
        <v>-929204.3</v>
      </c>
      <c r="DV57" s="1">
        <v>2.81047</v>
      </c>
      <c r="DW57" s="1" t="s">
        <v>819</v>
      </c>
      <c r="DX57" s="1" t="s">
        <v>819</v>
      </c>
      <c r="DZ57" s="1">
        <v>-244905</v>
      </c>
      <c r="EA57" s="1">
        <v>-242587</v>
      </c>
      <c r="ED57" s="1" t="s">
        <v>50</v>
      </c>
      <c r="EE57" s="1" t="s">
        <v>825</v>
      </c>
      <c r="EF57" s="1" t="s">
        <v>53</v>
      </c>
      <c r="EG57" s="1" t="s">
        <v>825</v>
      </c>
      <c r="EH57" s="1" t="s">
        <v>51</v>
      </c>
      <c r="EJ57" s="1" t="s">
        <v>55</v>
      </c>
      <c r="EL57" s="1" t="s">
        <v>57</v>
      </c>
    </row>
    <row r="58" spans="1:142" x14ac:dyDescent="0.2">
      <c r="A58" s="101">
        <v>61919356001</v>
      </c>
      <c r="B58" s="101">
        <v>61919356</v>
      </c>
      <c r="D58" s="1" t="s">
        <v>220</v>
      </c>
      <c r="E58" s="1" t="s">
        <v>44</v>
      </c>
      <c r="F58" s="1" t="s">
        <v>561</v>
      </c>
      <c r="U58" s="1">
        <v>26137766.9888485</v>
      </c>
      <c r="AI58" s="1" t="s">
        <v>551</v>
      </c>
      <c r="AJ58" s="1" t="s">
        <v>44</v>
      </c>
      <c r="AK58" s="1" t="s">
        <v>581</v>
      </c>
      <c r="AL58" s="1" t="s">
        <v>742</v>
      </c>
      <c r="AR58" s="1" t="s">
        <v>66</v>
      </c>
      <c r="AS58" s="1" t="s">
        <v>71</v>
      </c>
      <c r="AT58" s="1">
        <v>2.2440000000000002</v>
      </c>
      <c r="AV58" s="1" t="s">
        <v>746</v>
      </c>
      <c r="AW58" s="1" t="s">
        <v>857</v>
      </c>
      <c r="AX58" s="1">
        <v>25000000</v>
      </c>
      <c r="BA58" s="1" t="s">
        <v>69</v>
      </c>
      <c r="BB58" s="1" t="s">
        <v>560</v>
      </c>
      <c r="BD58" s="1" t="s">
        <v>555</v>
      </c>
      <c r="BG58" s="1" t="s">
        <v>558</v>
      </c>
      <c r="BH58" s="1">
        <v>17</v>
      </c>
      <c r="BI58" s="1" t="s">
        <v>70</v>
      </c>
      <c r="BJ58" s="1" t="s">
        <v>67</v>
      </c>
      <c r="BK58" s="1" t="s">
        <v>76</v>
      </c>
      <c r="BM58" s="1" t="s">
        <v>746</v>
      </c>
      <c r="BN58" s="1" t="s">
        <v>857</v>
      </c>
      <c r="BP58" s="1">
        <v>25000000</v>
      </c>
      <c r="BT58" s="1" t="s">
        <v>557</v>
      </c>
      <c r="BV58" s="1" t="s">
        <v>555</v>
      </c>
      <c r="BY58" s="1" t="s">
        <v>558</v>
      </c>
      <c r="BZ58" s="1">
        <v>17</v>
      </c>
      <c r="CJ58" s="1">
        <v>2.0445099999999998</v>
      </c>
      <c r="CK58" s="1">
        <v>2.0420099999999999</v>
      </c>
      <c r="CL58" s="1">
        <v>2.0470100000000002</v>
      </c>
      <c r="CR58" s="1">
        <v>-100819.501505144</v>
      </c>
      <c r="CU58" s="1">
        <v>-0.40329999999999999</v>
      </c>
      <c r="CZ58" s="1">
        <v>-100819.5</v>
      </c>
      <c r="DA58" s="1">
        <v>-100819.5</v>
      </c>
      <c r="DB58" s="1">
        <v>98259.91</v>
      </c>
      <c r="DC58" s="1">
        <v>-199079.42</v>
      </c>
      <c r="DD58" s="2">
        <v>6.38</v>
      </c>
      <c r="DG58" s="1">
        <v>-1348.23</v>
      </c>
      <c r="DL58" s="1">
        <v>-25791536.809999999</v>
      </c>
      <c r="DM58" s="1">
        <v>-25018302.449999999</v>
      </c>
      <c r="DN58" s="1">
        <v>-773234.36</v>
      </c>
      <c r="DO58" s="1">
        <v>2.2440000000000002</v>
      </c>
      <c r="DP58" s="1" t="s">
        <v>857</v>
      </c>
      <c r="DQ58" s="1" t="s">
        <v>857</v>
      </c>
      <c r="DS58" s="1">
        <v>25690717.309999999</v>
      </c>
      <c r="DT58" s="1">
        <v>25116562.370000001</v>
      </c>
      <c r="DU58" s="1">
        <v>574154.93999999994</v>
      </c>
      <c r="DV58" s="1">
        <v>2.0444399999999998</v>
      </c>
      <c r="DW58" s="1" t="s">
        <v>857</v>
      </c>
      <c r="DX58" s="1" t="s">
        <v>857</v>
      </c>
      <c r="DZ58" s="1">
        <v>-100885</v>
      </c>
      <c r="EA58" s="1">
        <v>-100754</v>
      </c>
      <c r="ED58" s="1" t="s">
        <v>50</v>
      </c>
      <c r="EE58" s="1" t="s">
        <v>862</v>
      </c>
      <c r="EF58" s="1" t="s">
        <v>53</v>
      </c>
      <c r="EG58" s="1" t="s">
        <v>862</v>
      </c>
      <c r="EH58" s="1" t="s">
        <v>51</v>
      </c>
      <c r="EJ58" s="1" t="s">
        <v>55</v>
      </c>
      <c r="EL58" s="1" t="s">
        <v>57</v>
      </c>
    </row>
    <row r="59" spans="1:142" x14ac:dyDescent="0.2">
      <c r="A59" s="101">
        <v>59126885001</v>
      </c>
      <c r="B59" s="101">
        <v>59126885</v>
      </c>
      <c r="D59" s="1" t="s">
        <v>824</v>
      </c>
      <c r="E59" s="1" t="s">
        <v>44</v>
      </c>
      <c r="F59" s="1" t="s">
        <v>561</v>
      </c>
      <c r="U59" s="1">
        <v>26245851.196331099</v>
      </c>
      <c r="AI59" s="1" t="s">
        <v>551</v>
      </c>
      <c r="AJ59" s="1" t="s">
        <v>44</v>
      </c>
      <c r="AK59" s="1" t="s">
        <v>581</v>
      </c>
      <c r="AL59" s="1" t="s">
        <v>258</v>
      </c>
      <c r="AR59" s="1" t="s">
        <v>66</v>
      </c>
      <c r="AS59" s="1" t="s">
        <v>71</v>
      </c>
      <c r="AT59" s="1">
        <v>2.6749999999999998</v>
      </c>
      <c r="AV59" s="1" t="s">
        <v>258</v>
      </c>
      <c r="AW59" s="1" t="s">
        <v>819</v>
      </c>
      <c r="AX59" s="1">
        <v>23000000</v>
      </c>
      <c r="BA59" s="1" t="s">
        <v>69</v>
      </c>
      <c r="BB59" s="1" t="s">
        <v>560</v>
      </c>
      <c r="BD59" s="1" t="s">
        <v>555</v>
      </c>
      <c r="BG59" s="1" t="s">
        <v>558</v>
      </c>
      <c r="BH59" s="1">
        <v>15</v>
      </c>
      <c r="BI59" s="1" t="s">
        <v>70</v>
      </c>
      <c r="BJ59" s="1" t="s">
        <v>67</v>
      </c>
      <c r="BK59" s="1" t="s">
        <v>76</v>
      </c>
      <c r="BM59" s="1" t="s">
        <v>258</v>
      </c>
      <c r="BN59" s="1" t="s">
        <v>819</v>
      </c>
      <c r="BP59" s="1">
        <v>23000000</v>
      </c>
      <c r="BT59" s="1" t="s">
        <v>557</v>
      </c>
      <c r="BV59" s="1" t="s">
        <v>555</v>
      </c>
      <c r="BY59" s="1" t="s">
        <v>558</v>
      </c>
      <c r="BZ59" s="1">
        <v>15</v>
      </c>
      <c r="CJ59" s="1">
        <v>1.9814499999999999</v>
      </c>
      <c r="CK59" s="1">
        <v>1.97895</v>
      </c>
      <c r="CL59" s="1">
        <v>1.9839500000000001</v>
      </c>
      <c r="CR59" s="1">
        <v>-813803.35057100595</v>
      </c>
      <c r="CU59" s="1">
        <v>-3.5383</v>
      </c>
      <c r="CZ59" s="1">
        <v>-813803.35</v>
      </c>
      <c r="DA59" s="1">
        <v>-813803.35</v>
      </c>
      <c r="DB59" s="1">
        <v>-493012.23</v>
      </c>
      <c r="DC59" s="1">
        <v>-320791.12</v>
      </c>
      <c r="DD59" s="2">
        <v>280.27</v>
      </c>
      <c r="DG59" s="1">
        <v>-1600.58</v>
      </c>
      <c r="DL59" s="1">
        <v>-24419303.379999999</v>
      </c>
      <c r="DM59" s="1">
        <v>-23465176.219999999</v>
      </c>
      <c r="DN59" s="1">
        <v>-954127.16</v>
      </c>
      <c r="DO59" s="1">
        <v>2.6749999999999998</v>
      </c>
      <c r="DP59" s="1" t="s">
        <v>819</v>
      </c>
      <c r="DQ59" s="1" t="s">
        <v>819</v>
      </c>
      <c r="DS59" s="1">
        <v>23605500.030000001</v>
      </c>
      <c r="DT59" s="1">
        <v>22972163.989999998</v>
      </c>
      <c r="DU59" s="1">
        <v>633336.04</v>
      </c>
      <c r="DV59" s="1">
        <v>1.98177</v>
      </c>
      <c r="DW59" s="1" t="s">
        <v>819</v>
      </c>
      <c r="DX59" s="1" t="s">
        <v>819</v>
      </c>
      <c r="DZ59" s="1">
        <v>-816580</v>
      </c>
      <c r="EA59" s="1">
        <v>-811027</v>
      </c>
      <c r="ED59" s="1" t="s">
        <v>50</v>
      </c>
      <c r="EE59" s="1" t="s">
        <v>826</v>
      </c>
      <c r="EF59" s="1" t="s">
        <v>53</v>
      </c>
      <c r="EG59" s="1" t="s">
        <v>826</v>
      </c>
      <c r="EH59" s="1" t="s">
        <v>51</v>
      </c>
      <c r="EJ59" s="1" t="s">
        <v>55</v>
      </c>
      <c r="EL59" s="1" t="s">
        <v>57</v>
      </c>
    </row>
    <row r="60" spans="1:142" x14ac:dyDescent="0.2">
      <c r="A60" s="101">
        <v>61919460001</v>
      </c>
      <c r="B60" s="101">
        <v>61919460</v>
      </c>
      <c r="D60" s="1" t="s">
        <v>220</v>
      </c>
      <c r="E60" s="1" t="s">
        <v>44</v>
      </c>
      <c r="F60" s="1" t="s">
        <v>561</v>
      </c>
      <c r="U60" s="1">
        <v>3136532.0386618301</v>
      </c>
      <c r="AI60" s="1" t="s">
        <v>551</v>
      </c>
      <c r="AJ60" s="1" t="s">
        <v>44</v>
      </c>
      <c r="AK60" s="1" t="s">
        <v>581</v>
      </c>
      <c r="AL60" s="1" t="s">
        <v>742</v>
      </c>
      <c r="AR60" s="1" t="s">
        <v>66</v>
      </c>
      <c r="AS60" s="1" t="s">
        <v>71</v>
      </c>
      <c r="AT60" s="1">
        <v>2.2440000000000002</v>
      </c>
      <c r="AV60" s="1" t="s">
        <v>746</v>
      </c>
      <c r="AW60" s="1" t="s">
        <v>857</v>
      </c>
      <c r="AX60" s="1">
        <v>3000000</v>
      </c>
      <c r="BA60" s="1" t="s">
        <v>69</v>
      </c>
      <c r="BB60" s="1" t="s">
        <v>560</v>
      </c>
      <c r="BD60" s="1" t="s">
        <v>555</v>
      </c>
      <c r="BG60" s="1" t="s">
        <v>558</v>
      </c>
      <c r="BH60" s="1">
        <v>17</v>
      </c>
      <c r="BI60" s="1" t="s">
        <v>70</v>
      </c>
      <c r="BJ60" s="1" t="s">
        <v>67</v>
      </c>
      <c r="BK60" s="1" t="s">
        <v>76</v>
      </c>
      <c r="BM60" s="1" t="s">
        <v>746</v>
      </c>
      <c r="BN60" s="1" t="s">
        <v>857</v>
      </c>
      <c r="BP60" s="1">
        <v>3000000</v>
      </c>
      <c r="BT60" s="1" t="s">
        <v>557</v>
      </c>
      <c r="BV60" s="1" t="s">
        <v>555</v>
      </c>
      <c r="BY60" s="1" t="s">
        <v>558</v>
      </c>
      <c r="BZ60" s="1">
        <v>17</v>
      </c>
      <c r="CJ60" s="1">
        <v>2.0445099999999998</v>
      </c>
      <c r="CK60" s="1">
        <v>2.0420099999999999</v>
      </c>
      <c r="CL60" s="1">
        <v>2.0470100000000002</v>
      </c>
      <c r="CR60" s="1">
        <v>-12098.340180617301</v>
      </c>
      <c r="CU60" s="1">
        <v>-0.40329999999999999</v>
      </c>
      <c r="CZ60" s="1">
        <v>-12098.34</v>
      </c>
      <c r="DA60" s="1">
        <v>-12098.34</v>
      </c>
      <c r="DB60" s="1">
        <v>11791.19</v>
      </c>
      <c r="DC60" s="1">
        <v>-23889.53</v>
      </c>
      <c r="DD60" s="2">
        <v>0.77</v>
      </c>
      <c r="DG60" s="1">
        <v>-161.79</v>
      </c>
      <c r="DL60" s="1">
        <v>-3094984.42</v>
      </c>
      <c r="DM60" s="1">
        <v>-3002196.29</v>
      </c>
      <c r="DN60" s="1">
        <v>-92788.12</v>
      </c>
      <c r="DO60" s="1">
        <v>2.2440000000000002</v>
      </c>
      <c r="DP60" s="1" t="s">
        <v>857</v>
      </c>
      <c r="DQ60" s="1" t="s">
        <v>857</v>
      </c>
      <c r="DS60" s="1">
        <v>3082886.08</v>
      </c>
      <c r="DT60" s="1">
        <v>3013987.48</v>
      </c>
      <c r="DU60" s="1">
        <v>68898.59</v>
      </c>
      <c r="DV60" s="1">
        <v>2.0444399999999998</v>
      </c>
      <c r="DW60" s="1" t="s">
        <v>857</v>
      </c>
      <c r="DX60" s="1" t="s">
        <v>857</v>
      </c>
      <c r="DZ60" s="1">
        <v>-12106</v>
      </c>
      <c r="EA60" s="1">
        <v>-12090</v>
      </c>
      <c r="ED60" s="1" t="s">
        <v>50</v>
      </c>
      <c r="EE60" s="1" t="s">
        <v>858</v>
      </c>
      <c r="EF60" s="1" t="s">
        <v>53</v>
      </c>
      <c r="EG60" s="1" t="s">
        <v>858</v>
      </c>
      <c r="EH60" s="1" t="s">
        <v>51</v>
      </c>
      <c r="EJ60" s="1" t="s">
        <v>55</v>
      </c>
      <c r="EL60" s="1" t="s">
        <v>57</v>
      </c>
    </row>
    <row r="61" spans="1:142" x14ac:dyDescent="0.2">
      <c r="A61" s="101">
        <v>62732047001</v>
      </c>
      <c r="B61" s="101">
        <v>62732047</v>
      </c>
      <c r="D61" s="1" t="s">
        <v>220</v>
      </c>
      <c r="E61" s="1" t="s">
        <v>46</v>
      </c>
      <c r="F61" s="1" t="s">
        <v>561</v>
      </c>
      <c r="U61" s="1">
        <v>112695430.742405</v>
      </c>
      <c r="AI61" s="1" t="s">
        <v>551</v>
      </c>
      <c r="AJ61" s="1" t="s">
        <v>46</v>
      </c>
      <c r="AK61" s="1" t="s">
        <v>581</v>
      </c>
      <c r="AL61" s="1" t="s">
        <v>752</v>
      </c>
      <c r="AR61" s="1" t="s">
        <v>66</v>
      </c>
      <c r="AS61" s="1" t="s">
        <v>67</v>
      </c>
      <c r="AT61" s="1">
        <v>2.419</v>
      </c>
      <c r="AV61" s="1" t="s">
        <v>746</v>
      </c>
      <c r="AW61" s="1" t="s">
        <v>869</v>
      </c>
      <c r="AX61" s="1">
        <v>100000000</v>
      </c>
      <c r="BA61" s="1" t="s">
        <v>69</v>
      </c>
      <c r="BB61" s="1" t="s">
        <v>560</v>
      </c>
      <c r="BD61" s="1" t="s">
        <v>555</v>
      </c>
      <c r="BG61" s="1" t="s">
        <v>558</v>
      </c>
      <c r="BH61" s="1">
        <v>15</v>
      </c>
      <c r="BI61" s="1" t="s">
        <v>70</v>
      </c>
      <c r="BJ61" s="1" t="s">
        <v>71</v>
      </c>
      <c r="BK61" s="1" t="s">
        <v>452</v>
      </c>
      <c r="BM61" s="1" t="s">
        <v>746</v>
      </c>
      <c r="BN61" s="1" t="s">
        <v>869</v>
      </c>
      <c r="BP61" s="1">
        <v>4000000</v>
      </c>
      <c r="BT61" s="1" t="s">
        <v>557</v>
      </c>
      <c r="BV61" s="1" t="s">
        <v>555</v>
      </c>
      <c r="BY61" s="1" t="s">
        <v>558</v>
      </c>
      <c r="BZ61" s="1">
        <v>15</v>
      </c>
      <c r="CJ61" s="1">
        <v>2.7309000000000001</v>
      </c>
      <c r="CK61" s="1">
        <v>2.7284000000000002</v>
      </c>
      <c r="CL61" s="1">
        <v>2.7334000000000001</v>
      </c>
      <c r="CR61" s="1">
        <v>-1513304.6577169001</v>
      </c>
      <c r="CU61" s="1">
        <v>-1.5133000000000001</v>
      </c>
      <c r="CZ61" s="1">
        <v>-1513304.66</v>
      </c>
      <c r="DA61" s="1">
        <v>-1513304.66</v>
      </c>
      <c r="DB61" s="1">
        <v>-1381386.13</v>
      </c>
      <c r="DC61" s="1">
        <v>-131918.53</v>
      </c>
      <c r="DD61" s="2">
        <v>536.82000000000005</v>
      </c>
      <c r="DG61" s="1">
        <v>9812.0400000000009</v>
      </c>
      <c r="DL61" s="1">
        <v>98774855.579999998</v>
      </c>
      <c r="DM61" s="1">
        <v>95439641.030000001</v>
      </c>
      <c r="DN61" s="1">
        <v>3335214.55</v>
      </c>
      <c r="DO61" s="1">
        <v>2.419</v>
      </c>
      <c r="DP61" s="1" t="s">
        <v>869</v>
      </c>
      <c r="DQ61" s="1" t="s">
        <v>869</v>
      </c>
      <c r="DS61" s="1">
        <v>-100288160.23</v>
      </c>
      <c r="DT61" s="1">
        <v>-96821027.159999996</v>
      </c>
      <c r="DU61" s="1">
        <v>-3467133.08</v>
      </c>
      <c r="DV61" s="1">
        <v>2.73109</v>
      </c>
      <c r="DW61" s="1" t="s">
        <v>869</v>
      </c>
      <c r="DX61" s="1" t="s">
        <v>869</v>
      </c>
      <c r="DZ61" s="1">
        <v>-1520635</v>
      </c>
      <c r="EA61" s="1">
        <v>-1505975</v>
      </c>
      <c r="ED61" s="1" t="s">
        <v>50</v>
      </c>
      <c r="EE61" s="1" t="s">
        <v>873</v>
      </c>
      <c r="EF61" s="1" t="s">
        <v>53</v>
      </c>
      <c r="EG61" s="1" t="s">
        <v>873</v>
      </c>
      <c r="EH61" s="1" t="s">
        <v>51</v>
      </c>
      <c r="EJ61" s="1" t="s">
        <v>55</v>
      </c>
      <c r="EL61" s="1" t="s">
        <v>57</v>
      </c>
    </row>
    <row r="62" spans="1:142" x14ac:dyDescent="0.2">
      <c r="A62" s="101">
        <v>62733551001</v>
      </c>
      <c r="B62" s="101">
        <v>62733551</v>
      </c>
      <c r="D62" s="1" t="s">
        <v>220</v>
      </c>
      <c r="E62" s="1" t="s">
        <v>46</v>
      </c>
      <c r="F62" s="1" t="s">
        <v>561</v>
      </c>
      <c r="U62" s="1">
        <v>112695430.742405</v>
      </c>
      <c r="AI62" s="1" t="s">
        <v>551</v>
      </c>
      <c r="AJ62" s="1" t="s">
        <v>46</v>
      </c>
      <c r="AK62" s="1" t="s">
        <v>581</v>
      </c>
      <c r="AL62" s="1" t="s">
        <v>752</v>
      </c>
      <c r="AR62" s="1" t="s">
        <v>66</v>
      </c>
      <c r="AS62" s="1" t="s">
        <v>67</v>
      </c>
      <c r="AT62" s="1">
        <v>2.419</v>
      </c>
      <c r="AV62" s="1" t="s">
        <v>746</v>
      </c>
      <c r="AW62" s="1" t="s">
        <v>869</v>
      </c>
      <c r="AX62" s="1">
        <v>100000000</v>
      </c>
      <c r="BA62" s="1" t="s">
        <v>69</v>
      </c>
      <c r="BB62" s="1" t="s">
        <v>560</v>
      </c>
      <c r="BD62" s="1" t="s">
        <v>555</v>
      </c>
      <c r="BG62" s="1" t="s">
        <v>558</v>
      </c>
      <c r="BH62" s="1">
        <v>15</v>
      </c>
      <c r="BI62" s="1" t="s">
        <v>70</v>
      </c>
      <c r="BJ62" s="1" t="s">
        <v>71</v>
      </c>
      <c r="BK62" s="1" t="s">
        <v>452</v>
      </c>
      <c r="BM62" s="1" t="s">
        <v>746</v>
      </c>
      <c r="BN62" s="1" t="s">
        <v>869</v>
      </c>
      <c r="BP62" s="1">
        <v>10000000</v>
      </c>
      <c r="BT62" s="1" t="s">
        <v>557</v>
      </c>
      <c r="BV62" s="1" t="s">
        <v>555</v>
      </c>
      <c r="BY62" s="1" t="s">
        <v>558</v>
      </c>
      <c r="BZ62" s="1">
        <v>15</v>
      </c>
      <c r="CJ62" s="1">
        <v>2.70709</v>
      </c>
      <c r="CK62" s="1">
        <v>2.70459</v>
      </c>
      <c r="CL62" s="1">
        <v>2.7095899999999999</v>
      </c>
      <c r="CR62" s="1">
        <v>-1397131.3063732099</v>
      </c>
      <c r="CU62" s="1">
        <v>-1.3971</v>
      </c>
      <c r="CZ62" s="1">
        <v>-1397131.31</v>
      </c>
      <c r="DA62" s="1">
        <v>-1397131.31</v>
      </c>
      <c r="DB62" s="1">
        <v>-1385068.63</v>
      </c>
      <c r="DC62" s="1">
        <v>-12062.67</v>
      </c>
      <c r="DD62" s="2">
        <v>495.61</v>
      </c>
      <c r="DG62" s="1">
        <v>9812.0400000000009</v>
      </c>
      <c r="DL62" s="1">
        <v>98774855.579999998</v>
      </c>
      <c r="DM62" s="1">
        <v>95439641.030000001</v>
      </c>
      <c r="DN62" s="1">
        <v>3335214.55</v>
      </c>
      <c r="DO62" s="1">
        <v>2.419</v>
      </c>
      <c r="DP62" s="1" t="s">
        <v>869</v>
      </c>
      <c r="DQ62" s="1" t="s">
        <v>869</v>
      </c>
      <c r="DS62" s="1">
        <v>-100171986.88</v>
      </c>
      <c r="DT62" s="1">
        <v>-96824709.670000002</v>
      </c>
      <c r="DU62" s="1">
        <v>-3347277.22</v>
      </c>
      <c r="DV62" s="1">
        <v>2.7072799999999999</v>
      </c>
      <c r="DW62" s="1" t="s">
        <v>869</v>
      </c>
      <c r="DX62" s="1" t="s">
        <v>869</v>
      </c>
      <c r="DZ62" s="1">
        <v>-1403840</v>
      </c>
      <c r="EA62" s="1">
        <v>-1390423</v>
      </c>
      <c r="ED62" s="1" t="s">
        <v>50</v>
      </c>
      <c r="EE62" s="1" t="s">
        <v>870</v>
      </c>
      <c r="EF62" s="1" t="s">
        <v>53</v>
      </c>
      <c r="EG62" s="1" t="s">
        <v>870</v>
      </c>
      <c r="EH62" s="1" t="s">
        <v>51</v>
      </c>
      <c r="EJ62" s="1" t="s">
        <v>55</v>
      </c>
      <c r="EL62" s="1" t="s">
        <v>57</v>
      </c>
    </row>
    <row r="63" spans="1:142" x14ac:dyDescent="0.2">
      <c r="A63" s="101">
        <v>62733555001</v>
      </c>
      <c r="B63" s="101">
        <v>62733555</v>
      </c>
      <c r="D63" s="1" t="s">
        <v>220</v>
      </c>
      <c r="E63" s="1" t="s">
        <v>44</v>
      </c>
      <c r="F63" s="1" t="s">
        <v>561</v>
      </c>
      <c r="U63" s="1">
        <v>111785042.792083</v>
      </c>
      <c r="AI63" s="1" t="s">
        <v>551</v>
      </c>
      <c r="AJ63" s="1" t="s">
        <v>44</v>
      </c>
      <c r="AK63" s="1" t="s">
        <v>581</v>
      </c>
      <c r="AL63" s="1" t="s">
        <v>752</v>
      </c>
      <c r="AR63" s="1" t="s">
        <v>66</v>
      </c>
      <c r="AS63" s="1" t="s">
        <v>71</v>
      </c>
      <c r="AT63" s="1">
        <v>2.2530000000000001</v>
      </c>
      <c r="AV63" s="1" t="s">
        <v>746</v>
      </c>
      <c r="AW63" s="1" t="s">
        <v>869</v>
      </c>
      <c r="AX63" s="1">
        <v>100000000</v>
      </c>
      <c r="BA63" s="1" t="s">
        <v>69</v>
      </c>
      <c r="BB63" s="1" t="s">
        <v>560</v>
      </c>
      <c r="BD63" s="1" t="s">
        <v>555</v>
      </c>
      <c r="BG63" s="1" t="s">
        <v>558</v>
      </c>
      <c r="BH63" s="1">
        <v>15</v>
      </c>
      <c r="BI63" s="1" t="s">
        <v>70</v>
      </c>
      <c r="BJ63" s="1" t="s">
        <v>67</v>
      </c>
      <c r="BK63" s="1" t="s">
        <v>76</v>
      </c>
      <c r="BM63" s="1" t="s">
        <v>746</v>
      </c>
      <c r="BN63" s="1" t="s">
        <v>869</v>
      </c>
      <c r="BP63" s="1">
        <v>10000000</v>
      </c>
      <c r="BT63" s="1" t="s">
        <v>557</v>
      </c>
      <c r="BV63" s="1" t="s">
        <v>555</v>
      </c>
      <c r="BY63" s="1" t="s">
        <v>558</v>
      </c>
      <c r="BZ63" s="1">
        <v>15</v>
      </c>
      <c r="CJ63" s="1">
        <v>1.8889800000000001</v>
      </c>
      <c r="CK63" s="1">
        <v>1.8864799999999999</v>
      </c>
      <c r="CL63" s="1">
        <v>1.8914800000000001</v>
      </c>
      <c r="CR63" s="1">
        <v>-1830892.11112577</v>
      </c>
      <c r="CU63" s="1">
        <v>-1.8309</v>
      </c>
      <c r="CZ63" s="1">
        <v>-1830892.11</v>
      </c>
      <c r="DA63" s="1">
        <v>-1830892.11</v>
      </c>
      <c r="DB63" s="1">
        <v>-1022118.25</v>
      </c>
      <c r="DC63" s="1">
        <v>-808773.86</v>
      </c>
      <c r="DD63" s="2">
        <v>660.93</v>
      </c>
      <c r="DG63" s="1">
        <v>-6865.18</v>
      </c>
      <c r="DL63" s="1">
        <v>-103588149.22</v>
      </c>
      <c r="DM63" s="1">
        <v>-100482755.59</v>
      </c>
      <c r="DN63" s="1">
        <v>-3105393.62</v>
      </c>
      <c r="DO63" s="1">
        <v>2.2530000000000001</v>
      </c>
      <c r="DP63" s="1" t="s">
        <v>869</v>
      </c>
      <c r="DQ63" s="1" t="s">
        <v>869</v>
      </c>
      <c r="DS63" s="1">
        <v>101757257.11</v>
      </c>
      <c r="DT63" s="1">
        <v>99460637.340000004</v>
      </c>
      <c r="DU63" s="1">
        <v>2296619.7599999998</v>
      </c>
      <c r="DV63" s="1">
        <v>1.8891199999999999</v>
      </c>
      <c r="DW63" s="1" t="s">
        <v>869</v>
      </c>
      <c r="DX63" s="1" t="s">
        <v>869</v>
      </c>
      <c r="DZ63" s="1">
        <v>-1837135</v>
      </c>
      <c r="EA63" s="1">
        <v>-1824650</v>
      </c>
      <c r="ED63" s="1" t="s">
        <v>50</v>
      </c>
      <c r="EE63" s="1" t="s">
        <v>871</v>
      </c>
      <c r="EF63" s="1" t="s">
        <v>53</v>
      </c>
      <c r="EG63" s="1" t="s">
        <v>871</v>
      </c>
      <c r="EH63" s="1" t="s">
        <v>51</v>
      </c>
      <c r="EJ63" s="1" t="s">
        <v>55</v>
      </c>
      <c r="EL63" s="1" t="s">
        <v>57</v>
      </c>
    </row>
    <row r="64" spans="1:142" x14ac:dyDescent="0.2">
      <c r="A64" s="101">
        <v>62877436001</v>
      </c>
      <c r="B64" s="101">
        <v>62877436</v>
      </c>
      <c r="D64" s="1" t="s">
        <v>75</v>
      </c>
      <c r="E64" s="1" t="s">
        <v>44</v>
      </c>
      <c r="F64" s="1" t="s">
        <v>583</v>
      </c>
      <c r="AI64" s="1" t="s">
        <v>551</v>
      </c>
      <c r="AJ64" s="1" t="s">
        <v>44</v>
      </c>
      <c r="AK64" s="1" t="s">
        <v>584</v>
      </c>
      <c r="AL64" s="1" t="s">
        <v>757</v>
      </c>
      <c r="AR64" s="1" t="s">
        <v>79</v>
      </c>
      <c r="AS64" s="1" t="s">
        <v>71</v>
      </c>
      <c r="AT64" s="1">
        <v>3.2761999999999998</v>
      </c>
      <c r="AV64" s="1" t="s">
        <v>808</v>
      </c>
      <c r="AW64" s="1" t="s">
        <v>876</v>
      </c>
      <c r="AX64" s="1">
        <v>5200000</v>
      </c>
      <c r="BA64" s="1" t="s">
        <v>69</v>
      </c>
      <c r="BB64" s="1" t="s">
        <v>574</v>
      </c>
      <c r="BC64" s="1" t="s">
        <v>456</v>
      </c>
      <c r="BD64" s="1" t="s">
        <v>555</v>
      </c>
      <c r="BG64" s="1" t="s">
        <v>558</v>
      </c>
      <c r="BH64" s="1">
        <v>18</v>
      </c>
      <c r="BI64" s="1" t="s">
        <v>431</v>
      </c>
      <c r="BJ64" s="1" t="s">
        <v>67</v>
      </c>
      <c r="BK64" s="1" t="s">
        <v>440</v>
      </c>
      <c r="BL64" s="1">
        <v>0</v>
      </c>
      <c r="BM64" s="1" t="s">
        <v>808</v>
      </c>
      <c r="BN64" s="1" t="s">
        <v>876</v>
      </c>
      <c r="BP64" s="1">
        <v>5200000</v>
      </c>
      <c r="BR64" s="1" t="s">
        <v>69</v>
      </c>
      <c r="BS64" s="1" t="s">
        <v>69</v>
      </c>
      <c r="BT64" s="1" t="s">
        <v>574</v>
      </c>
      <c r="BU64" s="1" t="s">
        <v>456</v>
      </c>
      <c r="BV64" s="1" t="s">
        <v>555</v>
      </c>
      <c r="BY64" s="1" t="s">
        <v>558</v>
      </c>
      <c r="BZ64" s="1">
        <v>18</v>
      </c>
      <c r="CJ64" s="1">
        <v>2.1446399999999999</v>
      </c>
      <c r="CK64" s="1">
        <v>2.1421399999999999</v>
      </c>
      <c r="CL64" s="1">
        <v>2.1471399999999998</v>
      </c>
      <c r="CR64" s="1">
        <v>-34186.045558147103</v>
      </c>
      <c r="CS64" s="1">
        <v>-34316.51</v>
      </c>
      <c r="CT64" s="1">
        <v>-34055.58</v>
      </c>
      <c r="CU64" s="1">
        <v>-0.65739999999999998</v>
      </c>
      <c r="CZ64" s="1">
        <v>-34186.050000000003</v>
      </c>
      <c r="DA64" s="1">
        <v>-34186.050000000003</v>
      </c>
      <c r="DB64" s="1">
        <v>-26653.46</v>
      </c>
      <c r="DC64" s="1">
        <v>-7532.58</v>
      </c>
      <c r="DD64" s="2">
        <v>248.65</v>
      </c>
      <c r="DG64" s="1">
        <v>66.37</v>
      </c>
      <c r="DL64" s="1">
        <v>-5318452.6399999997</v>
      </c>
      <c r="DM64" s="1">
        <v>-5226646.24</v>
      </c>
      <c r="DN64" s="1">
        <v>-91806.399999999994</v>
      </c>
      <c r="DO64" s="1">
        <v>3.2761999999999998</v>
      </c>
      <c r="DP64" s="1" t="s">
        <v>877</v>
      </c>
      <c r="DQ64" s="1" t="s">
        <v>877</v>
      </c>
      <c r="DS64" s="1">
        <v>5284266.5999999996</v>
      </c>
      <c r="DT64" s="1">
        <v>5199992.7699999996</v>
      </c>
      <c r="DU64" s="1">
        <v>84273.82</v>
      </c>
      <c r="DV64" s="1">
        <v>2.62113</v>
      </c>
      <c r="DW64" s="1" t="s">
        <v>877</v>
      </c>
      <c r="DX64" s="1" t="s">
        <v>877</v>
      </c>
      <c r="DY64" s="1" t="s">
        <v>787</v>
      </c>
      <c r="DZ64" s="1">
        <v>-36852</v>
      </c>
      <c r="EA64" s="1">
        <v>-31520</v>
      </c>
      <c r="ED64" s="1" t="s">
        <v>50</v>
      </c>
      <c r="EE64" s="1" t="s">
        <v>878</v>
      </c>
      <c r="EF64" s="1" t="s">
        <v>53</v>
      </c>
      <c r="EG64" s="1" t="s">
        <v>878</v>
      </c>
      <c r="EH64" s="1" t="s">
        <v>51</v>
      </c>
      <c r="EJ64" s="1" t="s">
        <v>55</v>
      </c>
      <c r="EL64" s="1" t="s">
        <v>57</v>
      </c>
    </row>
    <row r="65" spans="1:142" x14ac:dyDescent="0.2">
      <c r="A65" s="101">
        <v>64794364001</v>
      </c>
      <c r="B65" s="101">
        <v>64794364</v>
      </c>
      <c r="D65" s="1" t="s">
        <v>824</v>
      </c>
      <c r="E65" s="1" t="s">
        <v>44</v>
      </c>
      <c r="F65" s="1" t="s">
        <v>561</v>
      </c>
      <c r="U65" s="1">
        <v>9324551.3403972704</v>
      </c>
      <c r="AI65" s="1" t="s">
        <v>551</v>
      </c>
      <c r="AJ65" s="1" t="s">
        <v>44</v>
      </c>
      <c r="AK65" s="1" t="s">
        <v>581</v>
      </c>
      <c r="AL65" s="1" t="s">
        <v>749</v>
      </c>
      <c r="AR65" s="1" t="s">
        <v>66</v>
      </c>
      <c r="AS65" s="1" t="s">
        <v>71</v>
      </c>
      <c r="AT65" s="1">
        <v>1.7869999999999999</v>
      </c>
      <c r="AV65" s="1" t="s">
        <v>763</v>
      </c>
      <c r="AW65" s="1" t="s">
        <v>928</v>
      </c>
      <c r="AX65" s="1">
        <v>9000000</v>
      </c>
      <c r="BA65" s="1" t="s">
        <v>69</v>
      </c>
      <c r="BB65" s="1" t="s">
        <v>560</v>
      </c>
      <c r="BD65" s="1" t="s">
        <v>555</v>
      </c>
      <c r="BG65" s="1" t="s">
        <v>558</v>
      </c>
      <c r="BH65" s="1">
        <v>15</v>
      </c>
      <c r="BI65" s="1" t="s">
        <v>70</v>
      </c>
      <c r="BJ65" s="1" t="s">
        <v>67</v>
      </c>
      <c r="BK65" s="1" t="s">
        <v>76</v>
      </c>
      <c r="BM65" s="1" t="s">
        <v>763</v>
      </c>
      <c r="BN65" s="1" t="s">
        <v>928</v>
      </c>
      <c r="BP65" s="1">
        <v>9000000</v>
      </c>
      <c r="BT65" s="1" t="s">
        <v>557</v>
      </c>
      <c r="BV65" s="1" t="s">
        <v>555</v>
      </c>
      <c r="BY65" s="1" t="s">
        <v>558</v>
      </c>
      <c r="BZ65" s="1">
        <v>15</v>
      </c>
      <c r="CJ65" s="1">
        <v>1.9335100000000001</v>
      </c>
      <c r="CK65" s="1">
        <v>1.9310099999999999</v>
      </c>
      <c r="CL65" s="1">
        <v>1.93601</v>
      </c>
      <c r="CR65" s="1">
        <v>26427.994021907401</v>
      </c>
      <c r="CU65" s="1">
        <v>0.29360000000000003</v>
      </c>
      <c r="CZ65" s="1">
        <v>26427.99</v>
      </c>
      <c r="DA65" s="1">
        <v>26427.99</v>
      </c>
      <c r="DB65" s="1">
        <v>51795.23</v>
      </c>
      <c r="DC65" s="1">
        <v>-25367.23</v>
      </c>
      <c r="DD65" s="2">
        <v>-2.09</v>
      </c>
      <c r="DG65" s="1">
        <v>-467.29</v>
      </c>
      <c r="DL65" s="1">
        <v>-9172960.6199999992</v>
      </c>
      <c r="DM65" s="1">
        <v>-8978712.0099999998</v>
      </c>
      <c r="DN65" s="1">
        <v>-194248.61</v>
      </c>
      <c r="DO65" s="1">
        <v>1.7869999999999999</v>
      </c>
      <c r="DP65" s="1" t="s">
        <v>928</v>
      </c>
      <c r="DQ65" s="1" t="s">
        <v>928</v>
      </c>
      <c r="DS65" s="1">
        <v>9199388.6099999994</v>
      </c>
      <c r="DT65" s="1">
        <v>9030507.2400000002</v>
      </c>
      <c r="DU65" s="1">
        <v>168881.37</v>
      </c>
      <c r="DV65" s="1">
        <v>1.9336199999999999</v>
      </c>
      <c r="DW65" s="1" t="s">
        <v>928</v>
      </c>
      <c r="DX65" s="1" t="s">
        <v>928</v>
      </c>
      <c r="DZ65" s="1">
        <v>26448</v>
      </c>
      <c r="EA65" s="1">
        <v>26408</v>
      </c>
      <c r="ED65" s="1" t="s">
        <v>50</v>
      </c>
      <c r="EE65" s="1" t="s">
        <v>931</v>
      </c>
      <c r="EF65" s="1" t="s">
        <v>53</v>
      </c>
      <c r="EG65" s="1" t="s">
        <v>931</v>
      </c>
      <c r="EH65" s="1" t="s">
        <v>51</v>
      </c>
      <c r="EJ65" s="1" t="s">
        <v>55</v>
      </c>
      <c r="EL65" s="1" t="s">
        <v>57</v>
      </c>
    </row>
    <row r="66" spans="1:142" x14ac:dyDescent="0.2">
      <c r="A66" s="101">
        <v>64794543001</v>
      </c>
      <c r="B66" s="101">
        <v>64794543</v>
      </c>
      <c r="D66" s="1" t="s">
        <v>824</v>
      </c>
      <c r="E66" s="1" t="s">
        <v>44</v>
      </c>
      <c r="F66" s="1" t="s">
        <v>561</v>
      </c>
      <c r="U66" s="1">
        <v>62163675.602648497</v>
      </c>
      <c r="AI66" s="1" t="s">
        <v>551</v>
      </c>
      <c r="AJ66" s="1" t="s">
        <v>44</v>
      </c>
      <c r="AK66" s="1" t="s">
        <v>581</v>
      </c>
      <c r="AL66" s="1" t="s">
        <v>749</v>
      </c>
      <c r="AR66" s="1" t="s">
        <v>66</v>
      </c>
      <c r="AS66" s="1" t="s">
        <v>71</v>
      </c>
      <c r="AT66" s="1">
        <v>1.7869999999999999</v>
      </c>
      <c r="AV66" s="1" t="s">
        <v>763</v>
      </c>
      <c r="AW66" s="1" t="s">
        <v>928</v>
      </c>
      <c r="AX66" s="1">
        <v>60000000</v>
      </c>
      <c r="BA66" s="1" t="s">
        <v>69</v>
      </c>
      <c r="BB66" s="1" t="s">
        <v>560</v>
      </c>
      <c r="BD66" s="1" t="s">
        <v>555</v>
      </c>
      <c r="BG66" s="1" t="s">
        <v>558</v>
      </c>
      <c r="BH66" s="1">
        <v>15</v>
      </c>
      <c r="BI66" s="1" t="s">
        <v>70</v>
      </c>
      <c r="BJ66" s="1" t="s">
        <v>67</v>
      </c>
      <c r="BK66" s="1" t="s">
        <v>76</v>
      </c>
      <c r="BM66" s="1" t="s">
        <v>763</v>
      </c>
      <c r="BN66" s="1" t="s">
        <v>928</v>
      </c>
      <c r="BP66" s="1">
        <v>60000000</v>
      </c>
      <c r="BT66" s="1" t="s">
        <v>557</v>
      </c>
      <c r="BV66" s="1" t="s">
        <v>555</v>
      </c>
      <c r="BY66" s="1" t="s">
        <v>558</v>
      </c>
      <c r="BZ66" s="1">
        <v>15</v>
      </c>
      <c r="CJ66" s="1">
        <v>1.9335100000000001</v>
      </c>
      <c r="CK66" s="1">
        <v>1.9310099999999999</v>
      </c>
      <c r="CL66" s="1">
        <v>1.93601</v>
      </c>
      <c r="CR66" s="1">
        <v>176186.62681271101</v>
      </c>
      <c r="CU66" s="1">
        <v>0.29360000000000003</v>
      </c>
      <c r="CZ66" s="1">
        <v>176186.63</v>
      </c>
      <c r="DA66" s="1">
        <v>176186.63</v>
      </c>
      <c r="DB66" s="1">
        <v>345301.52</v>
      </c>
      <c r="DC66" s="1">
        <v>-169114.89</v>
      </c>
      <c r="DD66" s="2">
        <v>-13.96</v>
      </c>
      <c r="DG66" s="1">
        <v>-3115.27</v>
      </c>
      <c r="DL66" s="1">
        <v>-61153070.799999997</v>
      </c>
      <c r="DM66" s="1">
        <v>-59858080.090000004</v>
      </c>
      <c r="DN66" s="1">
        <v>-1294990.71</v>
      </c>
      <c r="DO66" s="1">
        <v>1.7869999999999999</v>
      </c>
      <c r="DP66" s="1" t="s">
        <v>928</v>
      </c>
      <c r="DQ66" s="1" t="s">
        <v>928</v>
      </c>
      <c r="DS66" s="1">
        <v>61329257.420000002</v>
      </c>
      <c r="DT66" s="1">
        <v>60203381.609999999</v>
      </c>
      <c r="DU66" s="1">
        <v>1125875.82</v>
      </c>
      <c r="DV66" s="1">
        <v>1.9336199999999999</v>
      </c>
      <c r="DW66" s="1" t="s">
        <v>928</v>
      </c>
      <c r="DX66" s="1" t="s">
        <v>928</v>
      </c>
      <c r="DZ66" s="1">
        <v>176322</v>
      </c>
      <c r="EA66" s="1">
        <v>176052</v>
      </c>
      <c r="ED66" s="1" t="s">
        <v>50</v>
      </c>
      <c r="EE66" s="1" t="s">
        <v>932</v>
      </c>
      <c r="EF66" s="1" t="s">
        <v>53</v>
      </c>
      <c r="EG66" s="1" t="s">
        <v>932</v>
      </c>
      <c r="EH66" s="1" t="s">
        <v>51</v>
      </c>
      <c r="EJ66" s="1" t="s">
        <v>55</v>
      </c>
      <c r="EL66" s="1" t="s">
        <v>57</v>
      </c>
    </row>
    <row r="67" spans="1:142" x14ac:dyDescent="0.2">
      <c r="A67" s="101">
        <v>65687736001</v>
      </c>
      <c r="B67" s="101">
        <v>65687736</v>
      </c>
      <c r="D67" s="1" t="s">
        <v>824</v>
      </c>
      <c r="E67" s="1" t="s">
        <v>44</v>
      </c>
      <c r="F67" s="1" t="s">
        <v>583</v>
      </c>
      <c r="AI67" s="1" t="s">
        <v>551</v>
      </c>
      <c r="AJ67" s="1" t="s">
        <v>44</v>
      </c>
      <c r="AK67" s="1" t="s">
        <v>584</v>
      </c>
      <c r="AL67" s="1" t="s">
        <v>796</v>
      </c>
      <c r="AR67" s="1" t="s">
        <v>79</v>
      </c>
      <c r="AS67" s="1" t="s">
        <v>71</v>
      </c>
      <c r="AT67" s="1">
        <v>3.1042000000000001</v>
      </c>
      <c r="AV67" s="1" t="s">
        <v>797</v>
      </c>
      <c r="AW67" s="1" t="s">
        <v>938</v>
      </c>
      <c r="AX67" s="1">
        <v>6531932</v>
      </c>
      <c r="BA67" s="1" t="s">
        <v>69</v>
      </c>
      <c r="BB67" s="1" t="s">
        <v>574</v>
      </c>
      <c r="BC67" s="1" t="s">
        <v>456</v>
      </c>
      <c r="BD67" s="1" t="s">
        <v>555</v>
      </c>
      <c r="BG67" s="1" t="s">
        <v>558</v>
      </c>
      <c r="BH67" s="1">
        <v>28</v>
      </c>
      <c r="BI67" s="1" t="s">
        <v>431</v>
      </c>
      <c r="BJ67" s="1" t="s">
        <v>67</v>
      </c>
      <c r="BK67" s="1" t="s">
        <v>440</v>
      </c>
      <c r="BL67" s="1">
        <v>0</v>
      </c>
      <c r="BM67" s="1" t="s">
        <v>797</v>
      </c>
      <c r="BN67" s="1" t="s">
        <v>938</v>
      </c>
      <c r="BP67" s="1">
        <v>6531932</v>
      </c>
      <c r="BR67" s="1" t="s">
        <v>69</v>
      </c>
      <c r="BS67" s="1" t="s">
        <v>69</v>
      </c>
      <c r="BT67" s="1" t="s">
        <v>574</v>
      </c>
      <c r="BU67" s="1" t="s">
        <v>456</v>
      </c>
      <c r="BV67" s="1" t="s">
        <v>555</v>
      </c>
      <c r="BY67" s="1" t="s">
        <v>558</v>
      </c>
      <c r="BZ67" s="1">
        <v>28</v>
      </c>
      <c r="CJ67" s="1">
        <v>2.3087900000000001</v>
      </c>
      <c r="CK67" s="1">
        <v>2.3062900000000002</v>
      </c>
      <c r="CL67" s="1">
        <v>2.3112900000000001</v>
      </c>
      <c r="CR67" s="1">
        <v>2720.5162240872</v>
      </c>
      <c r="CS67" s="1">
        <v>2555.5700000000002</v>
      </c>
      <c r="CT67" s="1">
        <v>2885.46</v>
      </c>
      <c r="CU67" s="1">
        <v>4.1599999999999998E-2</v>
      </c>
      <c r="CZ67" s="1">
        <v>2720.52</v>
      </c>
      <c r="DA67" s="1">
        <v>2720.52</v>
      </c>
      <c r="DB67" s="1">
        <v>-7655.68</v>
      </c>
      <c r="DC67" s="1">
        <v>10376.200000000001</v>
      </c>
      <c r="DD67" s="2">
        <v>105.9</v>
      </c>
      <c r="DG67" s="1">
        <v>36.44</v>
      </c>
      <c r="DL67" s="1">
        <v>-6712487.96</v>
      </c>
      <c r="DM67" s="1">
        <v>-6539575.1299999999</v>
      </c>
      <c r="DN67" s="1">
        <v>-172912.83</v>
      </c>
      <c r="DO67" s="1">
        <v>3.1042000000000001</v>
      </c>
      <c r="DP67" s="1" t="s">
        <v>759</v>
      </c>
      <c r="DQ67" s="1" t="s">
        <v>759</v>
      </c>
      <c r="DS67" s="1">
        <v>6715208.4699999997</v>
      </c>
      <c r="DT67" s="1">
        <v>6531919.4400000004</v>
      </c>
      <c r="DU67" s="1">
        <v>183289.03</v>
      </c>
      <c r="DV67" s="1">
        <v>3.1454300000000002</v>
      </c>
      <c r="DW67" s="1" t="s">
        <v>759</v>
      </c>
      <c r="DX67" s="1" t="s">
        <v>759</v>
      </c>
      <c r="DY67" s="1" t="s">
        <v>755</v>
      </c>
      <c r="DZ67" s="1">
        <v>1498</v>
      </c>
      <c r="EA67" s="1">
        <v>3943</v>
      </c>
      <c r="ED67" s="1" t="s">
        <v>50</v>
      </c>
      <c r="EE67" s="1" t="s">
        <v>939</v>
      </c>
      <c r="EF67" s="1" t="s">
        <v>53</v>
      </c>
      <c r="EG67" s="1" t="s">
        <v>939</v>
      </c>
      <c r="EH67" s="1" t="s">
        <v>51</v>
      </c>
      <c r="EJ67" s="1" t="s">
        <v>55</v>
      </c>
      <c r="EL67" s="1" t="s">
        <v>57</v>
      </c>
    </row>
    <row r="68" spans="1:142" x14ac:dyDescent="0.2">
      <c r="A68" s="101">
        <v>65887593001</v>
      </c>
      <c r="B68" s="101">
        <v>65887593</v>
      </c>
      <c r="D68" s="1" t="s">
        <v>220</v>
      </c>
      <c r="E68" s="1" t="s">
        <v>44</v>
      </c>
      <c r="F68" s="1" t="s">
        <v>81</v>
      </c>
      <c r="AI68" s="1" t="s">
        <v>551</v>
      </c>
      <c r="AJ68" s="1" t="s">
        <v>44</v>
      </c>
      <c r="AK68" s="1" t="s">
        <v>575</v>
      </c>
      <c r="AL68" s="1" t="s">
        <v>789</v>
      </c>
      <c r="AR68" s="1" t="s">
        <v>79</v>
      </c>
      <c r="AS68" s="1" t="s">
        <v>71</v>
      </c>
      <c r="AT68" s="1">
        <v>2.1989000000000001</v>
      </c>
      <c r="AV68" s="1" t="s">
        <v>748</v>
      </c>
      <c r="AW68" s="1" t="s">
        <v>942</v>
      </c>
      <c r="AX68" s="1">
        <v>9000000</v>
      </c>
      <c r="BA68" s="1" t="s">
        <v>69</v>
      </c>
      <c r="BB68" s="1" t="s">
        <v>557</v>
      </c>
      <c r="BD68" s="1" t="s">
        <v>555</v>
      </c>
      <c r="BG68" s="1" t="s">
        <v>558</v>
      </c>
      <c r="BH68" s="1">
        <v>7</v>
      </c>
      <c r="BI68" s="1" t="s">
        <v>84</v>
      </c>
      <c r="BJ68" s="1" t="s">
        <v>67</v>
      </c>
      <c r="BK68" s="1" t="s">
        <v>47</v>
      </c>
      <c r="BL68" s="1">
        <v>0</v>
      </c>
      <c r="BM68" s="1" t="s">
        <v>748</v>
      </c>
      <c r="BN68" s="1" t="s">
        <v>942</v>
      </c>
      <c r="BP68" s="1">
        <v>9000000</v>
      </c>
      <c r="BQ68" s="1" t="s">
        <v>570</v>
      </c>
      <c r="BR68" s="1" t="s">
        <v>49</v>
      </c>
      <c r="BS68" s="1" t="s">
        <v>49</v>
      </c>
      <c r="BT68" s="1" t="s">
        <v>574</v>
      </c>
      <c r="BU68" s="1" t="s">
        <v>456</v>
      </c>
      <c r="BV68" s="1" t="s">
        <v>555</v>
      </c>
      <c r="BY68" s="1" t="s">
        <v>558</v>
      </c>
      <c r="BZ68" s="1">
        <v>7</v>
      </c>
      <c r="CJ68" s="1">
        <v>2.48081</v>
      </c>
      <c r="CK68" s="1">
        <v>2.47831</v>
      </c>
      <c r="CL68" s="1">
        <v>2.4833099999999999</v>
      </c>
      <c r="CR68" s="1">
        <v>701074.94650068495</v>
      </c>
      <c r="CS68" s="1">
        <v>694863.22</v>
      </c>
      <c r="CT68" s="1">
        <v>707286.67</v>
      </c>
      <c r="CU68" s="1">
        <v>7.7896999999999998</v>
      </c>
      <c r="CZ68" s="1">
        <v>701074.95</v>
      </c>
      <c r="DA68" s="1">
        <v>701074.95</v>
      </c>
      <c r="DB68" s="1">
        <v>700150.35</v>
      </c>
      <c r="DC68" s="1">
        <v>924.6</v>
      </c>
      <c r="DD68" s="2">
        <v>23055.439999999999</v>
      </c>
      <c r="DG68" s="1">
        <v>65.05</v>
      </c>
      <c r="DL68" s="1">
        <v>-8386330.8499999996</v>
      </c>
      <c r="DM68" s="1">
        <v>-8373137.4500000002</v>
      </c>
      <c r="DN68" s="1">
        <v>-13193.4</v>
      </c>
      <c r="DO68" s="1">
        <v>2.1989000000000001</v>
      </c>
      <c r="DP68" s="1" t="s">
        <v>944</v>
      </c>
      <c r="DQ68" s="1" t="s">
        <v>1420</v>
      </c>
      <c r="DS68" s="1">
        <v>9087405.7899999991</v>
      </c>
      <c r="DT68" s="1">
        <v>9073287.7899999991</v>
      </c>
      <c r="DU68" s="1">
        <v>14118</v>
      </c>
      <c r="DV68" s="1">
        <v>2.3530000000000002</v>
      </c>
      <c r="DW68" s="1" t="s">
        <v>1005</v>
      </c>
      <c r="DX68" s="1" t="s">
        <v>944</v>
      </c>
      <c r="DY68" s="1" t="s">
        <v>1236</v>
      </c>
      <c r="DZ68" s="1">
        <v>415094</v>
      </c>
      <c r="EA68" s="1">
        <v>987056</v>
      </c>
      <c r="ED68" s="1" t="s">
        <v>50</v>
      </c>
      <c r="EE68" s="1" t="s">
        <v>947</v>
      </c>
      <c r="EF68" s="1" t="s">
        <v>53</v>
      </c>
      <c r="EG68" s="1" t="s">
        <v>947</v>
      </c>
      <c r="EH68" s="1" t="s">
        <v>51</v>
      </c>
      <c r="EJ68" s="1" t="s">
        <v>55</v>
      </c>
      <c r="EL68" s="1" t="s">
        <v>57</v>
      </c>
    </row>
    <row r="69" spans="1:142" x14ac:dyDescent="0.2">
      <c r="A69" s="101">
        <v>66938596001</v>
      </c>
      <c r="B69" s="101">
        <v>66938596</v>
      </c>
      <c r="D69" s="1" t="s">
        <v>77</v>
      </c>
      <c r="E69" s="1" t="s">
        <v>44</v>
      </c>
      <c r="F69" s="1" t="s">
        <v>583</v>
      </c>
      <c r="AI69" s="1" t="s">
        <v>551</v>
      </c>
      <c r="AJ69" s="1" t="s">
        <v>44</v>
      </c>
      <c r="AK69" s="1" t="s">
        <v>584</v>
      </c>
      <c r="AL69" s="1" t="s">
        <v>863</v>
      </c>
      <c r="AR69" s="1" t="s">
        <v>79</v>
      </c>
      <c r="AS69" s="1" t="s">
        <v>71</v>
      </c>
      <c r="AT69" s="1">
        <v>2.6682000000000001</v>
      </c>
      <c r="AV69" s="1" t="s">
        <v>863</v>
      </c>
      <c r="AW69" s="1" t="s">
        <v>951</v>
      </c>
      <c r="AX69" s="1">
        <v>30000000</v>
      </c>
      <c r="BA69" s="1" t="s">
        <v>69</v>
      </c>
      <c r="BB69" s="1" t="s">
        <v>574</v>
      </c>
      <c r="BC69" s="1" t="s">
        <v>456</v>
      </c>
      <c r="BD69" s="1" t="s">
        <v>555</v>
      </c>
      <c r="BG69" s="1" t="s">
        <v>558</v>
      </c>
      <c r="BH69" s="1">
        <v>29</v>
      </c>
      <c r="BI69" s="1" t="s">
        <v>431</v>
      </c>
      <c r="BJ69" s="1" t="s">
        <v>67</v>
      </c>
      <c r="BK69" s="1" t="s">
        <v>440</v>
      </c>
      <c r="BL69" s="1">
        <v>0</v>
      </c>
      <c r="BM69" s="1" t="s">
        <v>863</v>
      </c>
      <c r="BN69" s="1" t="s">
        <v>951</v>
      </c>
      <c r="BP69" s="1">
        <v>30000000</v>
      </c>
      <c r="BR69" s="1" t="s">
        <v>69</v>
      </c>
      <c r="BS69" s="1" t="s">
        <v>69</v>
      </c>
      <c r="BT69" s="1" t="s">
        <v>574</v>
      </c>
      <c r="BU69" s="1" t="s">
        <v>456</v>
      </c>
      <c r="BV69" s="1" t="s">
        <v>555</v>
      </c>
      <c r="BY69" s="1" t="s">
        <v>558</v>
      </c>
      <c r="BZ69" s="1">
        <v>29</v>
      </c>
      <c r="CJ69" s="1">
        <v>1.9553199999999999</v>
      </c>
      <c r="CK69" s="1">
        <v>1.95282</v>
      </c>
      <c r="CL69" s="1">
        <v>1.9578199999999999</v>
      </c>
      <c r="CR69" s="1">
        <v>-385879.834999602</v>
      </c>
      <c r="CS69" s="1">
        <v>-387360.71</v>
      </c>
      <c r="CT69" s="1">
        <v>-384398.96</v>
      </c>
      <c r="CU69" s="1">
        <v>-1.2863</v>
      </c>
      <c r="CZ69" s="1">
        <v>-385879.83</v>
      </c>
      <c r="DA69" s="1">
        <v>-385879.83</v>
      </c>
      <c r="DB69" s="1">
        <v>-383530.75</v>
      </c>
      <c r="DC69" s="1">
        <v>-2349.08</v>
      </c>
      <c r="DD69" s="2">
        <v>5480.01</v>
      </c>
      <c r="DG69" s="1">
        <v>358.36</v>
      </c>
      <c r="DL69" s="1">
        <v>-30519042.16</v>
      </c>
      <c r="DM69" s="1">
        <v>-30383408.66</v>
      </c>
      <c r="DN69" s="1">
        <v>-135633.5</v>
      </c>
      <c r="DO69" s="1">
        <v>2.6682000000000001</v>
      </c>
      <c r="DP69" s="1" t="s">
        <v>920</v>
      </c>
      <c r="DQ69" s="1" t="s">
        <v>1421</v>
      </c>
      <c r="DS69" s="1">
        <v>30133162.329999998</v>
      </c>
      <c r="DT69" s="1">
        <v>29999877.91</v>
      </c>
      <c r="DU69" s="1">
        <v>133284.42000000001</v>
      </c>
      <c r="DV69" s="1">
        <v>2.14697</v>
      </c>
      <c r="DW69" s="1" t="s">
        <v>920</v>
      </c>
      <c r="DX69" s="1" t="s">
        <v>1421</v>
      </c>
      <c r="DY69" s="1" t="s">
        <v>1422</v>
      </c>
      <c r="DZ69" s="1">
        <v>-439456</v>
      </c>
      <c r="EA69" s="1">
        <v>-332304</v>
      </c>
      <c r="ED69" s="1" t="s">
        <v>50</v>
      </c>
      <c r="EE69" s="1" t="s">
        <v>953</v>
      </c>
      <c r="EF69" s="1" t="s">
        <v>53</v>
      </c>
      <c r="EG69" s="1" t="s">
        <v>953</v>
      </c>
      <c r="EH69" s="1" t="s">
        <v>51</v>
      </c>
      <c r="EJ69" s="1" t="s">
        <v>55</v>
      </c>
      <c r="EL69" s="1" t="s">
        <v>57</v>
      </c>
    </row>
    <row r="70" spans="1:142" x14ac:dyDescent="0.2">
      <c r="A70" s="101">
        <v>67666131001</v>
      </c>
      <c r="B70" s="101">
        <v>67666131</v>
      </c>
      <c r="D70" s="1" t="s">
        <v>63</v>
      </c>
      <c r="E70" s="1" t="s">
        <v>44</v>
      </c>
      <c r="F70" s="1" t="s">
        <v>583</v>
      </c>
      <c r="AI70" s="1" t="s">
        <v>551</v>
      </c>
      <c r="AJ70" s="1" t="s">
        <v>44</v>
      </c>
      <c r="AK70" s="1" t="s">
        <v>584</v>
      </c>
      <c r="AL70" s="1" t="s">
        <v>441</v>
      </c>
      <c r="AR70" s="1" t="s">
        <v>79</v>
      </c>
      <c r="AS70" s="1" t="s">
        <v>71</v>
      </c>
      <c r="AT70" s="1">
        <v>3.1282000000000001</v>
      </c>
      <c r="AV70" s="1" t="s">
        <v>845</v>
      </c>
      <c r="AW70" s="1" t="s">
        <v>841</v>
      </c>
      <c r="AX70" s="1">
        <v>6112080</v>
      </c>
      <c r="BA70" s="1" t="s">
        <v>69</v>
      </c>
      <c r="BB70" s="1" t="s">
        <v>574</v>
      </c>
      <c r="BC70" s="1" t="s">
        <v>456</v>
      </c>
      <c r="BD70" s="1" t="s">
        <v>555</v>
      </c>
      <c r="BG70" s="1" t="s">
        <v>558</v>
      </c>
      <c r="BH70" s="1">
        <v>20</v>
      </c>
      <c r="BI70" s="1" t="s">
        <v>431</v>
      </c>
      <c r="BJ70" s="1" t="s">
        <v>67</v>
      </c>
      <c r="BK70" s="1" t="s">
        <v>440</v>
      </c>
      <c r="BL70" s="1">
        <v>0</v>
      </c>
      <c r="BM70" s="1" t="s">
        <v>845</v>
      </c>
      <c r="BN70" s="1" t="s">
        <v>841</v>
      </c>
      <c r="BP70" s="1">
        <v>6112080</v>
      </c>
      <c r="BR70" s="1" t="s">
        <v>69</v>
      </c>
      <c r="BS70" s="1" t="s">
        <v>69</v>
      </c>
      <c r="BT70" s="1" t="s">
        <v>574</v>
      </c>
      <c r="BU70" s="1" t="s">
        <v>456</v>
      </c>
      <c r="BV70" s="1" t="s">
        <v>555</v>
      </c>
      <c r="BY70" s="1" t="s">
        <v>558</v>
      </c>
      <c r="BZ70" s="1">
        <v>20</v>
      </c>
      <c r="CJ70" s="1">
        <v>2.11348</v>
      </c>
      <c r="CK70" s="1">
        <v>2.1109800000000001</v>
      </c>
      <c r="CL70" s="1">
        <v>2.11598</v>
      </c>
      <c r="CR70" s="1">
        <v>-39294.581741029397</v>
      </c>
      <c r="CS70" s="1">
        <v>-39447.25</v>
      </c>
      <c r="CT70" s="1">
        <v>-39141.910000000003</v>
      </c>
      <c r="CU70" s="1">
        <v>-0.64290000000000003</v>
      </c>
      <c r="CZ70" s="1">
        <v>-39294.58</v>
      </c>
      <c r="DA70" s="1">
        <v>-39294.58</v>
      </c>
      <c r="DB70" s="1">
        <v>-33438.28</v>
      </c>
      <c r="DC70" s="1">
        <v>-5856.3</v>
      </c>
      <c r="DD70" s="2">
        <v>345.56</v>
      </c>
      <c r="DG70" s="1">
        <v>86.09</v>
      </c>
      <c r="DL70" s="1">
        <v>-6231018.5099999998</v>
      </c>
      <c r="DM70" s="1">
        <v>-6145510.4800000004</v>
      </c>
      <c r="DN70" s="1">
        <v>-85508.03</v>
      </c>
      <c r="DO70" s="1">
        <v>3.1282000000000001</v>
      </c>
      <c r="DP70" s="1" t="s">
        <v>956</v>
      </c>
      <c r="DQ70" s="1" t="s">
        <v>956</v>
      </c>
      <c r="DS70" s="1">
        <v>6191723.9299999997</v>
      </c>
      <c r="DT70" s="1">
        <v>6112072.2000000002</v>
      </c>
      <c r="DU70" s="1">
        <v>79651.73</v>
      </c>
      <c r="DV70" s="1">
        <v>2.4847399999999999</v>
      </c>
      <c r="DW70" s="1" t="s">
        <v>956</v>
      </c>
      <c r="DX70" s="1" t="s">
        <v>956</v>
      </c>
      <c r="DY70" s="1" t="s">
        <v>844</v>
      </c>
      <c r="DZ70" s="1">
        <v>-42946</v>
      </c>
      <c r="EA70" s="1">
        <v>-35643</v>
      </c>
      <c r="ED70" s="1" t="s">
        <v>50</v>
      </c>
      <c r="EE70" s="1" t="s">
        <v>957</v>
      </c>
      <c r="EF70" s="1" t="s">
        <v>53</v>
      </c>
      <c r="EG70" s="1" t="s">
        <v>957</v>
      </c>
      <c r="EH70" s="1" t="s">
        <v>51</v>
      </c>
      <c r="EJ70" s="1" t="s">
        <v>55</v>
      </c>
      <c r="EL70" s="1" t="s">
        <v>57</v>
      </c>
    </row>
    <row r="71" spans="1:142" x14ac:dyDescent="0.2">
      <c r="A71" s="101">
        <v>67745632001</v>
      </c>
      <c r="B71" s="101">
        <v>67745632</v>
      </c>
      <c r="D71" s="1" t="s">
        <v>77</v>
      </c>
      <c r="E71" s="1" t="s">
        <v>44</v>
      </c>
      <c r="F71" s="1" t="s">
        <v>583</v>
      </c>
      <c r="AI71" s="1" t="s">
        <v>551</v>
      </c>
      <c r="AJ71" s="1" t="s">
        <v>44</v>
      </c>
      <c r="AK71" s="1" t="s">
        <v>584</v>
      </c>
      <c r="AL71" s="1" t="s">
        <v>866</v>
      </c>
      <c r="AR71" s="1" t="s">
        <v>79</v>
      </c>
      <c r="AS71" s="1" t="s">
        <v>71</v>
      </c>
      <c r="AT71" s="1">
        <v>3.0636999999999999</v>
      </c>
      <c r="AV71" s="1" t="s">
        <v>959</v>
      </c>
      <c r="AW71" s="1" t="s">
        <v>960</v>
      </c>
      <c r="AX71" s="1">
        <v>3023278</v>
      </c>
      <c r="BA71" s="1" t="s">
        <v>69</v>
      </c>
      <c r="BB71" s="1" t="s">
        <v>574</v>
      </c>
      <c r="BC71" s="1" t="s">
        <v>456</v>
      </c>
      <c r="BD71" s="1" t="s">
        <v>555</v>
      </c>
      <c r="BG71" s="1" t="s">
        <v>558</v>
      </c>
      <c r="BH71" s="1">
        <v>5</v>
      </c>
      <c r="BI71" s="1" t="s">
        <v>431</v>
      </c>
      <c r="BJ71" s="1" t="s">
        <v>67</v>
      </c>
      <c r="BK71" s="1" t="s">
        <v>440</v>
      </c>
      <c r="BL71" s="1">
        <v>0</v>
      </c>
      <c r="BM71" s="1" t="s">
        <v>959</v>
      </c>
      <c r="BN71" s="1" t="s">
        <v>960</v>
      </c>
      <c r="BP71" s="1">
        <v>3023278</v>
      </c>
      <c r="BR71" s="1" t="s">
        <v>69</v>
      </c>
      <c r="BS71" s="1" t="s">
        <v>69</v>
      </c>
      <c r="BT71" s="1" t="s">
        <v>574</v>
      </c>
      <c r="BU71" s="1" t="s">
        <v>456</v>
      </c>
      <c r="BV71" s="1" t="s">
        <v>555</v>
      </c>
      <c r="BY71" s="1" t="s">
        <v>558</v>
      </c>
      <c r="BZ71" s="1">
        <v>5</v>
      </c>
      <c r="CJ71" s="1">
        <v>2.0550999999999999</v>
      </c>
      <c r="CK71" s="1">
        <v>2.0526</v>
      </c>
      <c r="CL71" s="1">
        <v>2.0575999999999999</v>
      </c>
      <c r="CR71" s="1">
        <v>-25446.619287744601</v>
      </c>
      <c r="CS71" s="1">
        <v>-25521.83</v>
      </c>
      <c r="CT71" s="1">
        <v>-25371.41</v>
      </c>
      <c r="CU71" s="1">
        <v>-0.8417</v>
      </c>
      <c r="CZ71" s="1">
        <v>-25446.62</v>
      </c>
      <c r="DA71" s="1">
        <v>-25446.62</v>
      </c>
      <c r="DB71" s="1">
        <v>-22935.1</v>
      </c>
      <c r="DC71" s="1">
        <v>-2511.5100000000002</v>
      </c>
      <c r="DD71" s="2">
        <v>234.04</v>
      </c>
      <c r="DG71" s="1">
        <v>46.53</v>
      </c>
      <c r="DL71" s="1">
        <v>-3067822.09</v>
      </c>
      <c r="DM71" s="1">
        <v>-3046209.78</v>
      </c>
      <c r="DN71" s="1">
        <v>-21612.31</v>
      </c>
      <c r="DO71" s="1">
        <v>3.0636999999999999</v>
      </c>
      <c r="DP71" s="1" t="s">
        <v>961</v>
      </c>
      <c r="DQ71" s="1" t="s">
        <v>961</v>
      </c>
      <c r="DS71" s="1">
        <v>3042375.47</v>
      </c>
      <c r="DT71" s="1">
        <v>3023274.68</v>
      </c>
      <c r="DU71" s="1">
        <v>19100.79</v>
      </c>
      <c r="DV71" s="1">
        <v>2.2178900000000001</v>
      </c>
      <c r="DW71" s="1" t="s">
        <v>961</v>
      </c>
      <c r="DX71" s="1" t="s">
        <v>961</v>
      </c>
      <c r="DY71" s="1" t="s">
        <v>725</v>
      </c>
      <c r="DZ71" s="1">
        <v>-27851</v>
      </c>
      <c r="EA71" s="1">
        <v>-23042</v>
      </c>
      <c r="ED71" s="1" t="s">
        <v>50</v>
      </c>
      <c r="EE71" s="1" t="s">
        <v>962</v>
      </c>
      <c r="EF71" s="1" t="s">
        <v>53</v>
      </c>
      <c r="EG71" s="1" t="s">
        <v>962</v>
      </c>
      <c r="EH71" s="1" t="s">
        <v>51</v>
      </c>
      <c r="EJ71" s="1" t="s">
        <v>55</v>
      </c>
      <c r="EL71" s="1" t="s">
        <v>57</v>
      </c>
    </row>
    <row r="72" spans="1:142" x14ac:dyDescent="0.2">
      <c r="A72" s="101">
        <v>68198866001</v>
      </c>
      <c r="B72" s="101">
        <v>68198866</v>
      </c>
      <c r="D72" s="1" t="s">
        <v>824</v>
      </c>
      <c r="E72" s="1" t="s">
        <v>44</v>
      </c>
      <c r="F72" s="1" t="s">
        <v>583</v>
      </c>
      <c r="AI72" s="1" t="s">
        <v>551</v>
      </c>
      <c r="AJ72" s="1" t="s">
        <v>44</v>
      </c>
      <c r="AK72" s="1" t="s">
        <v>584</v>
      </c>
      <c r="AL72" s="1" t="s">
        <v>874</v>
      </c>
      <c r="AR72" s="1" t="s">
        <v>79</v>
      </c>
      <c r="AS72" s="1" t="s">
        <v>71</v>
      </c>
      <c r="AT72" s="1">
        <v>3.0926999999999998</v>
      </c>
      <c r="AV72" s="1" t="s">
        <v>792</v>
      </c>
      <c r="AW72" s="1" t="s">
        <v>967</v>
      </c>
      <c r="AX72" s="1">
        <v>1670337</v>
      </c>
      <c r="BA72" s="1" t="s">
        <v>69</v>
      </c>
      <c r="BB72" s="1" t="s">
        <v>574</v>
      </c>
      <c r="BC72" s="1" t="s">
        <v>456</v>
      </c>
      <c r="BD72" s="1" t="s">
        <v>555</v>
      </c>
      <c r="BG72" s="1" t="s">
        <v>558</v>
      </c>
      <c r="BH72" s="1">
        <v>1</v>
      </c>
      <c r="BI72" s="1" t="s">
        <v>431</v>
      </c>
      <c r="BJ72" s="1" t="s">
        <v>67</v>
      </c>
      <c r="BK72" s="1" t="s">
        <v>440</v>
      </c>
      <c r="BL72" s="1">
        <v>0</v>
      </c>
      <c r="BM72" s="1" t="s">
        <v>792</v>
      </c>
      <c r="BN72" s="1" t="s">
        <v>967</v>
      </c>
      <c r="BP72" s="1">
        <v>1670337</v>
      </c>
      <c r="BR72" s="1" t="s">
        <v>69</v>
      </c>
      <c r="BS72" s="1" t="s">
        <v>69</v>
      </c>
      <c r="BT72" s="1" t="s">
        <v>574</v>
      </c>
      <c r="BU72" s="1" t="s">
        <v>456</v>
      </c>
      <c r="BV72" s="1" t="s">
        <v>555</v>
      </c>
      <c r="BY72" s="1" t="s">
        <v>558</v>
      </c>
      <c r="BZ72" s="1">
        <v>1</v>
      </c>
      <c r="CJ72" s="1">
        <v>2.0783200000000002</v>
      </c>
      <c r="CK72" s="1">
        <v>2.0758200000000002</v>
      </c>
      <c r="CL72" s="1">
        <v>2.0808200000000001</v>
      </c>
      <c r="CR72" s="1">
        <v>-12663.028905078099</v>
      </c>
      <c r="CS72" s="1">
        <v>-12704.66</v>
      </c>
      <c r="CT72" s="1">
        <v>-12621.4</v>
      </c>
      <c r="CU72" s="1">
        <v>-0.7581</v>
      </c>
      <c r="CZ72" s="1">
        <v>-12663.03</v>
      </c>
      <c r="DA72" s="1">
        <v>-12663.03</v>
      </c>
      <c r="DB72" s="1">
        <v>-11096.72</v>
      </c>
      <c r="DC72" s="1">
        <v>-1566.31</v>
      </c>
      <c r="DD72" s="2">
        <v>113.53</v>
      </c>
      <c r="DG72" s="1">
        <v>24.63</v>
      </c>
      <c r="DL72" s="1">
        <v>-1698507.76</v>
      </c>
      <c r="DM72" s="1">
        <v>-1681431.76</v>
      </c>
      <c r="DN72" s="1">
        <v>-17076.009999999998</v>
      </c>
      <c r="DO72" s="1">
        <v>3.0926999999999998</v>
      </c>
      <c r="DP72" s="1" t="s">
        <v>968</v>
      </c>
      <c r="DQ72" s="1" t="s">
        <v>968</v>
      </c>
      <c r="DS72" s="1">
        <v>1685844.74</v>
      </c>
      <c r="DT72" s="1">
        <v>1670335.04</v>
      </c>
      <c r="DU72" s="1">
        <v>15509.7</v>
      </c>
      <c r="DV72" s="1">
        <v>2.3322600000000002</v>
      </c>
      <c r="DW72" s="1" t="s">
        <v>968</v>
      </c>
      <c r="DX72" s="1" t="s">
        <v>968</v>
      </c>
      <c r="DY72" s="1" t="s">
        <v>969</v>
      </c>
      <c r="DZ72" s="1">
        <v>-13843</v>
      </c>
      <c r="EA72" s="1">
        <v>-11483</v>
      </c>
      <c r="ED72" s="1" t="s">
        <v>50</v>
      </c>
      <c r="EE72" s="1" t="s">
        <v>970</v>
      </c>
      <c r="EF72" s="1" t="s">
        <v>53</v>
      </c>
      <c r="EG72" s="1" t="s">
        <v>970</v>
      </c>
      <c r="EH72" s="1" t="s">
        <v>51</v>
      </c>
      <c r="EJ72" s="1" t="s">
        <v>55</v>
      </c>
      <c r="EL72" s="1" t="s">
        <v>57</v>
      </c>
    </row>
    <row r="73" spans="1:142" x14ac:dyDescent="0.2">
      <c r="A73" s="101">
        <v>67846176001</v>
      </c>
      <c r="B73" s="101">
        <v>67846176</v>
      </c>
      <c r="D73" s="1" t="s">
        <v>77</v>
      </c>
      <c r="E73" s="1" t="s">
        <v>44</v>
      </c>
      <c r="F73" s="1" t="s">
        <v>583</v>
      </c>
      <c r="AI73" s="1" t="s">
        <v>551</v>
      </c>
      <c r="AJ73" s="1" t="s">
        <v>44</v>
      </c>
      <c r="AK73" s="1" t="s">
        <v>584</v>
      </c>
      <c r="AL73" s="1" t="s">
        <v>845</v>
      </c>
      <c r="AR73" s="1" t="s">
        <v>79</v>
      </c>
      <c r="AS73" s="1" t="s">
        <v>71</v>
      </c>
      <c r="AT73" s="1">
        <v>3.2357</v>
      </c>
      <c r="AV73" s="1" t="s">
        <v>959</v>
      </c>
      <c r="AW73" s="1" t="s">
        <v>963</v>
      </c>
      <c r="AX73" s="1">
        <v>3919807</v>
      </c>
      <c r="BA73" s="1" t="s">
        <v>69</v>
      </c>
      <c r="BB73" s="1" t="s">
        <v>574</v>
      </c>
      <c r="BC73" s="1" t="s">
        <v>456</v>
      </c>
      <c r="BD73" s="1" t="s">
        <v>555</v>
      </c>
      <c r="BG73" s="1" t="s">
        <v>558</v>
      </c>
      <c r="BH73" s="1">
        <v>11</v>
      </c>
      <c r="BI73" s="1" t="s">
        <v>431</v>
      </c>
      <c r="BJ73" s="1" t="s">
        <v>67</v>
      </c>
      <c r="BK73" s="1" t="s">
        <v>440</v>
      </c>
      <c r="BL73" s="1">
        <v>0</v>
      </c>
      <c r="BM73" s="1" t="s">
        <v>959</v>
      </c>
      <c r="BN73" s="1" t="s">
        <v>963</v>
      </c>
      <c r="BP73" s="1">
        <v>3919807</v>
      </c>
      <c r="BR73" s="1" t="s">
        <v>69</v>
      </c>
      <c r="BS73" s="1" t="s">
        <v>69</v>
      </c>
      <c r="BT73" s="1" t="s">
        <v>574</v>
      </c>
      <c r="BU73" s="1" t="s">
        <v>456</v>
      </c>
      <c r="BV73" s="1" t="s">
        <v>555</v>
      </c>
      <c r="BY73" s="1" t="s">
        <v>558</v>
      </c>
      <c r="BZ73" s="1">
        <v>11</v>
      </c>
      <c r="CJ73" s="1">
        <v>2.1888299999999998</v>
      </c>
      <c r="CK73" s="1">
        <v>2.1863299999999999</v>
      </c>
      <c r="CL73" s="1">
        <v>2.1913300000000002</v>
      </c>
      <c r="CR73" s="1">
        <v>-17165.945848968298</v>
      </c>
      <c r="CS73" s="1">
        <v>-17264.23</v>
      </c>
      <c r="CT73" s="1">
        <v>-17067.66</v>
      </c>
      <c r="CU73" s="1">
        <v>-0.43790000000000001</v>
      </c>
      <c r="CZ73" s="1">
        <v>-17165.95</v>
      </c>
      <c r="DA73" s="1">
        <v>-17165.95</v>
      </c>
      <c r="DB73" s="1">
        <v>-14330.15</v>
      </c>
      <c r="DC73" s="1">
        <v>-2835.8</v>
      </c>
      <c r="DD73" s="2">
        <v>146.08000000000001</v>
      </c>
      <c r="DG73" s="1">
        <v>43.49</v>
      </c>
      <c r="DL73" s="1">
        <v>-4015515.77</v>
      </c>
      <c r="DM73" s="1">
        <v>-3934131.13</v>
      </c>
      <c r="DN73" s="1">
        <v>-81384.63</v>
      </c>
      <c r="DO73" s="1">
        <v>3.2357</v>
      </c>
      <c r="DP73" s="1" t="s">
        <v>964</v>
      </c>
      <c r="DQ73" s="1" t="s">
        <v>964</v>
      </c>
      <c r="DS73" s="1">
        <v>3998349.82</v>
      </c>
      <c r="DT73" s="1">
        <v>3919800.99</v>
      </c>
      <c r="DU73" s="1">
        <v>78548.84</v>
      </c>
      <c r="DV73" s="1">
        <v>2.7990499999999998</v>
      </c>
      <c r="DW73" s="1" t="s">
        <v>964</v>
      </c>
      <c r="DX73" s="1" t="s">
        <v>964</v>
      </c>
      <c r="DY73" s="1" t="s">
        <v>802</v>
      </c>
      <c r="DZ73" s="1">
        <v>-18765</v>
      </c>
      <c r="EA73" s="1">
        <v>-15567</v>
      </c>
      <c r="ED73" s="1" t="s">
        <v>50</v>
      </c>
      <c r="EE73" s="1" t="s">
        <v>965</v>
      </c>
      <c r="EF73" s="1" t="s">
        <v>53</v>
      </c>
      <c r="EG73" s="1" t="s">
        <v>965</v>
      </c>
      <c r="EH73" s="1" t="s">
        <v>51</v>
      </c>
      <c r="EJ73" s="1" t="s">
        <v>55</v>
      </c>
      <c r="EL73" s="1" t="s">
        <v>57</v>
      </c>
    </row>
    <row r="74" spans="1:142" x14ac:dyDescent="0.2">
      <c r="A74" s="101">
        <v>68458481001</v>
      </c>
      <c r="B74" s="101">
        <v>68458481</v>
      </c>
      <c r="D74" s="1" t="s">
        <v>220</v>
      </c>
      <c r="E74" s="1" t="s">
        <v>44</v>
      </c>
      <c r="F74" s="1" t="s">
        <v>561</v>
      </c>
      <c r="U74" s="1">
        <v>60399392.744440503</v>
      </c>
      <c r="AI74" s="1" t="s">
        <v>551</v>
      </c>
      <c r="AJ74" s="1" t="s">
        <v>44</v>
      </c>
      <c r="AK74" s="1" t="s">
        <v>581</v>
      </c>
      <c r="AL74" s="1" t="s">
        <v>852</v>
      </c>
      <c r="AR74" s="1" t="s">
        <v>66</v>
      </c>
      <c r="AS74" s="1" t="s">
        <v>71</v>
      </c>
      <c r="AT74" s="1">
        <v>2.35</v>
      </c>
      <c r="AV74" s="1" t="s">
        <v>727</v>
      </c>
      <c r="AW74" s="1" t="s">
        <v>976</v>
      </c>
      <c r="AX74" s="1">
        <v>37955580</v>
      </c>
      <c r="BA74" s="1" t="s">
        <v>69</v>
      </c>
      <c r="BB74" s="1" t="s">
        <v>560</v>
      </c>
      <c r="BD74" s="1" t="s">
        <v>555</v>
      </c>
      <c r="BG74" s="1" t="s">
        <v>558</v>
      </c>
      <c r="BH74" s="1">
        <v>15</v>
      </c>
      <c r="BI74" s="1" t="s">
        <v>70</v>
      </c>
      <c r="BJ74" s="1" t="s">
        <v>67</v>
      </c>
      <c r="BK74" s="1" t="s">
        <v>76</v>
      </c>
      <c r="BM74" s="1" t="s">
        <v>727</v>
      </c>
      <c r="BN74" s="1" t="s">
        <v>976</v>
      </c>
      <c r="BP74" s="1">
        <v>37955580</v>
      </c>
      <c r="BT74" s="1" t="s">
        <v>557</v>
      </c>
      <c r="BV74" s="1" t="s">
        <v>555</v>
      </c>
      <c r="BY74" s="1" t="s">
        <v>558</v>
      </c>
      <c r="BZ74" s="1">
        <v>15</v>
      </c>
      <c r="CJ74" s="1">
        <v>2.1754600000000002</v>
      </c>
      <c r="CK74" s="1">
        <v>2.1729599999999998</v>
      </c>
      <c r="CL74" s="1">
        <v>2.1779600000000001</v>
      </c>
      <c r="CR74" s="1">
        <v>-1215366.05877858</v>
      </c>
      <c r="CU74" s="1">
        <v>-3.2021000000000002</v>
      </c>
      <c r="CZ74" s="1">
        <v>-1215366.06</v>
      </c>
      <c r="DA74" s="1">
        <v>-1215366.06</v>
      </c>
      <c r="DB74" s="1">
        <v>-1157504.1499999999</v>
      </c>
      <c r="DC74" s="1">
        <v>-57861.91</v>
      </c>
      <c r="DD74" s="2">
        <v>2305.5100000000002</v>
      </c>
      <c r="DG74" s="1">
        <v>-2510.8000000000002</v>
      </c>
      <c r="DL74" s="1">
        <v>-36214210.100000001</v>
      </c>
      <c r="DM74" s="1">
        <v>-35284652.840000004</v>
      </c>
      <c r="DN74" s="1">
        <v>-929557.26</v>
      </c>
      <c r="DO74" s="1">
        <v>2.35</v>
      </c>
      <c r="DP74" s="1" t="s">
        <v>976</v>
      </c>
      <c r="DQ74" s="1" t="s">
        <v>976</v>
      </c>
      <c r="DS74" s="1">
        <v>34998844.039999999</v>
      </c>
      <c r="DT74" s="1">
        <v>34127148.689999998</v>
      </c>
      <c r="DU74" s="1">
        <v>871695.35</v>
      </c>
      <c r="DV74" s="1">
        <v>2.1754600000000002</v>
      </c>
      <c r="DW74" s="1" t="s">
        <v>976</v>
      </c>
      <c r="DX74" s="1" t="s">
        <v>976</v>
      </c>
      <c r="DZ74" s="1">
        <v>-1240444</v>
      </c>
      <c r="EA74" s="1">
        <v>-1190288</v>
      </c>
      <c r="ED74" s="1" t="s">
        <v>50</v>
      </c>
      <c r="EE74" s="1" t="s">
        <v>990</v>
      </c>
      <c r="EF74" s="1" t="s">
        <v>53</v>
      </c>
      <c r="EG74" s="1" t="s">
        <v>990</v>
      </c>
      <c r="EH74" s="1" t="s">
        <v>51</v>
      </c>
      <c r="EJ74" s="1" t="s">
        <v>55</v>
      </c>
      <c r="EL74" s="1" t="s">
        <v>57</v>
      </c>
    </row>
    <row r="75" spans="1:142" x14ac:dyDescent="0.2">
      <c r="A75" s="101">
        <v>68458492001</v>
      </c>
      <c r="B75" s="101">
        <v>68458492</v>
      </c>
      <c r="D75" s="1" t="s">
        <v>220</v>
      </c>
      <c r="E75" s="1" t="s">
        <v>44</v>
      </c>
      <c r="F75" s="1" t="s">
        <v>561</v>
      </c>
      <c r="U75" s="1">
        <v>36402045.090913303</v>
      </c>
      <c r="AI75" s="1" t="s">
        <v>551</v>
      </c>
      <c r="AJ75" s="1" t="s">
        <v>44</v>
      </c>
      <c r="AK75" s="1" t="s">
        <v>581</v>
      </c>
      <c r="AL75" s="1" t="s">
        <v>852</v>
      </c>
      <c r="AR75" s="1" t="s">
        <v>66</v>
      </c>
      <c r="AS75" s="1" t="s">
        <v>67</v>
      </c>
      <c r="AT75" s="1">
        <v>2.46</v>
      </c>
      <c r="AV75" s="1" t="s">
        <v>727</v>
      </c>
      <c r="AW75" s="1" t="s">
        <v>971</v>
      </c>
      <c r="AX75" s="1">
        <v>17558580</v>
      </c>
      <c r="BA75" s="1" t="s">
        <v>69</v>
      </c>
      <c r="BB75" s="1" t="s">
        <v>560</v>
      </c>
      <c r="BD75" s="1" t="s">
        <v>555</v>
      </c>
      <c r="BG75" s="1" t="s">
        <v>558</v>
      </c>
      <c r="BH75" s="1">
        <v>16</v>
      </c>
      <c r="BI75" s="1" t="s">
        <v>70</v>
      </c>
      <c r="BJ75" s="1" t="s">
        <v>71</v>
      </c>
      <c r="BK75" s="1" t="s">
        <v>76</v>
      </c>
      <c r="BM75" s="1" t="s">
        <v>727</v>
      </c>
      <c r="BN75" s="1" t="s">
        <v>971</v>
      </c>
      <c r="BP75" s="1">
        <v>17558580</v>
      </c>
      <c r="BT75" s="1" t="s">
        <v>557</v>
      </c>
      <c r="BV75" s="1" t="s">
        <v>555</v>
      </c>
      <c r="BY75" s="1" t="s">
        <v>558</v>
      </c>
      <c r="BZ75" s="1">
        <v>16</v>
      </c>
      <c r="CJ75" s="1">
        <v>2.2633000000000001</v>
      </c>
      <c r="CK75" s="1">
        <v>2.2608000000000001</v>
      </c>
      <c r="CL75" s="1">
        <v>2.2658</v>
      </c>
      <c r="CR75" s="1">
        <v>976829.32657358004</v>
      </c>
      <c r="CU75" s="1">
        <v>5.5632999999999999</v>
      </c>
      <c r="CZ75" s="1">
        <v>976829.33</v>
      </c>
      <c r="DA75" s="1">
        <v>976829.33</v>
      </c>
      <c r="DB75" s="1">
        <v>929923.1</v>
      </c>
      <c r="DC75" s="1">
        <v>46906.23</v>
      </c>
      <c r="DD75" s="2">
        <v>-2771.39</v>
      </c>
      <c r="DG75" s="1">
        <v>996.37</v>
      </c>
      <c r="DL75" s="1">
        <v>17437689.280000001</v>
      </c>
      <c r="DM75" s="1">
        <v>16987529.239999998</v>
      </c>
      <c r="DN75" s="1">
        <v>450160.04</v>
      </c>
      <c r="DO75" s="1">
        <v>2.46</v>
      </c>
      <c r="DP75" s="1" t="s">
        <v>971</v>
      </c>
      <c r="DQ75" s="1" t="s">
        <v>971</v>
      </c>
      <c r="DS75" s="1">
        <v>-16460859.960000001</v>
      </c>
      <c r="DT75" s="1">
        <v>-16057606.140000001</v>
      </c>
      <c r="DU75" s="1">
        <v>-403253.82</v>
      </c>
      <c r="DV75" s="1">
        <v>2.2631299999999999</v>
      </c>
      <c r="DW75" s="1" t="s">
        <v>971</v>
      </c>
      <c r="DX75" s="1" t="s">
        <v>971</v>
      </c>
      <c r="DZ75" s="1">
        <v>1008192</v>
      </c>
      <c r="EA75" s="1">
        <v>945467</v>
      </c>
      <c r="ED75" s="1" t="s">
        <v>50</v>
      </c>
      <c r="EE75" s="1" t="s">
        <v>991</v>
      </c>
      <c r="EF75" s="1" t="s">
        <v>53</v>
      </c>
      <c r="EG75" s="1" t="s">
        <v>991</v>
      </c>
      <c r="EH75" s="1" t="s">
        <v>51</v>
      </c>
      <c r="EJ75" s="1" t="s">
        <v>55</v>
      </c>
      <c r="EL75" s="1" t="s">
        <v>57</v>
      </c>
    </row>
    <row r="76" spans="1:142" x14ac:dyDescent="0.2">
      <c r="A76" s="101">
        <v>68458510001</v>
      </c>
      <c r="B76" s="101">
        <v>68458510</v>
      </c>
      <c r="D76" s="1" t="s">
        <v>220</v>
      </c>
      <c r="E76" s="1" t="s">
        <v>44</v>
      </c>
      <c r="F76" s="1" t="s">
        <v>561</v>
      </c>
      <c r="U76" s="1">
        <v>6591851.7524062702</v>
      </c>
      <c r="AI76" s="1" t="s">
        <v>551</v>
      </c>
      <c r="AJ76" s="1" t="s">
        <v>44</v>
      </c>
      <c r="AK76" s="1" t="s">
        <v>581</v>
      </c>
      <c r="AL76" s="1" t="s">
        <v>852</v>
      </c>
      <c r="AR76" s="1" t="s">
        <v>66</v>
      </c>
      <c r="AS76" s="1" t="s">
        <v>67</v>
      </c>
      <c r="AT76" s="1">
        <v>2.19</v>
      </c>
      <c r="AV76" s="1" t="s">
        <v>727</v>
      </c>
      <c r="AW76" s="1" t="s">
        <v>974</v>
      </c>
      <c r="AX76" s="1">
        <v>5308160</v>
      </c>
      <c r="BA76" s="1" t="s">
        <v>69</v>
      </c>
      <c r="BB76" s="1" t="s">
        <v>560</v>
      </c>
      <c r="BD76" s="1" t="s">
        <v>555</v>
      </c>
      <c r="BG76" s="1" t="s">
        <v>558</v>
      </c>
      <c r="BH76" s="1">
        <v>15</v>
      </c>
      <c r="BI76" s="1" t="s">
        <v>70</v>
      </c>
      <c r="BJ76" s="1" t="s">
        <v>71</v>
      </c>
      <c r="BK76" s="1" t="s">
        <v>76</v>
      </c>
      <c r="BM76" s="1" t="s">
        <v>727</v>
      </c>
      <c r="BN76" s="1" t="s">
        <v>974</v>
      </c>
      <c r="BP76" s="1">
        <v>5308160</v>
      </c>
      <c r="BT76" s="1" t="s">
        <v>557</v>
      </c>
      <c r="BV76" s="1" t="s">
        <v>555</v>
      </c>
      <c r="BY76" s="1" t="s">
        <v>558</v>
      </c>
      <c r="BZ76" s="1">
        <v>15</v>
      </c>
      <c r="CJ76" s="1">
        <v>2.0451800000000002</v>
      </c>
      <c r="CK76" s="1">
        <v>2.0426799999999998</v>
      </c>
      <c r="CL76" s="1">
        <v>2.0476800000000002</v>
      </c>
      <c r="CR76" s="1">
        <v>74366.570028268703</v>
      </c>
      <c r="CU76" s="1">
        <v>1.401</v>
      </c>
      <c r="CZ76" s="1">
        <v>74366.570000000007</v>
      </c>
      <c r="DA76" s="1">
        <v>74366.570000000007</v>
      </c>
      <c r="DB76" s="1">
        <v>75129.539999999994</v>
      </c>
      <c r="DC76" s="1">
        <v>-762.97</v>
      </c>
      <c r="DD76" s="2">
        <v>-66.5</v>
      </c>
      <c r="DG76" s="1">
        <v>428.63</v>
      </c>
      <c r="DL76" s="1">
        <v>5282299.41</v>
      </c>
      <c r="DM76" s="1">
        <v>5161154.12</v>
      </c>
      <c r="DN76" s="1">
        <v>121145.28</v>
      </c>
      <c r="DO76" s="1">
        <v>2.19</v>
      </c>
      <c r="DP76" s="1" t="s">
        <v>974</v>
      </c>
      <c r="DQ76" s="1" t="s">
        <v>974</v>
      </c>
      <c r="DS76" s="1">
        <v>-5207932.84</v>
      </c>
      <c r="DT76" s="1">
        <v>-5086024.58</v>
      </c>
      <c r="DU76" s="1">
        <v>-121908.25</v>
      </c>
      <c r="DV76" s="1">
        <v>2.0447299999999999</v>
      </c>
      <c r="DW76" s="1" t="s">
        <v>974</v>
      </c>
      <c r="DX76" s="1" t="s">
        <v>974</v>
      </c>
      <c r="DZ76" s="1">
        <v>75047</v>
      </c>
      <c r="EA76" s="1">
        <v>73687</v>
      </c>
      <c r="ED76" s="1" t="s">
        <v>50</v>
      </c>
      <c r="EE76" s="1" t="s">
        <v>992</v>
      </c>
      <c r="EF76" s="1" t="s">
        <v>53</v>
      </c>
      <c r="EG76" s="1" t="s">
        <v>992</v>
      </c>
      <c r="EH76" s="1" t="s">
        <v>51</v>
      </c>
      <c r="EJ76" s="1" t="s">
        <v>55</v>
      </c>
      <c r="EL76" s="1" t="s">
        <v>57</v>
      </c>
    </row>
    <row r="77" spans="1:142" x14ac:dyDescent="0.2">
      <c r="A77" s="101">
        <v>68458518001</v>
      </c>
      <c r="B77" s="101">
        <v>68458518</v>
      </c>
      <c r="D77" s="1" t="s">
        <v>220</v>
      </c>
      <c r="E77" s="1" t="s">
        <v>44</v>
      </c>
      <c r="F77" s="1" t="s">
        <v>561</v>
      </c>
      <c r="U77" s="1">
        <v>17035726.158688299</v>
      </c>
      <c r="AI77" s="1" t="s">
        <v>551</v>
      </c>
      <c r="AJ77" s="1" t="s">
        <v>44</v>
      </c>
      <c r="AK77" s="1" t="s">
        <v>581</v>
      </c>
      <c r="AL77" s="1" t="s">
        <v>852</v>
      </c>
      <c r="AR77" s="1" t="s">
        <v>66</v>
      </c>
      <c r="AS77" s="1" t="s">
        <v>71</v>
      </c>
      <c r="AT77" s="1">
        <v>2.35</v>
      </c>
      <c r="AV77" s="1" t="s">
        <v>727</v>
      </c>
      <c r="AW77" s="1" t="s">
        <v>976</v>
      </c>
      <c r="AX77" s="1">
        <v>10705420</v>
      </c>
      <c r="BA77" s="1" t="s">
        <v>69</v>
      </c>
      <c r="BB77" s="1" t="s">
        <v>560</v>
      </c>
      <c r="BD77" s="1" t="s">
        <v>555</v>
      </c>
      <c r="BG77" s="1" t="s">
        <v>558</v>
      </c>
      <c r="BH77" s="1">
        <v>15</v>
      </c>
      <c r="BI77" s="1" t="s">
        <v>70</v>
      </c>
      <c r="BJ77" s="1" t="s">
        <v>67</v>
      </c>
      <c r="BK77" s="1" t="s">
        <v>76</v>
      </c>
      <c r="BM77" s="1" t="s">
        <v>727</v>
      </c>
      <c r="BN77" s="1" t="s">
        <v>976</v>
      </c>
      <c r="BP77" s="1">
        <v>10705420</v>
      </c>
      <c r="BT77" s="1" t="s">
        <v>557</v>
      </c>
      <c r="BV77" s="1" t="s">
        <v>555</v>
      </c>
      <c r="BY77" s="1" t="s">
        <v>558</v>
      </c>
      <c r="BZ77" s="1">
        <v>15</v>
      </c>
      <c r="CJ77" s="1">
        <v>2.1754600000000002</v>
      </c>
      <c r="CK77" s="1">
        <v>2.1729599999999998</v>
      </c>
      <c r="CL77" s="1">
        <v>2.1779600000000001</v>
      </c>
      <c r="CR77" s="1">
        <v>-342795.55504011601</v>
      </c>
      <c r="CU77" s="1">
        <v>-3.2021000000000002</v>
      </c>
      <c r="CZ77" s="1">
        <v>-342795.56</v>
      </c>
      <c r="DA77" s="1">
        <v>-342795.56</v>
      </c>
      <c r="DB77" s="1">
        <v>-326475.53000000003</v>
      </c>
      <c r="DC77" s="1">
        <v>-16320.03</v>
      </c>
      <c r="DD77" s="2">
        <v>650.27</v>
      </c>
      <c r="DG77" s="1">
        <v>-708.17</v>
      </c>
      <c r="DL77" s="1">
        <v>-10214264.390000001</v>
      </c>
      <c r="DM77" s="1">
        <v>-9952081.5700000003</v>
      </c>
      <c r="DN77" s="1">
        <v>-262182.82</v>
      </c>
      <c r="DO77" s="1">
        <v>2.35</v>
      </c>
      <c r="DP77" s="1" t="s">
        <v>976</v>
      </c>
      <c r="DQ77" s="1" t="s">
        <v>976</v>
      </c>
      <c r="DS77" s="1">
        <v>9871468.8300000001</v>
      </c>
      <c r="DT77" s="1">
        <v>9625606.0399999991</v>
      </c>
      <c r="DU77" s="1">
        <v>245862.79</v>
      </c>
      <c r="DV77" s="1">
        <v>2.1754600000000002</v>
      </c>
      <c r="DW77" s="1" t="s">
        <v>976</v>
      </c>
      <c r="DX77" s="1" t="s">
        <v>976</v>
      </c>
      <c r="DZ77" s="1">
        <v>-349869</v>
      </c>
      <c r="EA77" s="1">
        <v>-335722</v>
      </c>
      <c r="ED77" s="1" t="s">
        <v>50</v>
      </c>
      <c r="EE77" s="1" t="s">
        <v>993</v>
      </c>
      <c r="EF77" s="1" t="s">
        <v>53</v>
      </c>
      <c r="EG77" s="1" t="s">
        <v>993</v>
      </c>
      <c r="EH77" s="1" t="s">
        <v>51</v>
      </c>
      <c r="EJ77" s="1" t="s">
        <v>55</v>
      </c>
      <c r="EL77" s="1" t="s">
        <v>57</v>
      </c>
    </row>
    <row r="78" spans="1:142" x14ac:dyDescent="0.2">
      <c r="A78" s="101">
        <v>68556363001</v>
      </c>
      <c r="B78" s="101">
        <v>68556363</v>
      </c>
      <c r="D78" s="1" t="s">
        <v>59</v>
      </c>
      <c r="E78" s="1" t="s">
        <v>44</v>
      </c>
      <c r="F78" s="1" t="s">
        <v>561</v>
      </c>
      <c r="U78" s="1">
        <v>4761344.1435409896</v>
      </c>
      <c r="AI78" s="1" t="s">
        <v>551</v>
      </c>
      <c r="AJ78" s="1" t="s">
        <v>44</v>
      </c>
      <c r="AK78" s="1" t="s">
        <v>581</v>
      </c>
      <c r="AL78" s="1" t="s">
        <v>730</v>
      </c>
      <c r="AR78" s="1" t="s">
        <v>66</v>
      </c>
      <c r="AS78" s="1" t="s">
        <v>67</v>
      </c>
      <c r="AT78" s="1">
        <v>2.1850000000000001</v>
      </c>
      <c r="AV78" s="1" t="s">
        <v>727</v>
      </c>
      <c r="AW78" s="1" t="s">
        <v>974</v>
      </c>
      <c r="AX78" s="1">
        <v>3836000</v>
      </c>
      <c r="BA78" s="1" t="s">
        <v>69</v>
      </c>
      <c r="BB78" s="1" t="s">
        <v>560</v>
      </c>
      <c r="BD78" s="1" t="s">
        <v>555</v>
      </c>
      <c r="BG78" s="1" t="s">
        <v>558</v>
      </c>
      <c r="BH78" s="1">
        <v>15</v>
      </c>
      <c r="BI78" s="1" t="s">
        <v>70</v>
      </c>
      <c r="BJ78" s="1" t="s">
        <v>71</v>
      </c>
      <c r="BK78" s="1" t="s">
        <v>76</v>
      </c>
      <c r="BM78" s="1" t="s">
        <v>727</v>
      </c>
      <c r="BN78" s="1" t="s">
        <v>974</v>
      </c>
      <c r="BP78" s="1">
        <v>3836000</v>
      </c>
      <c r="BT78" s="1" t="s">
        <v>557</v>
      </c>
      <c r="BV78" s="1" t="s">
        <v>555</v>
      </c>
      <c r="BY78" s="1" t="s">
        <v>558</v>
      </c>
      <c r="BZ78" s="1">
        <v>15</v>
      </c>
      <c r="CJ78" s="1">
        <v>2.0451800000000002</v>
      </c>
      <c r="CK78" s="1">
        <v>2.0426799999999998</v>
      </c>
      <c r="CL78" s="1">
        <v>2.0476800000000002</v>
      </c>
      <c r="CR78" s="1">
        <v>51874.884105115198</v>
      </c>
      <c r="CU78" s="1">
        <v>1.3523000000000001</v>
      </c>
      <c r="CZ78" s="1">
        <v>51874.879999999997</v>
      </c>
      <c r="DA78" s="1">
        <v>51874.879999999997</v>
      </c>
      <c r="DB78" s="1">
        <v>52626.22</v>
      </c>
      <c r="DC78" s="1">
        <v>-751.33</v>
      </c>
      <c r="DD78" s="2">
        <v>-46.38</v>
      </c>
      <c r="DG78" s="1">
        <v>309.60000000000002</v>
      </c>
      <c r="DL78" s="1">
        <v>3815444.63</v>
      </c>
      <c r="DM78" s="1">
        <v>3728097.63</v>
      </c>
      <c r="DN78" s="1">
        <v>87347</v>
      </c>
      <c r="DO78" s="1">
        <v>2.1850000000000001</v>
      </c>
      <c r="DP78" s="1" t="s">
        <v>974</v>
      </c>
      <c r="DQ78" s="1" t="s">
        <v>974</v>
      </c>
      <c r="DS78" s="1">
        <v>-3763569.74</v>
      </c>
      <c r="DT78" s="1">
        <v>-3675471.41</v>
      </c>
      <c r="DU78" s="1">
        <v>-88098.33</v>
      </c>
      <c r="DV78" s="1">
        <v>2.0447299999999999</v>
      </c>
      <c r="DW78" s="1" t="s">
        <v>974</v>
      </c>
      <c r="DX78" s="1" t="s">
        <v>974</v>
      </c>
      <c r="DZ78" s="1">
        <v>52349</v>
      </c>
      <c r="EA78" s="1">
        <v>51401</v>
      </c>
      <c r="ED78" s="1" t="s">
        <v>50</v>
      </c>
      <c r="EE78" s="1" t="s">
        <v>975</v>
      </c>
      <c r="EF78" s="1" t="s">
        <v>53</v>
      </c>
      <c r="EG78" s="1" t="s">
        <v>975</v>
      </c>
      <c r="EH78" s="1" t="s">
        <v>51</v>
      </c>
      <c r="EJ78" s="1" t="s">
        <v>55</v>
      </c>
      <c r="EL78" s="1" t="s">
        <v>57</v>
      </c>
    </row>
    <row r="79" spans="1:142" x14ac:dyDescent="0.2">
      <c r="A79" s="101">
        <v>68458760001</v>
      </c>
      <c r="B79" s="101">
        <v>68458760</v>
      </c>
      <c r="D79" s="1" t="s">
        <v>220</v>
      </c>
      <c r="E79" s="1" t="s">
        <v>44</v>
      </c>
      <c r="F79" s="1" t="s">
        <v>561</v>
      </c>
      <c r="U79" s="1">
        <v>10267243.487180701</v>
      </c>
      <c r="AI79" s="1" t="s">
        <v>551</v>
      </c>
      <c r="AJ79" s="1" t="s">
        <v>44</v>
      </c>
      <c r="AK79" s="1" t="s">
        <v>581</v>
      </c>
      <c r="AL79" s="1" t="s">
        <v>852</v>
      </c>
      <c r="AR79" s="1" t="s">
        <v>66</v>
      </c>
      <c r="AS79" s="1" t="s">
        <v>67</v>
      </c>
      <c r="AT79" s="1">
        <v>2.46</v>
      </c>
      <c r="AV79" s="1" t="s">
        <v>727</v>
      </c>
      <c r="AW79" s="1" t="s">
        <v>971</v>
      </c>
      <c r="AX79" s="1">
        <v>4952420</v>
      </c>
      <c r="BA79" s="1" t="s">
        <v>69</v>
      </c>
      <c r="BB79" s="1" t="s">
        <v>560</v>
      </c>
      <c r="BD79" s="1" t="s">
        <v>555</v>
      </c>
      <c r="BG79" s="1" t="s">
        <v>558</v>
      </c>
      <c r="BH79" s="1">
        <v>16</v>
      </c>
      <c r="BI79" s="1" t="s">
        <v>70</v>
      </c>
      <c r="BJ79" s="1" t="s">
        <v>71</v>
      </c>
      <c r="BK79" s="1" t="s">
        <v>76</v>
      </c>
      <c r="BM79" s="1" t="s">
        <v>727</v>
      </c>
      <c r="BN79" s="1" t="s">
        <v>971</v>
      </c>
      <c r="BP79" s="1">
        <v>4952420</v>
      </c>
      <c r="BT79" s="1" t="s">
        <v>557</v>
      </c>
      <c r="BV79" s="1" t="s">
        <v>555</v>
      </c>
      <c r="BY79" s="1" t="s">
        <v>558</v>
      </c>
      <c r="BZ79" s="1">
        <v>16</v>
      </c>
      <c r="CJ79" s="1">
        <v>2.2633000000000001</v>
      </c>
      <c r="CK79" s="1">
        <v>2.2608000000000001</v>
      </c>
      <c r="CL79" s="1">
        <v>2.2658</v>
      </c>
      <c r="CR79" s="1">
        <v>275515.963905368</v>
      </c>
      <c r="CU79" s="1">
        <v>5.5632999999999999</v>
      </c>
      <c r="CZ79" s="1">
        <v>275515.96000000002</v>
      </c>
      <c r="DA79" s="1">
        <v>275515.96000000002</v>
      </c>
      <c r="DB79" s="1">
        <v>262286</v>
      </c>
      <c r="DC79" s="1">
        <v>13229.96</v>
      </c>
      <c r="DD79" s="2">
        <v>-781.67</v>
      </c>
      <c r="DG79" s="1">
        <v>281.02999999999997</v>
      </c>
      <c r="DL79" s="1">
        <v>4918322.62</v>
      </c>
      <c r="DM79" s="1">
        <v>4791354.4000000004</v>
      </c>
      <c r="DN79" s="1">
        <v>126968.22</v>
      </c>
      <c r="DO79" s="1">
        <v>2.46</v>
      </c>
      <c r="DP79" s="1" t="s">
        <v>971</v>
      </c>
      <c r="DQ79" s="1" t="s">
        <v>971</v>
      </c>
      <c r="DS79" s="1">
        <v>-4642806.6500000004</v>
      </c>
      <c r="DT79" s="1">
        <v>-4529068.4000000004</v>
      </c>
      <c r="DU79" s="1">
        <v>-113738.26</v>
      </c>
      <c r="DV79" s="1">
        <v>2.2631299999999999</v>
      </c>
      <c r="DW79" s="1" t="s">
        <v>971</v>
      </c>
      <c r="DX79" s="1" t="s">
        <v>971</v>
      </c>
      <c r="DZ79" s="1">
        <v>284362</v>
      </c>
      <c r="EA79" s="1">
        <v>266670</v>
      </c>
      <c r="ED79" s="1" t="s">
        <v>50</v>
      </c>
      <c r="EE79" s="1" t="s">
        <v>994</v>
      </c>
      <c r="EF79" s="1" t="s">
        <v>53</v>
      </c>
      <c r="EG79" s="1" t="s">
        <v>994</v>
      </c>
      <c r="EH79" s="1" t="s">
        <v>51</v>
      </c>
      <c r="EJ79" s="1" t="s">
        <v>55</v>
      </c>
      <c r="EL79" s="1" t="s">
        <v>57</v>
      </c>
    </row>
    <row r="80" spans="1:142" x14ac:dyDescent="0.2">
      <c r="A80" s="101">
        <v>68556371001</v>
      </c>
      <c r="B80" s="101">
        <v>68556371</v>
      </c>
      <c r="D80" s="1" t="s">
        <v>59</v>
      </c>
      <c r="E80" s="1" t="s">
        <v>44</v>
      </c>
      <c r="F80" s="1" t="s">
        <v>561</v>
      </c>
      <c r="U80" s="1">
        <v>11027080.090653799</v>
      </c>
      <c r="AI80" s="1" t="s">
        <v>551</v>
      </c>
      <c r="AJ80" s="1" t="s">
        <v>44</v>
      </c>
      <c r="AK80" s="1" t="s">
        <v>581</v>
      </c>
      <c r="AL80" s="1" t="s">
        <v>730</v>
      </c>
      <c r="AR80" s="1" t="s">
        <v>66</v>
      </c>
      <c r="AS80" s="1" t="s">
        <v>71</v>
      </c>
      <c r="AT80" s="1">
        <v>2.36</v>
      </c>
      <c r="AV80" s="1" t="s">
        <v>727</v>
      </c>
      <c r="AW80" s="1" t="s">
        <v>976</v>
      </c>
      <c r="AX80" s="1">
        <v>6916000</v>
      </c>
      <c r="BA80" s="1" t="s">
        <v>69</v>
      </c>
      <c r="BB80" s="1" t="s">
        <v>560</v>
      </c>
      <c r="BD80" s="1" t="s">
        <v>555</v>
      </c>
      <c r="BG80" s="1" t="s">
        <v>558</v>
      </c>
      <c r="BH80" s="1">
        <v>15</v>
      </c>
      <c r="BI80" s="1" t="s">
        <v>70</v>
      </c>
      <c r="BJ80" s="1" t="s">
        <v>67</v>
      </c>
      <c r="BK80" s="1" t="s">
        <v>76</v>
      </c>
      <c r="BM80" s="1" t="s">
        <v>727</v>
      </c>
      <c r="BN80" s="1" t="s">
        <v>976</v>
      </c>
      <c r="BP80" s="1">
        <v>6916000</v>
      </c>
      <c r="BT80" s="1" t="s">
        <v>557</v>
      </c>
      <c r="BV80" s="1" t="s">
        <v>555</v>
      </c>
      <c r="BY80" s="1" t="s">
        <v>558</v>
      </c>
      <c r="BZ80" s="1">
        <v>15</v>
      </c>
      <c r="CJ80" s="1">
        <v>2.1754600000000002</v>
      </c>
      <c r="CK80" s="1">
        <v>2.1729599999999998</v>
      </c>
      <c r="CL80" s="1">
        <v>2.1779600000000001</v>
      </c>
      <c r="CR80" s="1">
        <v>-234361.84951152001</v>
      </c>
      <c r="CU80" s="1">
        <v>-3.3887</v>
      </c>
      <c r="CZ80" s="1">
        <v>-234361.85</v>
      </c>
      <c r="DA80" s="1">
        <v>-234361.85</v>
      </c>
      <c r="DB80" s="1">
        <v>-223097.55</v>
      </c>
      <c r="DC80" s="1">
        <v>-11264.3</v>
      </c>
      <c r="DD80" s="2">
        <v>444.58</v>
      </c>
      <c r="DG80" s="1">
        <v>-458.4</v>
      </c>
      <c r="DL80" s="1">
        <v>-6611606.1299999999</v>
      </c>
      <c r="DM80" s="1">
        <v>-6441507.6100000003</v>
      </c>
      <c r="DN80" s="1">
        <v>-170098.52</v>
      </c>
      <c r="DO80" s="1">
        <v>2.36</v>
      </c>
      <c r="DP80" s="1" t="s">
        <v>976</v>
      </c>
      <c r="DQ80" s="1" t="s">
        <v>976</v>
      </c>
      <c r="DS80" s="1">
        <v>6377244.2800000003</v>
      </c>
      <c r="DT80" s="1">
        <v>6218410.0599999996</v>
      </c>
      <c r="DU80" s="1">
        <v>158834.22</v>
      </c>
      <c r="DV80" s="1">
        <v>2.1754600000000002</v>
      </c>
      <c r="DW80" s="1" t="s">
        <v>976</v>
      </c>
      <c r="DX80" s="1" t="s">
        <v>976</v>
      </c>
      <c r="DZ80" s="1">
        <v>-239198</v>
      </c>
      <c r="EA80" s="1">
        <v>-229526</v>
      </c>
      <c r="ED80" s="1" t="s">
        <v>50</v>
      </c>
      <c r="EE80" s="1" t="s">
        <v>977</v>
      </c>
      <c r="EF80" s="1" t="s">
        <v>53</v>
      </c>
      <c r="EG80" s="1" t="s">
        <v>977</v>
      </c>
      <c r="EH80" s="1" t="s">
        <v>51</v>
      </c>
      <c r="EJ80" s="1" t="s">
        <v>55</v>
      </c>
      <c r="EL80" s="1" t="s">
        <v>57</v>
      </c>
    </row>
    <row r="81" spans="1:142" x14ac:dyDescent="0.2">
      <c r="A81" s="101">
        <v>68458984001</v>
      </c>
      <c r="B81" s="101">
        <v>68458984</v>
      </c>
      <c r="D81" s="1" t="s">
        <v>220</v>
      </c>
      <c r="E81" s="1" t="s">
        <v>44</v>
      </c>
      <c r="F81" s="1" t="s">
        <v>561</v>
      </c>
      <c r="U81" s="1">
        <v>23371110.758531298</v>
      </c>
      <c r="AI81" s="1" t="s">
        <v>551</v>
      </c>
      <c r="AJ81" s="1" t="s">
        <v>44</v>
      </c>
      <c r="AK81" s="1" t="s">
        <v>581</v>
      </c>
      <c r="AL81" s="1" t="s">
        <v>852</v>
      </c>
      <c r="AR81" s="1" t="s">
        <v>66</v>
      </c>
      <c r="AS81" s="1" t="s">
        <v>67</v>
      </c>
      <c r="AT81" s="1">
        <v>2.19</v>
      </c>
      <c r="AV81" s="1" t="s">
        <v>727</v>
      </c>
      <c r="AW81" s="1" t="s">
        <v>974</v>
      </c>
      <c r="AX81" s="1">
        <v>18819840</v>
      </c>
      <c r="BA81" s="1" t="s">
        <v>69</v>
      </c>
      <c r="BB81" s="1" t="s">
        <v>560</v>
      </c>
      <c r="BD81" s="1" t="s">
        <v>555</v>
      </c>
      <c r="BG81" s="1" t="s">
        <v>558</v>
      </c>
      <c r="BH81" s="1">
        <v>15</v>
      </c>
      <c r="BI81" s="1" t="s">
        <v>70</v>
      </c>
      <c r="BJ81" s="1" t="s">
        <v>71</v>
      </c>
      <c r="BK81" s="1" t="s">
        <v>76</v>
      </c>
      <c r="BM81" s="1" t="s">
        <v>727</v>
      </c>
      <c r="BN81" s="1" t="s">
        <v>974</v>
      </c>
      <c r="BP81" s="1">
        <v>18819840</v>
      </c>
      <c r="BT81" s="1" t="s">
        <v>557</v>
      </c>
      <c r="BV81" s="1" t="s">
        <v>555</v>
      </c>
      <c r="BY81" s="1" t="s">
        <v>558</v>
      </c>
      <c r="BZ81" s="1">
        <v>15</v>
      </c>
      <c r="CJ81" s="1">
        <v>2.0451800000000002</v>
      </c>
      <c r="CK81" s="1">
        <v>2.0426799999999998</v>
      </c>
      <c r="CL81" s="1">
        <v>2.0476800000000002</v>
      </c>
      <c r="CR81" s="1">
        <v>263663.29373658798</v>
      </c>
      <c r="CU81" s="1">
        <v>1.401</v>
      </c>
      <c r="CZ81" s="1">
        <v>263663.28999999998</v>
      </c>
      <c r="DA81" s="1">
        <v>263663.28999999998</v>
      </c>
      <c r="DB81" s="1">
        <v>266368.36</v>
      </c>
      <c r="DC81" s="1">
        <v>-2705.06</v>
      </c>
      <c r="DD81" s="2">
        <v>-235.76</v>
      </c>
      <c r="DG81" s="1">
        <v>1519.68</v>
      </c>
      <c r="DL81" s="1">
        <v>18728152.440000001</v>
      </c>
      <c r="DM81" s="1">
        <v>18298637.34</v>
      </c>
      <c r="DN81" s="1">
        <v>429515.1</v>
      </c>
      <c r="DO81" s="1">
        <v>2.19</v>
      </c>
      <c r="DP81" s="1" t="s">
        <v>974</v>
      </c>
      <c r="DQ81" s="1" t="s">
        <v>974</v>
      </c>
      <c r="DS81" s="1">
        <v>-18464489.140000001</v>
      </c>
      <c r="DT81" s="1">
        <v>-18032268.98</v>
      </c>
      <c r="DU81" s="1">
        <v>-432220.15999999997</v>
      </c>
      <c r="DV81" s="1">
        <v>2.0447299999999999</v>
      </c>
      <c r="DW81" s="1" t="s">
        <v>974</v>
      </c>
      <c r="DX81" s="1" t="s">
        <v>974</v>
      </c>
      <c r="DZ81" s="1">
        <v>266074</v>
      </c>
      <c r="EA81" s="1">
        <v>261252</v>
      </c>
      <c r="ED81" s="1" t="s">
        <v>50</v>
      </c>
      <c r="EE81" s="1" t="s">
        <v>995</v>
      </c>
      <c r="EF81" s="1" t="s">
        <v>53</v>
      </c>
      <c r="EG81" s="1" t="s">
        <v>995</v>
      </c>
      <c r="EH81" s="1" t="s">
        <v>51</v>
      </c>
      <c r="EJ81" s="1" t="s">
        <v>55</v>
      </c>
      <c r="EL81" s="1" t="s">
        <v>57</v>
      </c>
    </row>
    <row r="82" spans="1:142" x14ac:dyDescent="0.2">
      <c r="A82" s="101">
        <v>68556332001</v>
      </c>
      <c r="B82" s="101">
        <v>68556332</v>
      </c>
      <c r="D82" s="1" t="s">
        <v>59</v>
      </c>
      <c r="E82" s="1" t="s">
        <v>44</v>
      </c>
      <c r="F82" s="1" t="s">
        <v>561</v>
      </c>
      <c r="U82" s="1">
        <v>29248256.881751802</v>
      </c>
      <c r="AI82" s="1" t="s">
        <v>551</v>
      </c>
      <c r="AJ82" s="1" t="s">
        <v>44</v>
      </c>
      <c r="AK82" s="1" t="s">
        <v>581</v>
      </c>
      <c r="AL82" s="1" t="s">
        <v>730</v>
      </c>
      <c r="AR82" s="1" t="s">
        <v>66</v>
      </c>
      <c r="AS82" s="1" t="s">
        <v>67</v>
      </c>
      <c r="AT82" s="1">
        <v>2.1850000000000001</v>
      </c>
      <c r="AV82" s="1" t="s">
        <v>727</v>
      </c>
      <c r="AW82" s="1" t="s">
        <v>974</v>
      </c>
      <c r="AX82" s="1">
        <v>23564000</v>
      </c>
      <c r="BA82" s="1" t="s">
        <v>69</v>
      </c>
      <c r="BB82" s="1" t="s">
        <v>560</v>
      </c>
      <c r="BD82" s="1" t="s">
        <v>555</v>
      </c>
      <c r="BG82" s="1" t="s">
        <v>558</v>
      </c>
      <c r="BH82" s="1">
        <v>15</v>
      </c>
      <c r="BI82" s="1" t="s">
        <v>70</v>
      </c>
      <c r="BJ82" s="1" t="s">
        <v>71</v>
      </c>
      <c r="BK82" s="1" t="s">
        <v>76</v>
      </c>
      <c r="BM82" s="1" t="s">
        <v>727</v>
      </c>
      <c r="BN82" s="1" t="s">
        <v>974</v>
      </c>
      <c r="BP82" s="1">
        <v>23564000</v>
      </c>
      <c r="BT82" s="1" t="s">
        <v>557</v>
      </c>
      <c r="BV82" s="1" t="s">
        <v>555</v>
      </c>
      <c r="BY82" s="1" t="s">
        <v>558</v>
      </c>
      <c r="BZ82" s="1">
        <v>15</v>
      </c>
      <c r="CJ82" s="1">
        <v>2.0451800000000002</v>
      </c>
      <c r="CK82" s="1">
        <v>2.0426799999999998</v>
      </c>
      <c r="CL82" s="1">
        <v>2.0476800000000002</v>
      </c>
      <c r="CR82" s="1">
        <v>318660.00235998997</v>
      </c>
      <c r="CU82" s="1">
        <v>1.3523000000000001</v>
      </c>
      <c r="CZ82" s="1">
        <v>318660</v>
      </c>
      <c r="DA82" s="1">
        <v>318660</v>
      </c>
      <c r="DB82" s="1">
        <v>323275.34000000003</v>
      </c>
      <c r="DC82" s="1">
        <v>-4615.34</v>
      </c>
      <c r="DD82" s="2">
        <v>-284.93</v>
      </c>
      <c r="DG82" s="1">
        <v>1901.83</v>
      </c>
      <c r="DL82" s="1">
        <v>23437731.27</v>
      </c>
      <c r="DM82" s="1">
        <v>22901171.129999999</v>
      </c>
      <c r="DN82" s="1">
        <v>536560.14</v>
      </c>
      <c r="DO82" s="1">
        <v>2.1850000000000001</v>
      </c>
      <c r="DP82" s="1" t="s">
        <v>974</v>
      </c>
      <c r="DQ82" s="1" t="s">
        <v>974</v>
      </c>
      <c r="DS82" s="1">
        <v>-23119071.27</v>
      </c>
      <c r="DT82" s="1">
        <v>-22577895.780000001</v>
      </c>
      <c r="DU82" s="1">
        <v>-541175.48</v>
      </c>
      <c r="DV82" s="1">
        <v>2.0447299999999999</v>
      </c>
      <c r="DW82" s="1" t="s">
        <v>974</v>
      </c>
      <c r="DX82" s="1" t="s">
        <v>974</v>
      </c>
      <c r="DZ82" s="1">
        <v>321574</v>
      </c>
      <c r="EA82" s="1">
        <v>315746</v>
      </c>
      <c r="ED82" s="1" t="s">
        <v>50</v>
      </c>
      <c r="EE82" s="1" t="s">
        <v>996</v>
      </c>
      <c r="EF82" s="1" t="s">
        <v>53</v>
      </c>
      <c r="EG82" s="1" t="s">
        <v>996</v>
      </c>
      <c r="EH82" s="1" t="s">
        <v>51</v>
      </c>
      <c r="EJ82" s="1" t="s">
        <v>55</v>
      </c>
      <c r="EL82" s="1" t="s">
        <v>57</v>
      </c>
    </row>
    <row r="83" spans="1:142" x14ac:dyDescent="0.2">
      <c r="A83" s="101">
        <v>68556375001</v>
      </c>
      <c r="B83" s="101">
        <v>68556375</v>
      </c>
      <c r="D83" s="1" t="s">
        <v>59</v>
      </c>
      <c r="E83" s="1" t="s">
        <v>44</v>
      </c>
      <c r="F83" s="1" t="s">
        <v>561</v>
      </c>
      <c r="U83" s="1">
        <v>6415367.6685686996</v>
      </c>
      <c r="AI83" s="1" t="s">
        <v>551</v>
      </c>
      <c r="AJ83" s="1" t="s">
        <v>44</v>
      </c>
      <c r="AK83" s="1" t="s">
        <v>581</v>
      </c>
      <c r="AL83" s="1" t="s">
        <v>730</v>
      </c>
      <c r="AR83" s="1" t="s">
        <v>66</v>
      </c>
      <c r="AS83" s="1" t="s">
        <v>67</v>
      </c>
      <c r="AT83" s="1">
        <v>2.476</v>
      </c>
      <c r="AV83" s="1" t="s">
        <v>727</v>
      </c>
      <c r="AW83" s="1" t="s">
        <v>971</v>
      </c>
      <c r="AX83" s="1">
        <v>3080000</v>
      </c>
      <c r="BA83" s="1" t="s">
        <v>69</v>
      </c>
      <c r="BB83" s="1" t="s">
        <v>560</v>
      </c>
      <c r="BD83" s="1" t="s">
        <v>555</v>
      </c>
      <c r="BG83" s="1" t="s">
        <v>558</v>
      </c>
      <c r="BH83" s="1">
        <v>16</v>
      </c>
      <c r="BI83" s="1" t="s">
        <v>70</v>
      </c>
      <c r="BJ83" s="1" t="s">
        <v>71</v>
      </c>
      <c r="BK83" s="1" t="s">
        <v>76</v>
      </c>
      <c r="BM83" s="1" t="s">
        <v>727</v>
      </c>
      <c r="BN83" s="1" t="s">
        <v>971</v>
      </c>
      <c r="BP83" s="1">
        <v>3080000</v>
      </c>
      <c r="BT83" s="1" t="s">
        <v>557</v>
      </c>
      <c r="BV83" s="1" t="s">
        <v>555</v>
      </c>
      <c r="BY83" s="1" t="s">
        <v>558</v>
      </c>
      <c r="BZ83" s="1">
        <v>16</v>
      </c>
      <c r="CJ83" s="1">
        <v>2.2633000000000001</v>
      </c>
      <c r="CK83" s="1">
        <v>2.2608000000000001</v>
      </c>
      <c r="CL83" s="1">
        <v>2.2658</v>
      </c>
      <c r="CR83" s="1">
        <v>185710.84645894301</v>
      </c>
      <c r="CU83" s="1">
        <v>6.0296000000000003</v>
      </c>
      <c r="CZ83" s="1">
        <v>185710.85</v>
      </c>
      <c r="DA83" s="1">
        <v>185710.85</v>
      </c>
      <c r="DB83" s="1">
        <v>176969.05</v>
      </c>
      <c r="DC83" s="1">
        <v>8741.7999999999993</v>
      </c>
      <c r="DD83" s="2">
        <v>-526.89</v>
      </c>
      <c r="DG83" s="1">
        <v>175.6</v>
      </c>
      <c r="DL83" s="1">
        <v>3073156.68</v>
      </c>
      <c r="DM83" s="1">
        <v>2993678.99</v>
      </c>
      <c r="DN83" s="1">
        <v>79477.69</v>
      </c>
      <c r="DO83" s="1">
        <v>2.476</v>
      </c>
      <c r="DP83" s="1" t="s">
        <v>971</v>
      </c>
      <c r="DQ83" s="1" t="s">
        <v>971</v>
      </c>
      <c r="DS83" s="1">
        <v>-2887445.83</v>
      </c>
      <c r="DT83" s="1">
        <v>-2816709.95</v>
      </c>
      <c r="DU83" s="1">
        <v>-70735.89</v>
      </c>
      <c r="DV83" s="1">
        <v>2.2631299999999999</v>
      </c>
      <c r="DW83" s="1" t="s">
        <v>971</v>
      </c>
      <c r="DX83" s="1" t="s">
        <v>971</v>
      </c>
      <c r="DZ83" s="1">
        <v>191673</v>
      </c>
      <c r="EA83" s="1">
        <v>179748</v>
      </c>
      <c r="ED83" s="1" t="s">
        <v>50</v>
      </c>
      <c r="EE83" s="1" t="s">
        <v>978</v>
      </c>
      <c r="EF83" s="1" t="s">
        <v>53</v>
      </c>
      <c r="EG83" s="1" t="s">
        <v>978</v>
      </c>
      <c r="EH83" s="1" t="s">
        <v>51</v>
      </c>
      <c r="EJ83" s="1" t="s">
        <v>55</v>
      </c>
      <c r="EL83" s="1" t="s">
        <v>57</v>
      </c>
    </row>
    <row r="84" spans="1:142" x14ac:dyDescent="0.2">
      <c r="A84" s="101">
        <v>68556345001</v>
      </c>
      <c r="B84" s="101">
        <v>68556345</v>
      </c>
      <c r="D84" s="1" t="s">
        <v>59</v>
      </c>
      <c r="E84" s="1" t="s">
        <v>44</v>
      </c>
      <c r="F84" s="1" t="s">
        <v>561</v>
      </c>
      <c r="U84" s="1">
        <v>67737777.699730203</v>
      </c>
      <c r="AI84" s="1" t="s">
        <v>551</v>
      </c>
      <c r="AJ84" s="1" t="s">
        <v>44</v>
      </c>
      <c r="AK84" s="1" t="s">
        <v>581</v>
      </c>
      <c r="AL84" s="1" t="s">
        <v>730</v>
      </c>
      <c r="AR84" s="1" t="s">
        <v>66</v>
      </c>
      <c r="AS84" s="1" t="s">
        <v>71</v>
      </c>
      <c r="AT84" s="1">
        <v>2.36</v>
      </c>
      <c r="AV84" s="1" t="s">
        <v>727</v>
      </c>
      <c r="AW84" s="1" t="s">
        <v>976</v>
      </c>
      <c r="AX84" s="1">
        <v>42484000</v>
      </c>
      <c r="BA84" s="1" t="s">
        <v>69</v>
      </c>
      <c r="BB84" s="1" t="s">
        <v>560</v>
      </c>
      <c r="BD84" s="1" t="s">
        <v>555</v>
      </c>
      <c r="BG84" s="1" t="s">
        <v>558</v>
      </c>
      <c r="BH84" s="1">
        <v>15</v>
      </c>
      <c r="BI84" s="1" t="s">
        <v>70</v>
      </c>
      <c r="BJ84" s="1" t="s">
        <v>67</v>
      </c>
      <c r="BK84" s="1" t="s">
        <v>76</v>
      </c>
      <c r="BM84" s="1" t="s">
        <v>727</v>
      </c>
      <c r="BN84" s="1" t="s">
        <v>976</v>
      </c>
      <c r="BP84" s="1">
        <v>42484000</v>
      </c>
      <c r="BT84" s="1" t="s">
        <v>557</v>
      </c>
      <c r="BV84" s="1" t="s">
        <v>555</v>
      </c>
      <c r="BY84" s="1" t="s">
        <v>558</v>
      </c>
      <c r="BZ84" s="1">
        <v>15</v>
      </c>
      <c r="CJ84" s="1">
        <v>2.1754600000000002</v>
      </c>
      <c r="CK84" s="1">
        <v>2.1729599999999998</v>
      </c>
      <c r="CL84" s="1">
        <v>2.1779600000000001</v>
      </c>
      <c r="CR84" s="1">
        <v>-1439651.3612850499</v>
      </c>
      <c r="CU84" s="1">
        <v>-3.3887</v>
      </c>
      <c r="CZ84" s="1">
        <v>-1439651.36</v>
      </c>
      <c r="DA84" s="1">
        <v>-1439651.36</v>
      </c>
      <c r="DB84" s="1">
        <v>-1370456.4</v>
      </c>
      <c r="DC84" s="1">
        <v>-69194.960000000006</v>
      </c>
      <c r="DD84" s="2">
        <v>2730.97</v>
      </c>
      <c r="DG84" s="1">
        <v>-2815.86</v>
      </c>
      <c r="DL84" s="1">
        <v>-40614151.93</v>
      </c>
      <c r="DM84" s="1">
        <v>-39569261.030000001</v>
      </c>
      <c r="DN84" s="1">
        <v>-1044890.9</v>
      </c>
      <c r="DO84" s="1">
        <v>2.36</v>
      </c>
      <c r="DP84" s="1" t="s">
        <v>976</v>
      </c>
      <c r="DQ84" s="1" t="s">
        <v>976</v>
      </c>
      <c r="DS84" s="1">
        <v>39174500.57</v>
      </c>
      <c r="DT84" s="1">
        <v>38198804.630000003</v>
      </c>
      <c r="DU84" s="1">
        <v>975695.94</v>
      </c>
      <c r="DV84" s="1">
        <v>2.1754600000000002</v>
      </c>
      <c r="DW84" s="1" t="s">
        <v>976</v>
      </c>
      <c r="DX84" s="1" t="s">
        <v>976</v>
      </c>
      <c r="DZ84" s="1">
        <v>-1469357</v>
      </c>
      <c r="EA84" s="1">
        <v>-1409946</v>
      </c>
      <c r="ED84" s="1" t="s">
        <v>50</v>
      </c>
      <c r="EE84" s="1" t="s">
        <v>997</v>
      </c>
      <c r="EF84" s="1" t="s">
        <v>53</v>
      </c>
      <c r="EG84" s="1" t="s">
        <v>997</v>
      </c>
      <c r="EH84" s="1" t="s">
        <v>51</v>
      </c>
      <c r="EJ84" s="1" t="s">
        <v>55</v>
      </c>
      <c r="EL84" s="1" t="s">
        <v>57</v>
      </c>
    </row>
    <row r="85" spans="1:142" x14ac:dyDescent="0.2">
      <c r="A85" s="101">
        <v>68645724001</v>
      </c>
      <c r="B85" s="101">
        <v>68645724</v>
      </c>
      <c r="D85" s="1" t="s">
        <v>80</v>
      </c>
      <c r="E85" s="1" t="s">
        <v>46</v>
      </c>
      <c r="F85" s="1" t="s">
        <v>561</v>
      </c>
      <c r="U85" s="1">
        <v>30490560.7730355</v>
      </c>
      <c r="AI85" s="1" t="s">
        <v>551</v>
      </c>
      <c r="AJ85" s="1" t="s">
        <v>46</v>
      </c>
      <c r="AK85" s="1" t="s">
        <v>581</v>
      </c>
      <c r="AL85" s="1" t="s">
        <v>733</v>
      </c>
      <c r="AR85" s="1" t="s">
        <v>66</v>
      </c>
      <c r="AS85" s="1" t="s">
        <v>71</v>
      </c>
      <c r="AT85" s="1">
        <v>2.4624999999999999</v>
      </c>
      <c r="AV85" s="1" t="s">
        <v>727</v>
      </c>
      <c r="AW85" s="1" t="s">
        <v>985</v>
      </c>
      <c r="AX85" s="1">
        <v>27000000</v>
      </c>
      <c r="BA85" s="1" t="s">
        <v>69</v>
      </c>
      <c r="BB85" s="1" t="s">
        <v>560</v>
      </c>
      <c r="BD85" s="1" t="s">
        <v>555</v>
      </c>
      <c r="BG85" s="1" t="s">
        <v>558</v>
      </c>
      <c r="BH85" s="1">
        <v>15</v>
      </c>
      <c r="BI85" s="1" t="s">
        <v>70</v>
      </c>
      <c r="BJ85" s="1" t="s">
        <v>67</v>
      </c>
      <c r="BK85" s="1" t="s">
        <v>452</v>
      </c>
      <c r="BM85" s="1" t="s">
        <v>727</v>
      </c>
      <c r="BN85" s="1" t="s">
        <v>985</v>
      </c>
      <c r="BP85" s="1">
        <v>27000000</v>
      </c>
      <c r="BT85" s="1" t="s">
        <v>557</v>
      </c>
      <c r="BV85" s="1" t="s">
        <v>555</v>
      </c>
      <c r="BY85" s="1" t="s">
        <v>558</v>
      </c>
      <c r="BZ85" s="1">
        <v>15</v>
      </c>
      <c r="CJ85" s="1">
        <v>2.76349</v>
      </c>
      <c r="CK85" s="1">
        <v>2.7609900000000001</v>
      </c>
      <c r="CL85" s="1">
        <v>2.7659899999999999</v>
      </c>
      <c r="CR85" s="1">
        <v>389961.29025090497</v>
      </c>
      <c r="CU85" s="1">
        <v>1.4442999999999999</v>
      </c>
      <c r="CZ85" s="1">
        <v>389961.29</v>
      </c>
      <c r="DA85" s="1">
        <v>389961.29</v>
      </c>
      <c r="DB85" s="1">
        <v>121254.38</v>
      </c>
      <c r="DC85" s="1">
        <v>268706.90999999997</v>
      </c>
      <c r="DD85" s="2">
        <v>-150.74</v>
      </c>
      <c r="DG85" s="1">
        <v>-2648.07</v>
      </c>
      <c r="DL85" s="1">
        <v>-26406003.98</v>
      </c>
      <c r="DM85" s="1">
        <v>-25713084.66</v>
      </c>
      <c r="DN85" s="1">
        <v>-692919.32</v>
      </c>
      <c r="DO85" s="1">
        <v>2.4624999999999999</v>
      </c>
      <c r="DP85" s="1" t="s">
        <v>985</v>
      </c>
      <c r="DQ85" s="1" t="s">
        <v>985</v>
      </c>
      <c r="DS85" s="1">
        <v>26795965.27</v>
      </c>
      <c r="DT85" s="1">
        <v>25834339.039999999</v>
      </c>
      <c r="DU85" s="1">
        <v>961626.23</v>
      </c>
      <c r="DV85" s="1">
        <v>2.76227</v>
      </c>
      <c r="DW85" s="1" t="s">
        <v>985</v>
      </c>
      <c r="DX85" s="1" t="s">
        <v>985</v>
      </c>
      <c r="DZ85" s="1">
        <v>392044</v>
      </c>
      <c r="EA85" s="1">
        <v>387878</v>
      </c>
      <c r="ED85" s="1" t="s">
        <v>50</v>
      </c>
      <c r="EE85" s="1" t="s">
        <v>986</v>
      </c>
      <c r="EF85" s="1" t="s">
        <v>53</v>
      </c>
      <c r="EG85" s="1" t="s">
        <v>986</v>
      </c>
      <c r="EH85" s="1" t="s">
        <v>51</v>
      </c>
      <c r="EJ85" s="1" t="s">
        <v>55</v>
      </c>
      <c r="EL85" s="1" t="s">
        <v>57</v>
      </c>
    </row>
    <row r="86" spans="1:142" x14ac:dyDescent="0.2">
      <c r="A86" s="101">
        <v>68556355001</v>
      </c>
      <c r="B86" s="101">
        <v>68556355</v>
      </c>
      <c r="D86" s="1" t="s">
        <v>59</v>
      </c>
      <c r="E86" s="1" t="s">
        <v>44</v>
      </c>
      <c r="F86" s="1" t="s">
        <v>561</v>
      </c>
      <c r="U86" s="1">
        <v>39408687.106922001</v>
      </c>
      <c r="AI86" s="1" t="s">
        <v>551</v>
      </c>
      <c r="AJ86" s="1" t="s">
        <v>44</v>
      </c>
      <c r="AK86" s="1" t="s">
        <v>581</v>
      </c>
      <c r="AL86" s="1" t="s">
        <v>730</v>
      </c>
      <c r="AR86" s="1" t="s">
        <v>66</v>
      </c>
      <c r="AS86" s="1" t="s">
        <v>67</v>
      </c>
      <c r="AT86" s="1">
        <v>2.476</v>
      </c>
      <c r="AV86" s="1" t="s">
        <v>727</v>
      </c>
      <c r="AW86" s="1" t="s">
        <v>971</v>
      </c>
      <c r="AX86" s="1">
        <v>18920000</v>
      </c>
      <c r="BA86" s="1" t="s">
        <v>69</v>
      </c>
      <c r="BB86" s="1" t="s">
        <v>560</v>
      </c>
      <c r="BD86" s="1" t="s">
        <v>555</v>
      </c>
      <c r="BG86" s="1" t="s">
        <v>558</v>
      </c>
      <c r="BH86" s="1">
        <v>16</v>
      </c>
      <c r="BI86" s="1" t="s">
        <v>70</v>
      </c>
      <c r="BJ86" s="1" t="s">
        <v>71</v>
      </c>
      <c r="BK86" s="1" t="s">
        <v>76</v>
      </c>
      <c r="BM86" s="1" t="s">
        <v>727</v>
      </c>
      <c r="BN86" s="1" t="s">
        <v>971</v>
      </c>
      <c r="BP86" s="1">
        <v>18920000</v>
      </c>
      <c r="BT86" s="1" t="s">
        <v>557</v>
      </c>
      <c r="BV86" s="1" t="s">
        <v>555</v>
      </c>
      <c r="BY86" s="1" t="s">
        <v>558</v>
      </c>
      <c r="BZ86" s="1">
        <v>16</v>
      </c>
      <c r="CJ86" s="1">
        <v>2.2633000000000001</v>
      </c>
      <c r="CK86" s="1">
        <v>2.2608000000000001</v>
      </c>
      <c r="CL86" s="1">
        <v>2.2658</v>
      </c>
      <c r="CR86" s="1">
        <v>1140795.19967636</v>
      </c>
      <c r="CU86" s="1">
        <v>6.0296000000000003</v>
      </c>
      <c r="CZ86" s="1">
        <v>1140795.2</v>
      </c>
      <c r="DA86" s="1">
        <v>1140795.2</v>
      </c>
      <c r="DB86" s="1">
        <v>1087095.57</v>
      </c>
      <c r="DC86" s="1">
        <v>53699.63</v>
      </c>
      <c r="DD86" s="2">
        <v>-3236.58</v>
      </c>
      <c r="DG86" s="1">
        <v>1078.67</v>
      </c>
      <c r="DL86" s="1">
        <v>18877962.460000001</v>
      </c>
      <c r="DM86" s="1">
        <v>18389742.379999999</v>
      </c>
      <c r="DN86" s="1">
        <v>488220.09</v>
      </c>
      <c r="DO86" s="1">
        <v>2.476</v>
      </c>
      <c r="DP86" s="1" t="s">
        <v>971</v>
      </c>
      <c r="DQ86" s="1" t="s">
        <v>971</v>
      </c>
      <c r="DS86" s="1">
        <v>-17737167.260000002</v>
      </c>
      <c r="DT86" s="1">
        <v>-17302646.809999999</v>
      </c>
      <c r="DU86" s="1">
        <v>-434520.46</v>
      </c>
      <c r="DV86" s="1">
        <v>2.2631299999999999</v>
      </c>
      <c r="DW86" s="1" t="s">
        <v>971</v>
      </c>
      <c r="DX86" s="1" t="s">
        <v>971</v>
      </c>
      <c r="DZ86" s="1">
        <v>1177422</v>
      </c>
      <c r="EA86" s="1">
        <v>1104168</v>
      </c>
      <c r="ED86" s="1" t="s">
        <v>50</v>
      </c>
      <c r="EE86" s="1" t="s">
        <v>972</v>
      </c>
      <c r="EF86" s="1" t="s">
        <v>53</v>
      </c>
      <c r="EG86" s="1" t="s">
        <v>972</v>
      </c>
      <c r="EH86" s="1" t="s">
        <v>51</v>
      </c>
      <c r="EJ86" s="1" t="s">
        <v>55</v>
      </c>
      <c r="EL86" s="1" t="s">
        <v>57</v>
      </c>
    </row>
    <row r="87" spans="1:142" x14ac:dyDescent="0.2">
      <c r="A87" s="101">
        <v>68646262001</v>
      </c>
      <c r="B87" s="101">
        <v>68646262</v>
      </c>
      <c r="D87" s="1" t="s">
        <v>63</v>
      </c>
      <c r="E87" s="1" t="s">
        <v>44</v>
      </c>
      <c r="F87" s="1" t="s">
        <v>583</v>
      </c>
      <c r="AI87" s="1" t="s">
        <v>551</v>
      </c>
      <c r="AJ87" s="1" t="s">
        <v>44</v>
      </c>
      <c r="AK87" s="1" t="s">
        <v>584</v>
      </c>
      <c r="AL87" s="1" t="s">
        <v>730</v>
      </c>
      <c r="AR87" s="1" t="s">
        <v>79</v>
      </c>
      <c r="AS87" s="1" t="s">
        <v>71</v>
      </c>
      <c r="AT87" s="1">
        <v>3.1236999999999999</v>
      </c>
      <c r="AV87" s="1" t="s">
        <v>734</v>
      </c>
      <c r="AW87" s="1" t="s">
        <v>979</v>
      </c>
      <c r="AX87" s="1">
        <v>1866396</v>
      </c>
      <c r="BA87" s="1" t="s">
        <v>69</v>
      </c>
      <c r="BB87" s="1" t="s">
        <v>574</v>
      </c>
      <c r="BC87" s="1" t="s">
        <v>456</v>
      </c>
      <c r="BD87" s="1" t="s">
        <v>555</v>
      </c>
      <c r="BG87" s="1" t="s">
        <v>558</v>
      </c>
      <c r="BH87" s="1">
        <v>10</v>
      </c>
      <c r="BI87" s="1" t="s">
        <v>431</v>
      </c>
      <c r="BJ87" s="1" t="s">
        <v>67</v>
      </c>
      <c r="BK87" s="1" t="s">
        <v>440</v>
      </c>
      <c r="BL87" s="1">
        <v>0</v>
      </c>
      <c r="BM87" s="1" t="s">
        <v>734</v>
      </c>
      <c r="BN87" s="1" t="s">
        <v>979</v>
      </c>
      <c r="BP87" s="1">
        <v>1866396</v>
      </c>
      <c r="BR87" s="1" t="s">
        <v>69</v>
      </c>
      <c r="BS87" s="1" t="s">
        <v>69</v>
      </c>
      <c r="BT87" s="1" t="s">
        <v>574</v>
      </c>
      <c r="BU87" s="1" t="s">
        <v>456</v>
      </c>
      <c r="BV87" s="1" t="s">
        <v>555</v>
      </c>
      <c r="BY87" s="1" t="s">
        <v>558</v>
      </c>
      <c r="BZ87" s="1">
        <v>10</v>
      </c>
      <c r="CJ87" s="1">
        <v>2.1531400000000001</v>
      </c>
      <c r="CK87" s="1">
        <v>2.1506400000000001</v>
      </c>
      <c r="CL87" s="1">
        <v>2.15564</v>
      </c>
      <c r="CR87" s="1">
        <v>-8697.1005183192992</v>
      </c>
      <c r="CS87" s="1">
        <v>-8743.9500000000007</v>
      </c>
      <c r="CT87" s="1">
        <v>-8650.25</v>
      </c>
      <c r="CU87" s="1">
        <v>-0.46600000000000003</v>
      </c>
      <c r="CZ87" s="1">
        <v>-8697.1</v>
      </c>
      <c r="DA87" s="1">
        <v>-8697.1</v>
      </c>
      <c r="DB87" s="1">
        <v>-7776.3</v>
      </c>
      <c r="DC87" s="1">
        <v>-920.8</v>
      </c>
      <c r="DD87" s="2">
        <v>84.99</v>
      </c>
      <c r="DG87" s="1">
        <v>23.63</v>
      </c>
      <c r="DL87" s="1">
        <v>-1906882.78</v>
      </c>
      <c r="DM87" s="1">
        <v>-1874169.66</v>
      </c>
      <c r="DN87" s="1">
        <v>-32713.119999999999</v>
      </c>
      <c r="DO87" s="1">
        <v>3.1236999999999999</v>
      </c>
      <c r="DP87" s="1" t="s">
        <v>980</v>
      </c>
      <c r="DQ87" s="1" t="s">
        <v>980</v>
      </c>
      <c r="DS87" s="1">
        <v>1898185.68</v>
      </c>
      <c r="DT87" s="1">
        <v>1866393.36</v>
      </c>
      <c r="DU87" s="1">
        <v>31792.33</v>
      </c>
      <c r="DV87" s="1">
        <v>2.6595900000000001</v>
      </c>
      <c r="DW87" s="1" t="s">
        <v>980</v>
      </c>
      <c r="DX87" s="1" t="s">
        <v>980</v>
      </c>
      <c r="DY87" s="1" t="s">
        <v>981</v>
      </c>
      <c r="DZ87" s="1">
        <v>-9612</v>
      </c>
      <c r="EA87" s="1">
        <v>-7782</v>
      </c>
      <c r="ED87" s="1" t="s">
        <v>50</v>
      </c>
      <c r="EE87" s="1" t="s">
        <v>987</v>
      </c>
      <c r="EF87" s="1" t="s">
        <v>53</v>
      </c>
      <c r="EG87" s="1" t="s">
        <v>987</v>
      </c>
      <c r="EH87" s="1" t="s">
        <v>51</v>
      </c>
      <c r="EJ87" s="1" t="s">
        <v>55</v>
      </c>
      <c r="EL87" s="1" t="s">
        <v>57</v>
      </c>
    </row>
    <row r="88" spans="1:142" x14ac:dyDescent="0.2">
      <c r="A88" s="101">
        <v>68646390001</v>
      </c>
      <c r="B88" s="101">
        <v>68646390</v>
      </c>
      <c r="D88" s="1" t="s">
        <v>43</v>
      </c>
      <c r="E88" s="1" t="s">
        <v>44</v>
      </c>
      <c r="F88" s="1" t="s">
        <v>583</v>
      </c>
      <c r="AI88" s="1" t="s">
        <v>551</v>
      </c>
      <c r="AJ88" s="1" t="s">
        <v>44</v>
      </c>
      <c r="AK88" s="1" t="s">
        <v>584</v>
      </c>
      <c r="AL88" s="1" t="s">
        <v>733</v>
      </c>
      <c r="AR88" s="1" t="s">
        <v>79</v>
      </c>
      <c r="AS88" s="1" t="s">
        <v>71</v>
      </c>
      <c r="AT88" s="1">
        <v>3.0882000000000001</v>
      </c>
      <c r="AV88" s="1" t="s">
        <v>727</v>
      </c>
      <c r="AW88" s="1" t="s">
        <v>857</v>
      </c>
      <c r="AX88" s="1">
        <v>100000000</v>
      </c>
      <c r="BA88" s="1" t="s">
        <v>69</v>
      </c>
      <c r="BB88" s="1" t="s">
        <v>574</v>
      </c>
      <c r="BC88" s="1" t="s">
        <v>456</v>
      </c>
      <c r="BD88" s="1" t="s">
        <v>555</v>
      </c>
      <c r="BG88" s="1" t="s">
        <v>558</v>
      </c>
      <c r="BH88" s="1">
        <v>17</v>
      </c>
      <c r="BI88" s="1" t="s">
        <v>431</v>
      </c>
      <c r="BJ88" s="1" t="s">
        <v>67</v>
      </c>
      <c r="BK88" s="1" t="s">
        <v>440</v>
      </c>
      <c r="BL88" s="1">
        <v>0</v>
      </c>
      <c r="BM88" s="1" t="s">
        <v>727</v>
      </c>
      <c r="BN88" s="1" t="s">
        <v>857</v>
      </c>
      <c r="BP88" s="1">
        <v>100000000</v>
      </c>
      <c r="BR88" s="1" t="s">
        <v>69</v>
      </c>
      <c r="BS88" s="1" t="s">
        <v>69</v>
      </c>
      <c r="BT88" s="1" t="s">
        <v>574</v>
      </c>
      <c r="BU88" s="1" t="s">
        <v>456</v>
      </c>
      <c r="BV88" s="1" t="s">
        <v>555</v>
      </c>
      <c r="BY88" s="1" t="s">
        <v>558</v>
      </c>
      <c r="BZ88" s="1">
        <v>17</v>
      </c>
      <c r="CJ88" s="1">
        <v>2.0889700000000002</v>
      </c>
      <c r="CK88" s="1">
        <v>2.0864699999999998</v>
      </c>
      <c r="CL88" s="1">
        <v>2.0914700000000002</v>
      </c>
      <c r="CR88" s="1">
        <v>-703620.51463745499</v>
      </c>
      <c r="CS88" s="1">
        <v>-706114.68</v>
      </c>
      <c r="CT88" s="1">
        <v>-701126.35</v>
      </c>
      <c r="CU88" s="1">
        <v>-0.7036</v>
      </c>
      <c r="CZ88" s="1">
        <v>-703620.51</v>
      </c>
      <c r="DA88" s="1">
        <v>-703620.51</v>
      </c>
      <c r="DB88" s="1">
        <v>-615557.16</v>
      </c>
      <c r="DC88" s="1">
        <v>-88063.35</v>
      </c>
      <c r="DD88" s="2">
        <v>6415.87</v>
      </c>
      <c r="DG88" s="1">
        <v>1461.77</v>
      </c>
      <c r="DL88" s="1">
        <v>-101756354.73999999</v>
      </c>
      <c r="DM88" s="1">
        <v>-100615436.40000001</v>
      </c>
      <c r="DN88" s="1">
        <v>-1140918.33</v>
      </c>
      <c r="DO88" s="1">
        <v>3.0882000000000001</v>
      </c>
      <c r="DP88" s="1" t="s">
        <v>983</v>
      </c>
      <c r="DQ88" s="1" t="s">
        <v>983</v>
      </c>
      <c r="DS88" s="1">
        <v>101052734.22</v>
      </c>
      <c r="DT88" s="1">
        <v>99999879.239999995</v>
      </c>
      <c r="DU88" s="1">
        <v>1052854.98</v>
      </c>
      <c r="DV88" s="1">
        <v>2.38293</v>
      </c>
      <c r="DW88" s="1" t="s">
        <v>983</v>
      </c>
      <c r="DX88" s="1" t="s">
        <v>983</v>
      </c>
      <c r="DY88" s="1" t="s">
        <v>860</v>
      </c>
      <c r="DZ88" s="1">
        <v>-770633</v>
      </c>
      <c r="EA88" s="1">
        <v>-636608</v>
      </c>
      <c r="ED88" s="1" t="s">
        <v>50</v>
      </c>
      <c r="EE88" s="1" t="s">
        <v>984</v>
      </c>
      <c r="EF88" s="1" t="s">
        <v>53</v>
      </c>
      <c r="EG88" s="1" t="s">
        <v>984</v>
      </c>
      <c r="EH88" s="1" t="s">
        <v>51</v>
      </c>
      <c r="EJ88" s="1" t="s">
        <v>55</v>
      </c>
      <c r="EL88" s="1" t="s">
        <v>57</v>
      </c>
    </row>
    <row r="89" spans="1:142" x14ac:dyDescent="0.2">
      <c r="A89" s="101">
        <v>69092580001</v>
      </c>
      <c r="B89" s="101">
        <v>69092580</v>
      </c>
      <c r="D89" s="1" t="s">
        <v>824</v>
      </c>
      <c r="E89" s="1" t="s">
        <v>44</v>
      </c>
      <c r="F89" s="1" t="s">
        <v>561</v>
      </c>
      <c r="U89" s="1">
        <v>13692278.958668999</v>
      </c>
      <c r="AI89" s="1" t="s">
        <v>551</v>
      </c>
      <c r="AJ89" s="1" t="s">
        <v>44</v>
      </c>
      <c r="AK89" s="1" t="s">
        <v>581</v>
      </c>
      <c r="AL89" s="1" t="s">
        <v>917</v>
      </c>
      <c r="AR89" s="1" t="s">
        <v>66</v>
      </c>
      <c r="AS89" s="1" t="s">
        <v>67</v>
      </c>
      <c r="AT89" s="1">
        <v>2.214</v>
      </c>
      <c r="AV89" s="1" t="s">
        <v>727</v>
      </c>
      <c r="AW89" s="1" t="s">
        <v>974</v>
      </c>
      <c r="AX89" s="1">
        <v>11000000</v>
      </c>
      <c r="BA89" s="1" t="s">
        <v>69</v>
      </c>
      <c r="BB89" s="1" t="s">
        <v>560</v>
      </c>
      <c r="BD89" s="1" t="s">
        <v>555</v>
      </c>
      <c r="BG89" s="1" t="s">
        <v>558</v>
      </c>
      <c r="BH89" s="1">
        <v>15</v>
      </c>
      <c r="BI89" s="1" t="s">
        <v>70</v>
      </c>
      <c r="BJ89" s="1" t="s">
        <v>71</v>
      </c>
      <c r="BK89" s="1" t="s">
        <v>76</v>
      </c>
      <c r="BM89" s="1" t="s">
        <v>727</v>
      </c>
      <c r="BN89" s="1" t="s">
        <v>974</v>
      </c>
      <c r="BP89" s="1">
        <v>11000000</v>
      </c>
      <c r="BT89" s="1" t="s">
        <v>557</v>
      </c>
      <c r="BV89" s="1" t="s">
        <v>555</v>
      </c>
      <c r="BY89" s="1" t="s">
        <v>558</v>
      </c>
      <c r="BZ89" s="1">
        <v>15</v>
      </c>
      <c r="CJ89" s="1">
        <v>2.0451800000000002</v>
      </c>
      <c r="CK89" s="1">
        <v>2.0426799999999998</v>
      </c>
      <c r="CL89" s="1">
        <v>2.0476800000000002</v>
      </c>
      <c r="CR89" s="1">
        <v>179838.36739430201</v>
      </c>
      <c r="CU89" s="1">
        <v>1.6349</v>
      </c>
      <c r="CZ89" s="1">
        <v>179838.37</v>
      </c>
      <c r="DA89" s="1">
        <v>179838.37</v>
      </c>
      <c r="DB89" s="1">
        <v>178667</v>
      </c>
      <c r="DC89" s="1">
        <v>1171.3699999999999</v>
      </c>
      <c r="DD89" s="2">
        <v>-160.80000000000001</v>
      </c>
      <c r="DG89" s="1">
        <v>890.32</v>
      </c>
      <c r="DL89" s="1">
        <v>10972139.5</v>
      </c>
      <c r="DM89" s="1">
        <v>10718339.960000001</v>
      </c>
      <c r="DN89" s="1">
        <v>253799.54</v>
      </c>
      <c r="DO89" s="1">
        <v>2.214</v>
      </c>
      <c r="DP89" s="1" t="s">
        <v>974</v>
      </c>
      <c r="DQ89" s="1" t="s">
        <v>974</v>
      </c>
      <c r="DS89" s="1">
        <v>-10792301.130000001</v>
      </c>
      <c r="DT89" s="1">
        <v>-10539672.960000001</v>
      </c>
      <c r="DU89" s="1">
        <v>-252628.17</v>
      </c>
      <c r="DV89" s="1">
        <v>2.0447299999999999</v>
      </c>
      <c r="DW89" s="1" t="s">
        <v>974</v>
      </c>
      <c r="DX89" s="1" t="s">
        <v>974</v>
      </c>
      <c r="DZ89" s="1">
        <v>181483</v>
      </c>
      <c r="EA89" s="1">
        <v>178194</v>
      </c>
      <c r="ED89" s="1" t="s">
        <v>50</v>
      </c>
      <c r="EE89" s="1" t="s">
        <v>1002</v>
      </c>
      <c r="EF89" s="1" t="s">
        <v>53</v>
      </c>
      <c r="EG89" s="1" t="s">
        <v>1002</v>
      </c>
      <c r="EH89" s="1" t="s">
        <v>51</v>
      </c>
      <c r="EJ89" s="1" t="s">
        <v>55</v>
      </c>
      <c r="EL89" s="1" t="s">
        <v>57</v>
      </c>
    </row>
    <row r="90" spans="1:142" x14ac:dyDescent="0.2">
      <c r="A90" s="101">
        <v>69092587001</v>
      </c>
      <c r="B90" s="101">
        <v>69092587</v>
      </c>
      <c r="D90" s="1" t="s">
        <v>824</v>
      </c>
      <c r="E90" s="1" t="s">
        <v>44</v>
      </c>
      <c r="F90" s="1" t="s">
        <v>561</v>
      </c>
      <c r="U90" s="1">
        <v>18883892.6888845</v>
      </c>
      <c r="AI90" s="1" t="s">
        <v>551</v>
      </c>
      <c r="AJ90" s="1" t="s">
        <v>44</v>
      </c>
      <c r="AK90" s="1" t="s">
        <v>581</v>
      </c>
      <c r="AL90" s="1" t="s">
        <v>917</v>
      </c>
      <c r="AR90" s="1" t="s">
        <v>66</v>
      </c>
      <c r="AS90" s="1" t="s">
        <v>67</v>
      </c>
      <c r="AT90" s="1">
        <v>2.5009999999999999</v>
      </c>
      <c r="AV90" s="1" t="s">
        <v>727</v>
      </c>
      <c r="AW90" s="1" t="s">
        <v>971</v>
      </c>
      <c r="AX90" s="1">
        <v>9000000</v>
      </c>
      <c r="BA90" s="1" t="s">
        <v>69</v>
      </c>
      <c r="BB90" s="1" t="s">
        <v>560</v>
      </c>
      <c r="BD90" s="1" t="s">
        <v>555</v>
      </c>
      <c r="BG90" s="1" t="s">
        <v>558</v>
      </c>
      <c r="BH90" s="1">
        <v>16</v>
      </c>
      <c r="BI90" s="1" t="s">
        <v>70</v>
      </c>
      <c r="BJ90" s="1" t="s">
        <v>71</v>
      </c>
      <c r="BK90" s="1" t="s">
        <v>76</v>
      </c>
      <c r="BM90" s="1" t="s">
        <v>727</v>
      </c>
      <c r="BN90" s="1" t="s">
        <v>971</v>
      </c>
      <c r="BP90" s="1">
        <v>9000000</v>
      </c>
      <c r="BT90" s="1" t="s">
        <v>557</v>
      </c>
      <c r="BV90" s="1" t="s">
        <v>555</v>
      </c>
      <c r="BY90" s="1" t="s">
        <v>558</v>
      </c>
      <c r="BZ90" s="1">
        <v>16</v>
      </c>
      <c r="CJ90" s="1">
        <v>2.2633000000000001</v>
      </c>
      <c r="CK90" s="1">
        <v>2.2608000000000001</v>
      </c>
      <c r="CL90" s="1">
        <v>2.2658</v>
      </c>
      <c r="CR90" s="1">
        <v>608618.53520386503</v>
      </c>
      <c r="CU90" s="1">
        <v>6.7624000000000004</v>
      </c>
      <c r="CZ90" s="1">
        <v>608618.54</v>
      </c>
      <c r="DA90" s="1">
        <v>608618.54</v>
      </c>
      <c r="DB90" s="1">
        <v>580728.19999999995</v>
      </c>
      <c r="DC90" s="1">
        <v>27890.33</v>
      </c>
      <c r="DD90" s="2">
        <v>-1726.73</v>
      </c>
      <c r="DG90" s="1">
        <v>516.88</v>
      </c>
      <c r="DL90" s="1">
        <v>9045960.2599999998</v>
      </c>
      <c r="DM90" s="1">
        <v>8811374.1500000004</v>
      </c>
      <c r="DN90" s="1">
        <v>234586.11</v>
      </c>
      <c r="DO90" s="1">
        <v>2.5009999999999999</v>
      </c>
      <c r="DP90" s="1" t="s">
        <v>971</v>
      </c>
      <c r="DQ90" s="1" t="s">
        <v>971</v>
      </c>
      <c r="DS90" s="1">
        <v>-8437341.7200000007</v>
      </c>
      <c r="DT90" s="1">
        <v>-8230645.9400000004</v>
      </c>
      <c r="DU90" s="1">
        <v>-206695.78</v>
      </c>
      <c r="DV90" s="1">
        <v>2.2631299999999999</v>
      </c>
      <c r="DW90" s="1" t="s">
        <v>971</v>
      </c>
      <c r="DX90" s="1" t="s">
        <v>971</v>
      </c>
      <c r="DZ90" s="1">
        <v>628159</v>
      </c>
      <c r="EA90" s="1">
        <v>589078</v>
      </c>
      <c r="ED90" s="1" t="s">
        <v>50</v>
      </c>
      <c r="EE90" s="1" t="s">
        <v>1003</v>
      </c>
      <c r="EF90" s="1" t="s">
        <v>53</v>
      </c>
      <c r="EG90" s="1" t="s">
        <v>1003</v>
      </c>
      <c r="EH90" s="1" t="s">
        <v>51</v>
      </c>
      <c r="EJ90" s="1" t="s">
        <v>55</v>
      </c>
      <c r="EL90" s="1" t="s">
        <v>57</v>
      </c>
    </row>
    <row r="91" spans="1:142" x14ac:dyDescent="0.2">
      <c r="A91" s="101">
        <v>69092597001</v>
      </c>
      <c r="B91" s="101">
        <v>69092597</v>
      </c>
      <c r="D91" s="1" t="s">
        <v>824</v>
      </c>
      <c r="E91" s="1" t="s">
        <v>44</v>
      </c>
      <c r="F91" s="1" t="s">
        <v>561</v>
      </c>
      <c r="U91" s="1">
        <v>32063519.463577699</v>
      </c>
      <c r="AI91" s="1" t="s">
        <v>551</v>
      </c>
      <c r="AJ91" s="1" t="s">
        <v>44</v>
      </c>
      <c r="AK91" s="1" t="s">
        <v>581</v>
      </c>
      <c r="AL91" s="1" t="s">
        <v>917</v>
      </c>
      <c r="AR91" s="1" t="s">
        <v>66</v>
      </c>
      <c r="AS91" s="1" t="s">
        <v>71</v>
      </c>
      <c r="AT91" s="1">
        <v>2.3879999999999999</v>
      </c>
      <c r="AV91" s="1" t="s">
        <v>727</v>
      </c>
      <c r="AW91" s="1" t="s">
        <v>976</v>
      </c>
      <c r="AX91" s="1">
        <v>20000000</v>
      </c>
      <c r="BA91" s="1" t="s">
        <v>69</v>
      </c>
      <c r="BB91" s="1" t="s">
        <v>560</v>
      </c>
      <c r="BD91" s="1" t="s">
        <v>555</v>
      </c>
      <c r="BG91" s="1" t="s">
        <v>558</v>
      </c>
      <c r="BH91" s="1">
        <v>15</v>
      </c>
      <c r="BI91" s="1" t="s">
        <v>70</v>
      </c>
      <c r="BJ91" s="1" t="s">
        <v>67</v>
      </c>
      <c r="BK91" s="1" t="s">
        <v>76</v>
      </c>
      <c r="BM91" s="1" t="s">
        <v>727</v>
      </c>
      <c r="BN91" s="1" t="s">
        <v>976</v>
      </c>
      <c r="BP91" s="1">
        <v>20000000</v>
      </c>
      <c r="BT91" s="1" t="s">
        <v>557</v>
      </c>
      <c r="BV91" s="1" t="s">
        <v>555</v>
      </c>
      <c r="BY91" s="1" t="s">
        <v>558</v>
      </c>
      <c r="BZ91" s="1">
        <v>15</v>
      </c>
      <c r="CJ91" s="1">
        <v>2.1754600000000002</v>
      </c>
      <c r="CK91" s="1">
        <v>2.1729599999999998</v>
      </c>
      <c r="CL91" s="1">
        <v>2.1779600000000001</v>
      </c>
      <c r="CR91" s="1">
        <v>-782612.35356632597</v>
      </c>
      <c r="CU91" s="1">
        <v>-3.9131</v>
      </c>
      <c r="CZ91" s="1">
        <v>-782612.35</v>
      </c>
      <c r="DA91" s="1">
        <v>-782612.35</v>
      </c>
      <c r="DB91" s="1">
        <v>-744198.81</v>
      </c>
      <c r="DC91" s="1">
        <v>-38413.54</v>
      </c>
      <c r="DD91" s="2">
        <v>1484.59</v>
      </c>
      <c r="DG91" s="1">
        <v>-1332.88</v>
      </c>
      <c r="DL91" s="1">
        <v>-19224614.32</v>
      </c>
      <c r="DM91" s="1">
        <v>-18726876.82</v>
      </c>
      <c r="DN91" s="1">
        <v>-497737.49</v>
      </c>
      <c r="DO91" s="1">
        <v>2.3879999999999999</v>
      </c>
      <c r="DP91" s="1" t="s">
        <v>976</v>
      </c>
      <c r="DQ91" s="1" t="s">
        <v>976</v>
      </c>
      <c r="DS91" s="1">
        <v>18442001.960000001</v>
      </c>
      <c r="DT91" s="1">
        <v>17982678.010000002</v>
      </c>
      <c r="DU91" s="1">
        <v>459323.95</v>
      </c>
      <c r="DV91" s="1">
        <v>2.1754600000000002</v>
      </c>
      <c r="DW91" s="1" t="s">
        <v>976</v>
      </c>
      <c r="DX91" s="1" t="s">
        <v>976</v>
      </c>
      <c r="DZ91" s="1">
        <v>-798761</v>
      </c>
      <c r="EA91" s="1">
        <v>-766464</v>
      </c>
      <c r="ED91" s="1" t="s">
        <v>50</v>
      </c>
      <c r="EE91" s="1" t="s">
        <v>1004</v>
      </c>
      <c r="EF91" s="1" t="s">
        <v>53</v>
      </c>
      <c r="EG91" s="1" t="s">
        <v>1004</v>
      </c>
      <c r="EH91" s="1" t="s">
        <v>51</v>
      </c>
      <c r="EJ91" s="1" t="s">
        <v>55</v>
      </c>
      <c r="EL91" s="1" t="s">
        <v>57</v>
      </c>
    </row>
    <row r="92" spans="1:142" x14ac:dyDescent="0.2">
      <c r="A92" s="101">
        <v>69093043001</v>
      </c>
      <c r="B92" s="101">
        <v>69093043</v>
      </c>
      <c r="D92" s="1" t="s">
        <v>63</v>
      </c>
      <c r="E92" s="1" t="s">
        <v>44</v>
      </c>
      <c r="F92" s="1" t="s">
        <v>583</v>
      </c>
      <c r="AI92" s="1" t="s">
        <v>551</v>
      </c>
      <c r="AJ92" s="1" t="s">
        <v>44</v>
      </c>
      <c r="AK92" s="1" t="s">
        <v>584</v>
      </c>
      <c r="AL92" s="1" t="s">
        <v>917</v>
      </c>
      <c r="AR92" s="1" t="s">
        <v>79</v>
      </c>
      <c r="AS92" s="1" t="s">
        <v>71</v>
      </c>
      <c r="AT92" s="1">
        <v>3.2267000000000001</v>
      </c>
      <c r="AV92" s="1" t="s">
        <v>954</v>
      </c>
      <c r="AW92" s="1" t="s">
        <v>1005</v>
      </c>
      <c r="AX92" s="1">
        <v>3863935</v>
      </c>
      <c r="BA92" s="1" t="s">
        <v>69</v>
      </c>
      <c r="BB92" s="1" t="s">
        <v>574</v>
      </c>
      <c r="BC92" s="1" t="s">
        <v>456</v>
      </c>
      <c r="BD92" s="1" t="s">
        <v>555</v>
      </c>
      <c r="BG92" s="1" t="s">
        <v>558</v>
      </c>
      <c r="BH92" s="1">
        <v>8</v>
      </c>
      <c r="BI92" s="1" t="s">
        <v>431</v>
      </c>
      <c r="BJ92" s="1" t="s">
        <v>67</v>
      </c>
      <c r="BK92" s="1" t="s">
        <v>440</v>
      </c>
      <c r="BL92" s="1">
        <v>0</v>
      </c>
      <c r="BM92" s="1" t="s">
        <v>954</v>
      </c>
      <c r="BN92" s="1" t="s">
        <v>1005</v>
      </c>
      <c r="BP92" s="1">
        <v>3863935</v>
      </c>
      <c r="BR92" s="1" t="s">
        <v>69</v>
      </c>
      <c r="BS92" s="1" t="s">
        <v>69</v>
      </c>
      <c r="BT92" s="1" t="s">
        <v>574</v>
      </c>
      <c r="BU92" s="1" t="s">
        <v>456</v>
      </c>
      <c r="BV92" s="1" t="s">
        <v>555</v>
      </c>
      <c r="BY92" s="1" t="s">
        <v>558</v>
      </c>
      <c r="BZ92" s="1">
        <v>8</v>
      </c>
      <c r="CJ92" s="1">
        <v>2.1553399999999998</v>
      </c>
      <c r="CK92" s="1">
        <v>2.1528399999999999</v>
      </c>
      <c r="CL92" s="1">
        <v>2.1578400000000002</v>
      </c>
      <c r="CR92" s="1">
        <v>-21688.438819846098</v>
      </c>
      <c r="CS92" s="1">
        <v>-21785.17</v>
      </c>
      <c r="CT92" s="1">
        <v>-21591.71</v>
      </c>
      <c r="CU92" s="1">
        <v>-0.56130000000000002</v>
      </c>
      <c r="CZ92" s="1">
        <v>-21688.44</v>
      </c>
      <c r="DA92" s="1">
        <v>-21688.44</v>
      </c>
      <c r="DB92" s="1">
        <v>-17602.53</v>
      </c>
      <c r="DC92" s="1">
        <v>-4085.91</v>
      </c>
      <c r="DD92" s="2">
        <v>173.99</v>
      </c>
      <c r="DG92" s="1">
        <v>48.55</v>
      </c>
      <c r="DL92" s="1">
        <v>-3951836.36</v>
      </c>
      <c r="DM92" s="1">
        <v>-3881532.05</v>
      </c>
      <c r="DN92" s="1">
        <v>-70304.31</v>
      </c>
      <c r="DO92" s="1">
        <v>3.2267000000000001</v>
      </c>
      <c r="DP92" s="1" t="s">
        <v>1006</v>
      </c>
      <c r="DQ92" s="1" t="s">
        <v>1006</v>
      </c>
      <c r="DS92" s="1">
        <v>3930147.92</v>
      </c>
      <c r="DT92" s="1">
        <v>3863929.52</v>
      </c>
      <c r="DU92" s="1">
        <v>66218.399999999994</v>
      </c>
      <c r="DV92" s="1">
        <v>2.6661700000000002</v>
      </c>
      <c r="DW92" s="1" t="s">
        <v>1006</v>
      </c>
      <c r="DX92" s="1" t="s">
        <v>1006</v>
      </c>
      <c r="DY92" s="1" t="s">
        <v>946</v>
      </c>
      <c r="DZ92" s="1">
        <v>-23563</v>
      </c>
      <c r="EA92" s="1">
        <v>-19813</v>
      </c>
      <c r="ED92" s="1" t="s">
        <v>50</v>
      </c>
      <c r="EE92" s="1" t="s">
        <v>1007</v>
      </c>
      <c r="EF92" s="1" t="s">
        <v>53</v>
      </c>
      <c r="EG92" s="1" t="s">
        <v>1007</v>
      </c>
      <c r="EH92" s="1" t="s">
        <v>51</v>
      </c>
      <c r="EJ92" s="1" t="s">
        <v>55</v>
      </c>
      <c r="EL92" s="1" t="s">
        <v>57</v>
      </c>
    </row>
    <row r="93" spans="1:142" x14ac:dyDescent="0.2">
      <c r="A93" s="101">
        <v>69181601001</v>
      </c>
      <c r="B93" s="101">
        <v>69181601</v>
      </c>
      <c r="D93" s="1" t="s">
        <v>824</v>
      </c>
      <c r="E93" s="1" t="s">
        <v>44</v>
      </c>
      <c r="F93" s="1" t="s">
        <v>583</v>
      </c>
      <c r="AI93" s="1" t="s">
        <v>551</v>
      </c>
      <c r="AJ93" s="1" t="s">
        <v>44</v>
      </c>
      <c r="AK93" s="1" t="s">
        <v>584</v>
      </c>
      <c r="AL93" s="1" t="s">
        <v>914</v>
      </c>
      <c r="AR93" s="1" t="s">
        <v>79</v>
      </c>
      <c r="AS93" s="1" t="s">
        <v>71</v>
      </c>
      <c r="AT93" s="1">
        <v>3.0807000000000002</v>
      </c>
      <c r="AV93" s="1" t="s">
        <v>450</v>
      </c>
      <c r="AW93" s="1" t="s">
        <v>967</v>
      </c>
      <c r="AX93" s="1">
        <v>8131689</v>
      </c>
      <c r="BA93" s="1" t="s">
        <v>69</v>
      </c>
      <c r="BB93" s="1" t="s">
        <v>574</v>
      </c>
      <c r="BC93" s="1" t="s">
        <v>456</v>
      </c>
      <c r="BD93" s="1" t="s">
        <v>555</v>
      </c>
      <c r="BG93" s="1" t="s">
        <v>558</v>
      </c>
      <c r="BH93" s="1">
        <v>1</v>
      </c>
      <c r="BI93" s="1" t="s">
        <v>431</v>
      </c>
      <c r="BJ93" s="1" t="s">
        <v>67</v>
      </c>
      <c r="BK93" s="1" t="s">
        <v>440</v>
      </c>
      <c r="BL93" s="1">
        <v>0</v>
      </c>
      <c r="BM93" s="1" t="s">
        <v>450</v>
      </c>
      <c r="BN93" s="1" t="s">
        <v>967</v>
      </c>
      <c r="BP93" s="1">
        <v>8131689</v>
      </c>
      <c r="BR93" s="1" t="s">
        <v>69</v>
      </c>
      <c r="BS93" s="1" t="s">
        <v>69</v>
      </c>
      <c r="BT93" s="1" t="s">
        <v>574</v>
      </c>
      <c r="BU93" s="1" t="s">
        <v>456</v>
      </c>
      <c r="BV93" s="1" t="s">
        <v>555</v>
      </c>
      <c r="BY93" s="1" t="s">
        <v>558</v>
      </c>
      <c r="BZ93" s="1">
        <v>1</v>
      </c>
      <c r="CJ93" s="1">
        <v>2.0783200000000002</v>
      </c>
      <c r="CK93" s="1">
        <v>2.0758200000000002</v>
      </c>
      <c r="CL93" s="1">
        <v>2.0808200000000001</v>
      </c>
      <c r="CR93" s="1">
        <v>-60674.514130871699</v>
      </c>
      <c r="CS93" s="1">
        <v>-60877.18</v>
      </c>
      <c r="CT93" s="1">
        <v>-60471.839999999997</v>
      </c>
      <c r="CU93" s="1">
        <v>-0.74609999999999999</v>
      </c>
      <c r="CZ93" s="1">
        <v>-60674.51</v>
      </c>
      <c r="DA93" s="1">
        <v>-60674.51</v>
      </c>
      <c r="DB93" s="1">
        <v>-53371.83</v>
      </c>
      <c r="DC93" s="1">
        <v>-7302.69</v>
      </c>
      <c r="DD93" s="2">
        <v>552.63</v>
      </c>
      <c r="DG93" s="1">
        <v>119.97</v>
      </c>
      <c r="DL93" s="1">
        <v>-8267859.71</v>
      </c>
      <c r="DM93" s="1">
        <v>-8185051.2599999998</v>
      </c>
      <c r="DN93" s="1">
        <v>-82808.45</v>
      </c>
      <c r="DO93" s="1">
        <v>3.0807000000000002</v>
      </c>
      <c r="DP93" s="1" t="s">
        <v>968</v>
      </c>
      <c r="DQ93" s="1" t="s">
        <v>968</v>
      </c>
      <c r="DS93" s="1">
        <v>8207185.1900000004</v>
      </c>
      <c r="DT93" s="1">
        <v>8131679.4299999997</v>
      </c>
      <c r="DU93" s="1">
        <v>75505.759999999995</v>
      </c>
      <c r="DV93" s="1">
        <v>2.3322600000000002</v>
      </c>
      <c r="DW93" s="1" t="s">
        <v>968</v>
      </c>
      <c r="DX93" s="1" t="s">
        <v>968</v>
      </c>
      <c r="DY93" s="1" t="s">
        <v>969</v>
      </c>
      <c r="DZ93" s="1">
        <v>-66417</v>
      </c>
      <c r="EA93" s="1">
        <v>-54932</v>
      </c>
      <c r="ED93" s="1" t="s">
        <v>50</v>
      </c>
      <c r="EE93" s="1" t="s">
        <v>1008</v>
      </c>
      <c r="EF93" s="1" t="s">
        <v>53</v>
      </c>
      <c r="EG93" s="1" t="s">
        <v>1008</v>
      </c>
      <c r="EH93" s="1" t="s">
        <v>51</v>
      </c>
      <c r="EJ93" s="1" t="s">
        <v>55</v>
      </c>
      <c r="EL93" s="1" t="s">
        <v>57</v>
      </c>
    </row>
    <row r="94" spans="1:142" x14ac:dyDescent="0.2">
      <c r="A94" s="101">
        <v>69332050001</v>
      </c>
      <c r="B94" s="101">
        <v>69332050</v>
      </c>
      <c r="D94" s="1" t="s">
        <v>43</v>
      </c>
      <c r="E94" s="1" t="s">
        <v>44</v>
      </c>
      <c r="F94" s="1" t="s">
        <v>583</v>
      </c>
      <c r="AI94" s="1" t="s">
        <v>551</v>
      </c>
      <c r="AJ94" s="1" t="s">
        <v>44</v>
      </c>
      <c r="AK94" s="1" t="s">
        <v>584</v>
      </c>
      <c r="AL94" s="1" t="s">
        <v>450</v>
      </c>
      <c r="AR94" s="1" t="s">
        <v>79</v>
      </c>
      <c r="AS94" s="1" t="s">
        <v>71</v>
      </c>
      <c r="AT94" s="1">
        <v>3.3757000000000001</v>
      </c>
      <c r="AV94" s="1" t="s">
        <v>913</v>
      </c>
      <c r="AW94" s="1" t="s">
        <v>1010</v>
      </c>
      <c r="AX94" s="1">
        <v>1576160</v>
      </c>
      <c r="BA94" s="1" t="s">
        <v>69</v>
      </c>
      <c r="BB94" s="1" t="s">
        <v>574</v>
      </c>
      <c r="BC94" s="1" t="s">
        <v>456</v>
      </c>
      <c r="BD94" s="1" t="s">
        <v>555</v>
      </c>
      <c r="BG94" s="1" t="s">
        <v>558</v>
      </c>
      <c r="BH94" s="1">
        <v>5</v>
      </c>
      <c r="BI94" s="1" t="s">
        <v>431</v>
      </c>
      <c r="BJ94" s="1" t="s">
        <v>67</v>
      </c>
      <c r="BK94" s="1" t="s">
        <v>440</v>
      </c>
      <c r="BL94" s="1">
        <v>0</v>
      </c>
      <c r="BM94" s="1" t="s">
        <v>913</v>
      </c>
      <c r="BN94" s="1" t="s">
        <v>1010</v>
      </c>
      <c r="BP94" s="1">
        <v>1576160</v>
      </c>
      <c r="BR94" s="1" t="s">
        <v>69</v>
      </c>
      <c r="BS94" s="1" t="s">
        <v>69</v>
      </c>
      <c r="BT94" s="1" t="s">
        <v>574</v>
      </c>
      <c r="BU94" s="1" t="s">
        <v>456</v>
      </c>
      <c r="BV94" s="1" t="s">
        <v>555</v>
      </c>
      <c r="BY94" s="1" t="s">
        <v>558</v>
      </c>
      <c r="BZ94" s="1">
        <v>5</v>
      </c>
      <c r="CJ94" s="1">
        <v>2.3536299999999999</v>
      </c>
      <c r="CK94" s="1">
        <v>2.3511299999999999</v>
      </c>
      <c r="CL94" s="1">
        <v>2.3561299999999998</v>
      </c>
      <c r="CR94" s="1">
        <v>-1969.5627485467</v>
      </c>
      <c r="CS94" s="1">
        <v>-2009.31</v>
      </c>
      <c r="CT94" s="1">
        <v>-1929.81</v>
      </c>
      <c r="CU94" s="1">
        <v>-0.125</v>
      </c>
      <c r="CZ94" s="1">
        <v>-1969.56</v>
      </c>
      <c r="DA94" s="1">
        <v>-1969.56</v>
      </c>
      <c r="DB94" s="1">
        <v>-1445.35</v>
      </c>
      <c r="DC94" s="1">
        <v>-524.21</v>
      </c>
      <c r="DD94" s="2">
        <v>15.33</v>
      </c>
      <c r="DG94" s="1">
        <v>7.82</v>
      </c>
      <c r="DL94" s="1">
        <v>-1626226.96</v>
      </c>
      <c r="DM94" s="1">
        <v>-1577602.19</v>
      </c>
      <c r="DN94" s="1">
        <v>-48624.77</v>
      </c>
      <c r="DO94" s="1">
        <v>3.3757000000000001</v>
      </c>
      <c r="DP94" s="1" t="s">
        <v>668</v>
      </c>
      <c r="DQ94" s="1" t="s">
        <v>668</v>
      </c>
      <c r="DS94" s="1">
        <v>1624257.4</v>
      </c>
      <c r="DT94" s="1">
        <v>1576156.84</v>
      </c>
      <c r="DU94" s="1">
        <v>48100.56</v>
      </c>
      <c r="DV94" s="1">
        <v>3.2518199999999999</v>
      </c>
      <c r="DW94" s="1" t="s">
        <v>668</v>
      </c>
      <c r="DX94" s="1" t="s">
        <v>668</v>
      </c>
      <c r="DY94" s="1" t="s">
        <v>744</v>
      </c>
      <c r="DZ94" s="1">
        <v>-2150</v>
      </c>
      <c r="EA94" s="1">
        <v>-1789</v>
      </c>
      <c r="ED94" s="1" t="s">
        <v>50</v>
      </c>
      <c r="EE94" s="1" t="s">
        <v>1011</v>
      </c>
      <c r="EF94" s="1" t="s">
        <v>53</v>
      </c>
      <c r="EG94" s="1" t="s">
        <v>1011</v>
      </c>
      <c r="EH94" s="1" t="s">
        <v>51</v>
      </c>
      <c r="EJ94" s="1" t="s">
        <v>55</v>
      </c>
      <c r="EL94" s="1" t="s">
        <v>57</v>
      </c>
    </row>
    <row r="95" spans="1:142" x14ac:dyDescent="0.2">
      <c r="A95" s="101">
        <v>71089719001</v>
      </c>
      <c r="B95" s="101">
        <v>71089719</v>
      </c>
      <c r="D95" s="1" t="s">
        <v>43</v>
      </c>
      <c r="E95" s="1" t="s">
        <v>44</v>
      </c>
      <c r="F95" s="1" t="s">
        <v>583</v>
      </c>
      <c r="AI95" s="1" t="s">
        <v>551</v>
      </c>
      <c r="AJ95" s="1" t="s">
        <v>44</v>
      </c>
      <c r="AK95" s="1" t="s">
        <v>584</v>
      </c>
      <c r="AL95" s="1" t="s">
        <v>663</v>
      </c>
      <c r="AR95" s="1" t="s">
        <v>79</v>
      </c>
      <c r="AS95" s="1" t="s">
        <v>71</v>
      </c>
      <c r="AT95" s="1">
        <v>3.5261999999999998</v>
      </c>
      <c r="AV95" s="1" t="s">
        <v>454</v>
      </c>
      <c r="AW95" s="1" t="s">
        <v>1042</v>
      </c>
      <c r="AX95" s="1">
        <v>20671992</v>
      </c>
      <c r="BA95" s="1" t="s">
        <v>69</v>
      </c>
      <c r="BB95" s="1" t="s">
        <v>574</v>
      </c>
      <c r="BC95" s="1" t="s">
        <v>456</v>
      </c>
      <c r="BD95" s="1" t="s">
        <v>555</v>
      </c>
      <c r="BG95" s="1" t="s">
        <v>558</v>
      </c>
      <c r="BH95" s="1">
        <v>1</v>
      </c>
      <c r="BI95" s="1" t="s">
        <v>431</v>
      </c>
      <c r="BJ95" s="1" t="s">
        <v>67</v>
      </c>
      <c r="BK95" s="1" t="s">
        <v>440</v>
      </c>
      <c r="BL95" s="1">
        <v>0</v>
      </c>
      <c r="BM95" s="1" t="s">
        <v>454</v>
      </c>
      <c r="BN95" s="1" t="s">
        <v>1042</v>
      </c>
      <c r="BP95" s="1">
        <v>20671992</v>
      </c>
      <c r="BR95" s="1" t="s">
        <v>86</v>
      </c>
      <c r="BS95" s="1" t="s">
        <v>1023</v>
      </c>
      <c r="BT95" s="1" t="s">
        <v>574</v>
      </c>
      <c r="BU95" s="1" t="s">
        <v>456</v>
      </c>
      <c r="BV95" s="1" t="s">
        <v>555</v>
      </c>
      <c r="BY95" s="1" t="s">
        <v>558</v>
      </c>
      <c r="BZ95" s="1">
        <v>1</v>
      </c>
      <c r="CJ95" s="1">
        <v>2.4168799999999999</v>
      </c>
      <c r="CK95" s="1">
        <v>2.41438</v>
      </c>
      <c r="CL95" s="1">
        <v>2.4193799999999999</v>
      </c>
      <c r="CR95" s="1">
        <v>-33900.668335419199</v>
      </c>
      <c r="CS95" s="1">
        <v>-34384.39</v>
      </c>
      <c r="CT95" s="1">
        <v>-33416.949999999997</v>
      </c>
      <c r="CU95" s="1">
        <v>-0.16400000000000001</v>
      </c>
      <c r="CZ95" s="1">
        <v>-33900.67</v>
      </c>
      <c r="DA95" s="1">
        <v>-33900.67</v>
      </c>
      <c r="DB95" s="1">
        <v>-588.94000000000005</v>
      </c>
      <c r="DC95" s="1">
        <v>-33311.730000000003</v>
      </c>
      <c r="DD95" s="2">
        <v>0.02</v>
      </c>
      <c r="DG95" s="1">
        <v>0</v>
      </c>
      <c r="DL95" s="1">
        <v>-21352878.219999999</v>
      </c>
      <c r="DM95" s="1">
        <v>-20672538.16</v>
      </c>
      <c r="DN95" s="1">
        <v>-680340.06</v>
      </c>
      <c r="DO95" s="1">
        <v>3.5261999999999998</v>
      </c>
      <c r="DP95" s="1" t="s">
        <v>1043</v>
      </c>
      <c r="DQ95" s="1" t="s">
        <v>1043</v>
      </c>
      <c r="DS95" s="1">
        <v>21318977.559999999</v>
      </c>
      <c r="DT95" s="1">
        <v>20671949.219999999</v>
      </c>
      <c r="DU95" s="1">
        <v>647028.32999999996</v>
      </c>
      <c r="DV95" s="1">
        <v>3.3509899999999999</v>
      </c>
      <c r="DW95" s="1" t="s">
        <v>1043</v>
      </c>
      <c r="DX95" s="1" t="s">
        <v>1043</v>
      </c>
      <c r="DY95" s="1" t="s">
        <v>663</v>
      </c>
      <c r="DZ95" s="1">
        <v>-33901</v>
      </c>
      <c r="EA95" s="1">
        <v>-33900</v>
      </c>
      <c r="ED95" s="1" t="s">
        <v>50</v>
      </c>
      <c r="EE95" s="1" t="s">
        <v>1044</v>
      </c>
      <c r="EF95" s="1" t="s">
        <v>53</v>
      </c>
      <c r="EG95" s="1" t="s">
        <v>1044</v>
      </c>
      <c r="EH95" s="1" t="s">
        <v>51</v>
      </c>
      <c r="EJ95" s="1" t="s">
        <v>55</v>
      </c>
      <c r="EL95" s="1" t="s">
        <v>57</v>
      </c>
    </row>
    <row r="96" spans="1:142" x14ac:dyDescent="0.2">
      <c r="A96" s="101">
        <v>70112956001</v>
      </c>
      <c r="B96" s="101">
        <v>70112956</v>
      </c>
      <c r="D96" s="1" t="s">
        <v>1033</v>
      </c>
      <c r="E96" s="1" t="s">
        <v>46</v>
      </c>
      <c r="F96" s="1" t="s">
        <v>1034</v>
      </c>
      <c r="AI96" s="1" t="s">
        <v>551</v>
      </c>
      <c r="AJ96" s="1" t="s">
        <v>46</v>
      </c>
      <c r="AK96" s="1" t="s">
        <v>552</v>
      </c>
      <c r="AL96" s="1" t="s">
        <v>930</v>
      </c>
      <c r="AR96" s="1" t="s">
        <v>70</v>
      </c>
      <c r="AS96" s="1" t="s">
        <v>71</v>
      </c>
      <c r="AT96" s="1" t="s">
        <v>452</v>
      </c>
      <c r="AV96" s="1" t="s">
        <v>1035</v>
      </c>
      <c r="AW96" s="1" t="s">
        <v>1036</v>
      </c>
      <c r="AX96" s="1">
        <v>44700000</v>
      </c>
      <c r="BA96" s="1" t="s">
        <v>49</v>
      </c>
      <c r="BB96" s="1" t="s">
        <v>560</v>
      </c>
      <c r="BD96" s="1" t="s">
        <v>555</v>
      </c>
      <c r="BG96" s="1" t="s">
        <v>558</v>
      </c>
      <c r="BH96" s="1">
        <v>15</v>
      </c>
      <c r="BI96" s="1" t="s">
        <v>79</v>
      </c>
      <c r="BJ96" s="1" t="s">
        <v>67</v>
      </c>
      <c r="BK96" s="1">
        <v>1.518</v>
      </c>
      <c r="BM96" s="1" t="s">
        <v>1035</v>
      </c>
      <c r="BN96" s="1" t="s">
        <v>1036</v>
      </c>
      <c r="BO96" s="1" t="s">
        <v>44</v>
      </c>
      <c r="BP96" s="1">
        <v>41200000</v>
      </c>
      <c r="BS96" s="1" t="s">
        <v>49</v>
      </c>
      <c r="BT96" s="1" t="s">
        <v>557</v>
      </c>
      <c r="BV96" s="1" t="s">
        <v>555</v>
      </c>
      <c r="BY96" s="1" t="s">
        <v>558</v>
      </c>
      <c r="BZ96" s="1">
        <v>15</v>
      </c>
      <c r="CJ96" s="1">
        <v>-0.73528000000000004</v>
      </c>
      <c r="CK96" s="1">
        <v>-0.73777999999999999</v>
      </c>
      <c r="CL96" s="1">
        <v>-0.73277999999999999</v>
      </c>
      <c r="CQ96" s="1">
        <v>1.0815999999999999</v>
      </c>
      <c r="CR96" s="1">
        <v>-15690418.354262</v>
      </c>
      <c r="CS96" s="1">
        <v>-15690573.58</v>
      </c>
      <c r="CT96" s="1">
        <v>-15690263.130000001</v>
      </c>
      <c r="CU96" s="1">
        <v>-35.101599999999998</v>
      </c>
      <c r="CZ96" s="1">
        <v>-15690418.35</v>
      </c>
      <c r="DA96" s="1">
        <v>-15690418.35</v>
      </c>
      <c r="DB96" s="1">
        <v>-15720400.77</v>
      </c>
      <c r="DC96" s="1">
        <v>29982.41</v>
      </c>
      <c r="DD96" s="2">
        <v>94446.56</v>
      </c>
      <c r="DG96" s="1">
        <v>0</v>
      </c>
      <c r="DH96" s="1">
        <v>-62112.36</v>
      </c>
      <c r="DL96" s="1">
        <v>-52337248.770000003</v>
      </c>
      <c r="DM96" s="1">
        <v>-52286436.82</v>
      </c>
      <c r="DN96" s="1">
        <v>-50811.95</v>
      </c>
      <c r="DO96" s="1">
        <v>0.75</v>
      </c>
      <c r="DP96" s="1" t="s">
        <v>1146</v>
      </c>
      <c r="DQ96" s="1" t="s">
        <v>1423</v>
      </c>
      <c r="DS96" s="1">
        <v>33883659.399999999</v>
      </c>
      <c r="DT96" s="1">
        <v>33808956.93</v>
      </c>
      <c r="DU96" s="1">
        <v>74702.47</v>
      </c>
      <c r="DV96" s="1">
        <v>1.518</v>
      </c>
      <c r="DW96" s="1" t="s">
        <v>1146</v>
      </c>
      <c r="DX96" s="1" t="s">
        <v>1423</v>
      </c>
      <c r="DZ96" s="1">
        <v>-15343195</v>
      </c>
      <c r="EA96" s="1">
        <v>-16037642</v>
      </c>
      <c r="ED96" s="1" t="s">
        <v>50</v>
      </c>
      <c r="EF96" s="1" t="s">
        <v>53</v>
      </c>
      <c r="EH96" s="1" t="s">
        <v>51</v>
      </c>
      <c r="EJ96" s="1" t="s">
        <v>55</v>
      </c>
      <c r="EL96" s="1" t="s">
        <v>57</v>
      </c>
    </row>
    <row r="97" spans="1:142" x14ac:dyDescent="0.2">
      <c r="A97" s="101">
        <v>71162132001</v>
      </c>
      <c r="B97" s="101">
        <v>71162132</v>
      </c>
      <c r="D97" s="1" t="s">
        <v>75</v>
      </c>
      <c r="E97" s="1" t="s">
        <v>44</v>
      </c>
      <c r="F97" s="1" t="s">
        <v>583</v>
      </c>
      <c r="AI97" s="1" t="s">
        <v>551</v>
      </c>
      <c r="AJ97" s="1" t="s">
        <v>44</v>
      </c>
      <c r="AK97" s="1" t="s">
        <v>584</v>
      </c>
      <c r="AL97" s="1" t="s">
        <v>919</v>
      </c>
      <c r="AR97" s="1" t="s">
        <v>79</v>
      </c>
      <c r="AS97" s="1" t="s">
        <v>71</v>
      </c>
      <c r="AT97" s="1">
        <v>3.4902000000000002</v>
      </c>
      <c r="AV97" s="1" t="s">
        <v>838</v>
      </c>
      <c r="AW97" s="1" t="s">
        <v>1046</v>
      </c>
      <c r="AX97" s="1">
        <v>48105473</v>
      </c>
      <c r="BA97" s="1" t="s">
        <v>69</v>
      </c>
      <c r="BB97" s="1" t="s">
        <v>574</v>
      </c>
      <c r="BC97" s="1" t="s">
        <v>456</v>
      </c>
      <c r="BD97" s="1" t="s">
        <v>555</v>
      </c>
      <c r="BG97" s="1" t="s">
        <v>558</v>
      </c>
      <c r="BH97" s="1">
        <v>29</v>
      </c>
      <c r="BI97" s="1" t="s">
        <v>431</v>
      </c>
      <c r="BJ97" s="1" t="s">
        <v>67</v>
      </c>
      <c r="BK97" s="1" t="s">
        <v>440</v>
      </c>
      <c r="BL97" s="1">
        <v>0</v>
      </c>
      <c r="BM97" s="1" t="s">
        <v>838</v>
      </c>
      <c r="BN97" s="1" t="s">
        <v>1046</v>
      </c>
      <c r="BP97" s="1">
        <v>48105473</v>
      </c>
      <c r="BR97" s="1" t="s">
        <v>86</v>
      </c>
      <c r="BS97" s="1" t="s">
        <v>1023</v>
      </c>
      <c r="BT97" s="1" t="s">
        <v>574</v>
      </c>
      <c r="BU97" s="1" t="s">
        <v>456</v>
      </c>
      <c r="BV97" s="1" t="s">
        <v>555</v>
      </c>
      <c r="BY97" s="1" t="s">
        <v>558</v>
      </c>
      <c r="BZ97" s="1">
        <v>29</v>
      </c>
      <c r="CJ97" s="1">
        <v>2.38205</v>
      </c>
      <c r="CK97" s="1">
        <v>2.3795500000000001</v>
      </c>
      <c r="CL97" s="1">
        <v>2.3845499999999999</v>
      </c>
      <c r="CR97" s="1">
        <v>-101829.13305725899</v>
      </c>
      <c r="CS97" s="1">
        <v>-103042.73</v>
      </c>
      <c r="CT97" s="1">
        <v>-100615.54</v>
      </c>
      <c r="CU97" s="1">
        <v>-0.2117</v>
      </c>
      <c r="CZ97" s="1">
        <v>-101829.13</v>
      </c>
      <c r="DA97" s="1">
        <v>-101829.13</v>
      </c>
      <c r="DB97" s="1">
        <v>-39754.949999999997</v>
      </c>
      <c r="DC97" s="1">
        <v>-62074.18</v>
      </c>
      <c r="DD97" s="2">
        <v>385.98</v>
      </c>
      <c r="DG97" s="1">
        <v>303.98</v>
      </c>
      <c r="DL97" s="1">
        <v>-49707514.350000001</v>
      </c>
      <c r="DM97" s="1">
        <v>-48145132.770000003</v>
      </c>
      <c r="DN97" s="1">
        <v>-1562381.58</v>
      </c>
      <c r="DO97" s="1">
        <v>3.4902000000000002</v>
      </c>
      <c r="DP97" s="1" t="s">
        <v>1047</v>
      </c>
      <c r="DQ97" s="1" t="s">
        <v>1047</v>
      </c>
      <c r="DS97" s="1">
        <v>49605685.210000001</v>
      </c>
      <c r="DT97" s="1">
        <v>48105377.82</v>
      </c>
      <c r="DU97" s="1">
        <v>1500307.4</v>
      </c>
      <c r="DV97" s="1">
        <v>3.28043</v>
      </c>
      <c r="DW97" s="1" t="s">
        <v>1047</v>
      </c>
      <c r="DX97" s="1" t="s">
        <v>1047</v>
      </c>
      <c r="DY97" s="1" t="s">
        <v>919</v>
      </c>
      <c r="DZ97" s="1">
        <v>-106426</v>
      </c>
      <c r="EA97" s="1">
        <v>-97232</v>
      </c>
      <c r="ED97" s="1" t="s">
        <v>50</v>
      </c>
      <c r="EE97" s="1" t="s">
        <v>1048</v>
      </c>
      <c r="EF97" s="1" t="s">
        <v>53</v>
      </c>
      <c r="EG97" s="1" t="s">
        <v>1048</v>
      </c>
      <c r="EH97" s="1" t="s">
        <v>51</v>
      </c>
      <c r="EJ97" s="1" t="s">
        <v>55</v>
      </c>
      <c r="EL97" s="1" t="s">
        <v>57</v>
      </c>
    </row>
    <row r="98" spans="1:142" x14ac:dyDescent="0.2">
      <c r="A98" s="101">
        <v>70442177001</v>
      </c>
      <c r="B98" s="101">
        <v>70442177</v>
      </c>
      <c r="D98" s="1" t="s">
        <v>63</v>
      </c>
      <c r="E98" s="1" t="s">
        <v>44</v>
      </c>
      <c r="F98" s="1" t="s">
        <v>583</v>
      </c>
      <c r="AI98" s="1" t="s">
        <v>551</v>
      </c>
      <c r="AJ98" s="1" t="s">
        <v>44</v>
      </c>
      <c r="AK98" s="1" t="s">
        <v>584</v>
      </c>
      <c r="AL98" s="1" t="s">
        <v>875</v>
      </c>
      <c r="AR98" s="1" t="s">
        <v>79</v>
      </c>
      <c r="AS98" s="1" t="s">
        <v>71</v>
      </c>
      <c r="AT98" s="1">
        <v>3.4302000000000001</v>
      </c>
      <c r="AV98" s="1" t="s">
        <v>840</v>
      </c>
      <c r="AW98" s="1" t="s">
        <v>1037</v>
      </c>
      <c r="AX98" s="1">
        <v>77017456</v>
      </c>
      <c r="BA98" s="1" t="s">
        <v>69</v>
      </c>
      <c r="BB98" s="1" t="s">
        <v>574</v>
      </c>
      <c r="BC98" s="1" t="s">
        <v>456</v>
      </c>
      <c r="BD98" s="1" t="s">
        <v>555</v>
      </c>
      <c r="BG98" s="1" t="s">
        <v>558</v>
      </c>
      <c r="BH98" s="1">
        <v>15</v>
      </c>
      <c r="BI98" s="1" t="s">
        <v>431</v>
      </c>
      <c r="BJ98" s="1" t="s">
        <v>67</v>
      </c>
      <c r="BK98" s="1" t="s">
        <v>440</v>
      </c>
      <c r="BL98" s="1">
        <v>0</v>
      </c>
      <c r="BM98" s="1" t="s">
        <v>840</v>
      </c>
      <c r="BN98" s="1" t="s">
        <v>1037</v>
      </c>
      <c r="BP98" s="1">
        <v>77017456</v>
      </c>
      <c r="BR98" s="1" t="s">
        <v>86</v>
      </c>
      <c r="BS98" s="1" t="s">
        <v>1023</v>
      </c>
      <c r="BT98" s="1" t="s">
        <v>574</v>
      </c>
      <c r="BU98" s="1" t="s">
        <v>456</v>
      </c>
      <c r="BV98" s="1" t="s">
        <v>555</v>
      </c>
      <c r="BY98" s="1" t="s">
        <v>558</v>
      </c>
      <c r="BZ98" s="1">
        <v>15</v>
      </c>
      <c r="CJ98" s="1">
        <v>2.4178999999999999</v>
      </c>
      <c r="CK98" s="1">
        <v>2.4154</v>
      </c>
      <c r="CL98" s="1">
        <v>2.4203999999999999</v>
      </c>
      <c r="CR98" s="1">
        <v>-68182.121833383993</v>
      </c>
      <c r="CS98" s="1">
        <v>-70126.86</v>
      </c>
      <c r="CT98" s="1">
        <v>-66237.38</v>
      </c>
      <c r="CU98" s="1">
        <v>-8.8499999999999995E-2</v>
      </c>
      <c r="CZ98" s="1">
        <v>-68182.12</v>
      </c>
      <c r="DA98" s="1">
        <v>-68182.12</v>
      </c>
      <c r="DB98" s="1">
        <v>-29867.11</v>
      </c>
      <c r="DC98" s="1">
        <v>-38315.01</v>
      </c>
      <c r="DD98" s="2">
        <v>309.36</v>
      </c>
      <c r="DG98" s="1">
        <v>-8.16</v>
      </c>
      <c r="DL98" s="1">
        <v>-79608280.769999996</v>
      </c>
      <c r="DM98" s="1">
        <v>-77047151.269999996</v>
      </c>
      <c r="DN98" s="1">
        <v>-2561129.5</v>
      </c>
      <c r="DO98" s="1">
        <v>3.4302000000000001</v>
      </c>
      <c r="DP98" s="1" t="s">
        <v>1038</v>
      </c>
      <c r="DQ98" s="1" t="s">
        <v>1038</v>
      </c>
      <c r="DS98" s="1">
        <v>79540098.640000001</v>
      </c>
      <c r="DT98" s="1">
        <v>77017284.159999996</v>
      </c>
      <c r="DU98" s="1">
        <v>2522814.4900000002</v>
      </c>
      <c r="DV98" s="1">
        <v>3.3425500000000001</v>
      </c>
      <c r="DW98" s="1" t="s">
        <v>1038</v>
      </c>
      <c r="DX98" s="1" t="s">
        <v>1038</v>
      </c>
      <c r="DY98" s="1" t="s">
        <v>875</v>
      </c>
      <c r="DZ98" s="1">
        <v>-71922</v>
      </c>
      <c r="EA98" s="1">
        <v>-64442</v>
      </c>
      <c r="ED98" s="1" t="s">
        <v>50</v>
      </c>
      <c r="EE98" s="1" t="s">
        <v>1039</v>
      </c>
      <c r="EF98" s="1" t="s">
        <v>53</v>
      </c>
      <c r="EG98" s="1" t="s">
        <v>1039</v>
      </c>
      <c r="EH98" s="1" t="s">
        <v>51</v>
      </c>
      <c r="EJ98" s="1" t="s">
        <v>55</v>
      </c>
      <c r="EL98" s="1" t="s">
        <v>57</v>
      </c>
    </row>
    <row r="99" spans="1:142" x14ac:dyDescent="0.2">
      <c r="A99" s="101">
        <v>71162352001</v>
      </c>
      <c r="B99" s="101">
        <v>71162352</v>
      </c>
      <c r="D99" s="1" t="s">
        <v>824</v>
      </c>
      <c r="E99" s="1" t="s">
        <v>44</v>
      </c>
      <c r="F99" s="1" t="s">
        <v>583</v>
      </c>
      <c r="AI99" s="1" t="s">
        <v>551</v>
      </c>
      <c r="AJ99" s="1" t="s">
        <v>44</v>
      </c>
      <c r="AK99" s="1" t="s">
        <v>584</v>
      </c>
      <c r="AL99" s="1" t="s">
        <v>919</v>
      </c>
      <c r="AR99" s="1" t="s">
        <v>79</v>
      </c>
      <c r="AS99" s="1" t="s">
        <v>71</v>
      </c>
      <c r="AT99" s="1">
        <v>3.1791999999999998</v>
      </c>
      <c r="AV99" s="1" t="s">
        <v>838</v>
      </c>
      <c r="AW99" s="1" t="s">
        <v>1049</v>
      </c>
      <c r="AX99" s="1">
        <v>5894621</v>
      </c>
      <c r="BA99" s="1" t="s">
        <v>69</v>
      </c>
      <c r="BB99" s="1" t="s">
        <v>574</v>
      </c>
      <c r="BC99" s="1" t="s">
        <v>456</v>
      </c>
      <c r="BD99" s="1" t="s">
        <v>555</v>
      </c>
      <c r="BG99" s="1" t="s">
        <v>558</v>
      </c>
      <c r="BH99" s="1">
        <v>16</v>
      </c>
      <c r="BI99" s="1" t="s">
        <v>431</v>
      </c>
      <c r="BJ99" s="1" t="s">
        <v>67</v>
      </c>
      <c r="BK99" s="1" t="s">
        <v>440</v>
      </c>
      <c r="BL99" s="1">
        <v>0</v>
      </c>
      <c r="BM99" s="1" t="s">
        <v>838</v>
      </c>
      <c r="BN99" s="1" t="s">
        <v>1049</v>
      </c>
      <c r="BP99" s="1">
        <v>5894621</v>
      </c>
      <c r="BR99" s="1" t="s">
        <v>69</v>
      </c>
      <c r="BS99" s="1" t="s">
        <v>69</v>
      </c>
      <c r="BT99" s="1" t="s">
        <v>574</v>
      </c>
      <c r="BU99" s="1" t="s">
        <v>456</v>
      </c>
      <c r="BV99" s="1" t="s">
        <v>555</v>
      </c>
      <c r="BY99" s="1" t="s">
        <v>558</v>
      </c>
      <c r="BZ99" s="1">
        <v>16</v>
      </c>
      <c r="CJ99" s="1">
        <v>2.0165899999999999</v>
      </c>
      <c r="CK99" s="1">
        <v>2.0140899999999999</v>
      </c>
      <c r="CL99" s="1">
        <v>2.0190899999999998</v>
      </c>
      <c r="CR99" s="1">
        <v>-66802.494947300307</v>
      </c>
      <c r="CS99" s="1">
        <v>-66948.62</v>
      </c>
      <c r="CT99" s="1">
        <v>-66656.37</v>
      </c>
      <c r="CU99" s="1">
        <v>-1.1333</v>
      </c>
      <c r="CZ99" s="1">
        <v>-66802.490000000005</v>
      </c>
      <c r="DA99" s="1">
        <v>-66802.490000000005</v>
      </c>
      <c r="DB99" s="1">
        <v>-65057.69</v>
      </c>
      <c r="DC99" s="1">
        <v>-1744.81</v>
      </c>
      <c r="DD99" s="2">
        <v>567.38</v>
      </c>
      <c r="DG99" s="1">
        <v>93.73</v>
      </c>
      <c r="DL99" s="1">
        <v>-5966960.71</v>
      </c>
      <c r="DM99" s="1">
        <v>-5959672.8600000003</v>
      </c>
      <c r="DN99" s="1">
        <v>-7287.85</v>
      </c>
      <c r="DO99" s="1">
        <v>3.1791999999999998</v>
      </c>
      <c r="DP99" s="1" t="s">
        <v>1050</v>
      </c>
      <c r="DQ99" s="1" t="s">
        <v>1050</v>
      </c>
      <c r="DS99" s="1">
        <v>5900158.2199999997</v>
      </c>
      <c r="DT99" s="1">
        <v>5894615.1799999997</v>
      </c>
      <c r="DU99" s="1">
        <v>5543.04</v>
      </c>
      <c r="DV99" s="1">
        <v>2.0363099999999998</v>
      </c>
      <c r="DW99" s="1" t="s">
        <v>1050</v>
      </c>
      <c r="DX99" s="1" t="s">
        <v>1050</v>
      </c>
      <c r="DY99" s="1" t="s">
        <v>989</v>
      </c>
      <c r="DZ99" s="1">
        <v>-72523</v>
      </c>
      <c r="EA99" s="1">
        <v>-61082</v>
      </c>
      <c r="ED99" s="1" t="s">
        <v>50</v>
      </c>
      <c r="EE99" s="1" t="s">
        <v>1051</v>
      </c>
      <c r="EF99" s="1" t="s">
        <v>53</v>
      </c>
      <c r="EG99" s="1" t="s">
        <v>1051</v>
      </c>
      <c r="EH99" s="1" t="s">
        <v>51</v>
      </c>
      <c r="EJ99" s="1" t="s">
        <v>55</v>
      </c>
      <c r="EL99" s="1" t="s">
        <v>57</v>
      </c>
    </row>
    <row r="100" spans="1:142" x14ac:dyDescent="0.2">
      <c r="A100" s="101">
        <v>71229698001</v>
      </c>
      <c r="B100" s="101">
        <v>71229698</v>
      </c>
      <c r="D100" s="1" t="s">
        <v>75</v>
      </c>
      <c r="E100" s="1" t="s">
        <v>44</v>
      </c>
      <c r="F100" s="1" t="s">
        <v>583</v>
      </c>
      <c r="AI100" s="1" t="s">
        <v>551</v>
      </c>
      <c r="AJ100" s="1" t="s">
        <v>44</v>
      </c>
      <c r="AK100" s="1" t="s">
        <v>584</v>
      </c>
      <c r="AL100" s="1" t="s">
        <v>454</v>
      </c>
      <c r="AR100" s="1" t="s">
        <v>79</v>
      </c>
      <c r="AS100" s="1" t="s">
        <v>71</v>
      </c>
      <c r="AT100" s="1">
        <v>3.2246999999999999</v>
      </c>
      <c r="AV100" s="1" t="s">
        <v>744</v>
      </c>
      <c r="AW100" s="1" t="s">
        <v>857</v>
      </c>
      <c r="AX100" s="1">
        <v>18852386</v>
      </c>
      <c r="BA100" s="1" t="s">
        <v>69</v>
      </c>
      <c r="BB100" s="1" t="s">
        <v>574</v>
      </c>
      <c r="BC100" s="1" t="s">
        <v>456</v>
      </c>
      <c r="BD100" s="1" t="s">
        <v>555</v>
      </c>
      <c r="BG100" s="1" t="s">
        <v>558</v>
      </c>
      <c r="BH100" s="1">
        <v>17</v>
      </c>
      <c r="BI100" s="1" t="s">
        <v>431</v>
      </c>
      <c r="BJ100" s="1" t="s">
        <v>67</v>
      </c>
      <c r="BK100" s="1" t="s">
        <v>440</v>
      </c>
      <c r="BL100" s="1">
        <v>0</v>
      </c>
      <c r="BM100" s="1" t="s">
        <v>744</v>
      </c>
      <c r="BN100" s="1" t="s">
        <v>857</v>
      </c>
      <c r="BP100" s="1">
        <v>18852386</v>
      </c>
      <c r="BR100" s="1" t="s">
        <v>69</v>
      </c>
      <c r="BS100" s="1" t="s">
        <v>69</v>
      </c>
      <c r="BT100" s="1" t="s">
        <v>574</v>
      </c>
      <c r="BU100" s="1" t="s">
        <v>456</v>
      </c>
      <c r="BV100" s="1" t="s">
        <v>555</v>
      </c>
      <c r="BY100" s="1" t="s">
        <v>558</v>
      </c>
      <c r="BZ100" s="1">
        <v>17</v>
      </c>
      <c r="CJ100" s="1">
        <v>2.0889700000000002</v>
      </c>
      <c r="CK100" s="1">
        <v>2.0864699999999998</v>
      </c>
      <c r="CL100" s="1">
        <v>2.0914700000000002</v>
      </c>
      <c r="CR100" s="1">
        <v>-158322.68567415699</v>
      </c>
      <c r="CS100" s="1">
        <v>-158792.9</v>
      </c>
      <c r="CT100" s="1">
        <v>-157852.48000000001</v>
      </c>
      <c r="CU100" s="1">
        <v>-0.83979999999999999</v>
      </c>
      <c r="CZ100" s="1">
        <v>-158322.69</v>
      </c>
      <c r="DA100" s="1">
        <v>-158322.69</v>
      </c>
      <c r="DB100" s="1">
        <v>-132213.54</v>
      </c>
      <c r="DC100" s="1">
        <v>-26109.14</v>
      </c>
      <c r="DD100" s="2">
        <v>1211.18</v>
      </c>
      <c r="DG100" s="1">
        <v>274.24</v>
      </c>
      <c r="DL100" s="1">
        <v>-19209174.199999999</v>
      </c>
      <c r="DM100" s="1">
        <v>-18984576.780000001</v>
      </c>
      <c r="DN100" s="1">
        <v>-224597.43</v>
      </c>
      <c r="DO100" s="1">
        <v>3.2246999999999999</v>
      </c>
      <c r="DP100" s="1" t="s">
        <v>983</v>
      </c>
      <c r="DQ100" s="1" t="s">
        <v>983</v>
      </c>
      <c r="DS100" s="1">
        <v>19050851.52</v>
      </c>
      <c r="DT100" s="1">
        <v>18852363.23</v>
      </c>
      <c r="DU100" s="1">
        <v>198488.29</v>
      </c>
      <c r="DV100" s="1">
        <v>2.38293</v>
      </c>
      <c r="DW100" s="1" t="s">
        <v>983</v>
      </c>
      <c r="DX100" s="1" t="s">
        <v>983</v>
      </c>
      <c r="DY100" s="1" t="s">
        <v>860</v>
      </c>
      <c r="DZ100" s="1">
        <v>-170973</v>
      </c>
      <c r="EA100" s="1">
        <v>-145672</v>
      </c>
      <c r="ED100" s="1" t="s">
        <v>50</v>
      </c>
      <c r="EE100" s="1" t="s">
        <v>1052</v>
      </c>
      <c r="EF100" s="1" t="s">
        <v>53</v>
      </c>
      <c r="EG100" s="1" t="s">
        <v>1052</v>
      </c>
      <c r="EH100" s="1" t="s">
        <v>51</v>
      </c>
      <c r="EJ100" s="1" t="s">
        <v>55</v>
      </c>
      <c r="EL100" s="1" t="s">
        <v>57</v>
      </c>
    </row>
    <row r="101" spans="1:142" x14ac:dyDescent="0.2">
      <c r="A101" s="101">
        <v>71229709001</v>
      </c>
      <c r="B101" s="101">
        <v>71229709</v>
      </c>
      <c r="D101" s="1" t="s">
        <v>43</v>
      </c>
      <c r="E101" s="1" t="s">
        <v>44</v>
      </c>
      <c r="F101" s="1" t="s">
        <v>583</v>
      </c>
      <c r="AI101" s="1" t="s">
        <v>551</v>
      </c>
      <c r="AJ101" s="1" t="s">
        <v>44</v>
      </c>
      <c r="AK101" s="1" t="s">
        <v>584</v>
      </c>
      <c r="AL101" s="1" t="s">
        <v>454</v>
      </c>
      <c r="AR101" s="1" t="s">
        <v>79</v>
      </c>
      <c r="AS101" s="1" t="s">
        <v>71</v>
      </c>
      <c r="AT101" s="1">
        <v>3.4531999999999998</v>
      </c>
      <c r="AV101" s="1" t="s">
        <v>744</v>
      </c>
      <c r="AW101" s="1" t="s">
        <v>1047</v>
      </c>
      <c r="AX101" s="1">
        <v>62577019</v>
      </c>
      <c r="BA101" s="1" t="s">
        <v>69</v>
      </c>
      <c r="BB101" s="1" t="s">
        <v>574</v>
      </c>
      <c r="BC101" s="1" t="s">
        <v>456</v>
      </c>
      <c r="BD101" s="1" t="s">
        <v>555</v>
      </c>
      <c r="BG101" s="1" t="s">
        <v>558</v>
      </c>
      <c r="BH101" s="1">
        <v>30</v>
      </c>
      <c r="BI101" s="1" t="s">
        <v>431</v>
      </c>
      <c r="BJ101" s="1" t="s">
        <v>67</v>
      </c>
      <c r="BK101" s="1" t="s">
        <v>440</v>
      </c>
      <c r="BL101" s="1">
        <v>0</v>
      </c>
      <c r="BM101" s="1" t="s">
        <v>744</v>
      </c>
      <c r="BN101" s="1" t="s">
        <v>1047</v>
      </c>
      <c r="BP101" s="1">
        <v>62577019</v>
      </c>
      <c r="BR101" s="1" t="s">
        <v>69</v>
      </c>
      <c r="BS101" s="1" t="s">
        <v>1023</v>
      </c>
      <c r="BT101" s="1" t="s">
        <v>574</v>
      </c>
      <c r="BU101" s="1" t="s">
        <v>456</v>
      </c>
      <c r="BV101" s="1" t="s">
        <v>555</v>
      </c>
      <c r="BY101" s="1" t="s">
        <v>558</v>
      </c>
      <c r="BZ101" s="1">
        <v>30</v>
      </c>
      <c r="CJ101" s="1">
        <v>2.3753500000000001</v>
      </c>
      <c r="CK101" s="1">
        <v>2.3728500000000001</v>
      </c>
      <c r="CL101" s="1">
        <v>2.37785</v>
      </c>
      <c r="CR101" s="1">
        <v>-113105.94696008399</v>
      </c>
      <c r="CS101" s="1">
        <v>-114680.1</v>
      </c>
      <c r="CT101" s="1">
        <v>-111531.8</v>
      </c>
      <c r="CU101" s="1">
        <v>-0.1807</v>
      </c>
      <c r="CZ101" s="1">
        <v>-113105.95</v>
      </c>
      <c r="DA101" s="1">
        <v>-113105.95</v>
      </c>
      <c r="DB101" s="1">
        <v>-51969.93</v>
      </c>
      <c r="DC101" s="1">
        <v>-61136.02</v>
      </c>
      <c r="DD101" s="2">
        <v>519.72</v>
      </c>
      <c r="DG101" s="1">
        <v>396.64</v>
      </c>
      <c r="DL101" s="1">
        <v>-64627579.299999997</v>
      </c>
      <c r="DM101" s="1">
        <v>-62628737.899999999</v>
      </c>
      <c r="DN101" s="1">
        <v>-1998841.4</v>
      </c>
      <c r="DO101" s="1">
        <v>3.4531999999999998</v>
      </c>
      <c r="DP101" s="1" t="s">
        <v>1053</v>
      </c>
      <c r="DQ101" s="1" t="s">
        <v>1053</v>
      </c>
      <c r="DS101" s="1">
        <v>64514473.359999999</v>
      </c>
      <c r="DT101" s="1">
        <v>62576767.979999997</v>
      </c>
      <c r="DU101" s="1">
        <v>1937705.38</v>
      </c>
      <c r="DV101" s="1">
        <v>3.2735699999999999</v>
      </c>
      <c r="DW101" s="1" t="s">
        <v>1053</v>
      </c>
      <c r="DX101" s="1" t="s">
        <v>1053</v>
      </c>
      <c r="DY101" s="1" t="s">
        <v>454</v>
      </c>
      <c r="DZ101" s="1">
        <v>-119279</v>
      </c>
      <c r="EA101" s="1">
        <v>-106933</v>
      </c>
      <c r="ED101" s="1" t="s">
        <v>50</v>
      </c>
      <c r="EE101" s="1" t="s">
        <v>1054</v>
      </c>
      <c r="EF101" s="1" t="s">
        <v>53</v>
      </c>
      <c r="EG101" s="1" t="s">
        <v>1054</v>
      </c>
      <c r="EH101" s="1" t="s">
        <v>51</v>
      </c>
      <c r="EJ101" s="1" t="s">
        <v>55</v>
      </c>
      <c r="EL101" s="1" t="s">
        <v>57</v>
      </c>
    </row>
    <row r="102" spans="1:142" x14ac:dyDescent="0.2">
      <c r="A102" s="101">
        <v>71229742001</v>
      </c>
      <c r="B102" s="101">
        <v>71229742</v>
      </c>
      <c r="D102" s="1" t="s">
        <v>63</v>
      </c>
      <c r="E102" s="1" t="s">
        <v>44</v>
      </c>
      <c r="F102" s="1" t="s">
        <v>583</v>
      </c>
      <c r="AI102" s="1" t="s">
        <v>551</v>
      </c>
      <c r="AJ102" s="1" t="s">
        <v>44</v>
      </c>
      <c r="AK102" s="1" t="s">
        <v>584</v>
      </c>
      <c r="AL102" s="1" t="s">
        <v>454</v>
      </c>
      <c r="AR102" s="1" t="s">
        <v>79</v>
      </c>
      <c r="AS102" s="1" t="s">
        <v>71</v>
      </c>
      <c r="AT102" s="1">
        <v>3.4762</v>
      </c>
      <c r="AV102" s="1" t="s">
        <v>744</v>
      </c>
      <c r="AW102" s="1" t="s">
        <v>1055</v>
      </c>
      <c r="AX102" s="1">
        <v>7082569</v>
      </c>
      <c r="BA102" s="1" t="s">
        <v>69</v>
      </c>
      <c r="BB102" s="1" t="s">
        <v>574</v>
      </c>
      <c r="BC102" s="1" t="s">
        <v>456</v>
      </c>
      <c r="BD102" s="1" t="s">
        <v>555</v>
      </c>
      <c r="BG102" s="1" t="s">
        <v>558</v>
      </c>
      <c r="BH102" s="1">
        <v>9</v>
      </c>
      <c r="BI102" s="1" t="s">
        <v>431</v>
      </c>
      <c r="BJ102" s="1" t="s">
        <v>67</v>
      </c>
      <c r="BK102" s="1" t="s">
        <v>440</v>
      </c>
      <c r="BL102" s="1">
        <v>0</v>
      </c>
      <c r="BM102" s="1" t="s">
        <v>744</v>
      </c>
      <c r="BN102" s="1" t="s">
        <v>1055</v>
      </c>
      <c r="BP102" s="1">
        <v>7082569</v>
      </c>
      <c r="BR102" s="1" t="s">
        <v>69</v>
      </c>
      <c r="BS102" s="1" t="s">
        <v>1023</v>
      </c>
      <c r="BT102" s="1" t="s">
        <v>574</v>
      </c>
      <c r="BU102" s="1" t="s">
        <v>456</v>
      </c>
      <c r="BV102" s="1" t="s">
        <v>555</v>
      </c>
      <c r="BY102" s="1" t="s">
        <v>558</v>
      </c>
      <c r="BZ102" s="1">
        <v>9</v>
      </c>
      <c r="CJ102" s="1">
        <v>2.4169999999999998</v>
      </c>
      <c r="CK102" s="1">
        <v>2.4144999999999999</v>
      </c>
      <c r="CL102" s="1">
        <v>2.4195000000000002</v>
      </c>
      <c r="CR102" s="1">
        <v>-10162.1400400326</v>
      </c>
      <c r="CS102" s="1">
        <v>-10330.24</v>
      </c>
      <c r="CT102" s="1">
        <v>-9994.0400000000009</v>
      </c>
      <c r="CU102" s="1">
        <v>-0.14349999999999999</v>
      </c>
      <c r="CZ102" s="1">
        <v>-10162.14</v>
      </c>
      <c r="DA102" s="1">
        <v>-10162.14</v>
      </c>
      <c r="DB102" s="1">
        <v>-1735.85</v>
      </c>
      <c r="DC102" s="1">
        <v>-8426.2900000000009</v>
      </c>
      <c r="DD102" s="2">
        <v>16.25</v>
      </c>
      <c r="DG102" s="1">
        <v>-0.93</v>
      </c>
      <c r="DL102" s="1">
        <v>-7312029.0300000003</v>
      </c>
      <c r="DM102" s="1">
        <v>-7084290.0899999999</v>
      </c>
      <c r="DN102" s="1">
        <v>-227738.94</v>
      </c>
      <c r="DO102" s="1">
        <v>3.4762</v>
      </c>
      <c r="DP102" s="1" t="s">
        <v>1056</v>
      </c>
      <c r="DQ102" s="1" t="s">
        <v>1056</v>
      </c>
      <c r="DS102" s="1">
        <v>7301866.8899999997</v>
      </c>
      <c r="DT102" s="1">
        <v>7082554.2400000002</v>
      </c>
      <c r="DU102" s="1">
        <v>219312.65</v>
      </c>
      <c r="DV102" s="1">
        <v>3.3250700000000002</v>
      </c>
      <c r="DW102" s="1" t="s">
        <v>1056</v>
      </c>
      <c r="DX102" s="1" t="s">
        <v>1056</v>
      </c>
      <c r="DY102" s="1" t="s">
        <v>454</v>
      </c>
      <c r="DZ102" s="1">
        <v>-10359</v>
      </c>
      <c r="EA102" s="1">
        <v>-9966</v>
      </c>
      <c r="ED102" s="1" t="s">
        <v>50</v>
      </c>
      <c r="EE102" s="1" t="s">
        <v>1057</v>
      </c>
      <c r="EF102" s="1" t="s">
        <v>53</v>
      </c>
      <c r="EG102" s="1" t="s">
        <v>1057</v>
      </c>
      <c r="EH102" s="1" t="s">
        <v>51</v>
      </c>
      <c r="EJ102" s="1" t="s">
        <v>55</v>
      </c>
      <c r="EL102" s="1" t="s">
        <v>57</v>
      </c>
    </row>
    <row r="103" spans="1:142" x14ac:dyDescent="0.2">
      <c r="A103" s="101">
        <v>71552783001</v>
      </c>
      <c r="B103" s="101">
        <v>71552783</v>
      </c>
      <c r="D103" s="1" t="s">
        <v>43</v>
      </c>
      <c r="E103" s="1" t="s">
        <v>44</v>
      </c>
      <c r="F103" s="1" t="s">
        <v>583</v>
      </c>
      <c r="AI103" s="1" t="s">
        <v>551</v>
      </c>
      <c r="AJ103" s="1" t="s">
        <v>44</v>
      </c>
      <c r="AK103" s="1" t="s">
        <v>584</v>
      </c>
      <c r="AL103" s="1" t="s">
        <v>948</v>
      </c>
      <c r="AR103" s="1" t="s">
        <v>79</v>
      </c>
      <c r="AS103" s="1" t="s">
        <v>71</v>
      </c>
      <c r="AT103" s="1">
        <v>3.4557000000000002</v>
      </c>
      <c r="AV103" s="1" t="s">
        <v>669</v>
      </c>
      <c r="AW103" s="1" t="s">
        <v>668</v>
      </c>
      <c r="AX103" s="1">
        <v>67436224</v>
      </c>
      <c r="BA103" s="1" t="s">
        <v>69</v>
      </c>
      <c r="BB103" s="1" t="s">
        <v>574</v>
      </c>
      <c r="BC103" s="1" t="s">
        <v>456</v>
      </c>
      <c r="BD103" s="1" t="s">
        <v>555</v>
      </c>
      <c r="BG103" s="1" t="s">
        <v>558</v>
      </c>
      <c r="BH103" s="1">
        <v>6</v>
      </c>
      <c r="BI103" s="1" t="s">
        <v>431</v>
      </c>
      <c r="BJ103" s="1" t="s">
        <v>67</v>
      </c>
      <c r="BK103" s="1" t="s">
        <v>440</v>
      </c>
      <c r="BL103" s="1">
        <v>0</v>
      </c>
      <c r="BM103" s="1" t="s">
        <v>669</v>
      </c>
      <c r="BN103" s="1" t="s">
        <v>668</v>
      </c>
      <c r="BP103" s="1">
        <v>67436224</v>
      </c>
      <c r="BR103" s="1" t="s">
        <v>69</v>
      </c>
      <c r="BS103" s="1" t="s">
        <v>1023</v>
      </c>
      <c r="BT103" s="1" t="s">
        <v>574</v>
      </c>
      <c r="BU103" s="1" t="s">
        <v>456</v>
      </c>
      <c r="BV103" s="1" t="s">
        <v>555</v>
      </c>
      <c r="BY103" s="1" t="s">
        <v>558</v>
      </c>
      <c r="BZ103" s="1">
        <v>6</v>
      </c>
      <c r="CJ103" s="1">
        <v>2.35046</v>
      </c>
      <c r="CK103" s="1">
        <v>2.34796</v>
      </c>
      <c r="CL103" s="1">
        <v>2.3529599999999999</v>
      </c>
      <c r="CR103" s="1">
        <v>-141898.87785273799</v>
      </c>
      <c r="CS103" s="1">
        <v>-143599.41</v>
      </c>
      <c r="CT103" s="1">
        <v>-140198.35</v>
      </c>
      <c r="CU103" s="1">
        <v>-0.2104</v>
      </c>
      <c r="CZ103" s="1">
        <v>-141898.88</v>
      </c>
      <c r="DA103" s="1">
        <v>-141898.88</v>
      </c>
      <c r="DB103" s="1">
        <v>-69095.320000000007</v>
      </c>
      <c r="DC103" s="1">
        <v>-72803.56</v>
      </c>
      <c r="DD103" s="2">
        <v>675.52</v>
      </c>
      <c r="DG103" s="1">
        <v>328.52</v>
      </c>
      <c r="DL103" s="1">
        <v>-69628431.659999996</v>
      </c>
      <c r="DM103" s="1">
        <v>-67505184.159999996</v>
      </c>
      <c r="DN103" s="1">
        <v>-2123247.5</v>
      </c>
      <c r="DO103" s="1">
        <v>3.4557000000000002</v>
      </c>
      <c r="DP103" s="1" t="s">
        <v>743</v>
      </c>
      <c r="DQ103" s="1" t="s">
        <v>743</v>
      </c>
      <c r="DS103" s="1">
        <v>69486532.780000001</v>
      </c>
      <c r="DT103" s="1">
        <v>67436088.849999994</v>
      </c>
      <c r="DU103" s="1">
        <v>2050443.94</v>
      </c>
      <c r="DV103" s="1">
        <v>3.24709</v>
      </c>
      <c r="DW103" s="1" t="s">
        <v>743</v>
      </c>
      <c r="DX103" s="1" t="s">
        <v>743</v>
      </c>
      <c r="DY103" s="1" t="s">
        <v>948</v>
      </c>
      <c r="DZ103" s="1">
        <v>-149838</v>
      </c>
      <c r="EA103" s="1">
        <v>-133960</v>
      </c>
      <c r="ED103" s="1" t="s">
        <v>50</v>
      </c>
      <c r="EE103" s="1" t="s">
        <v>1058</v>
      </c>
      <c r="EF103" s="1" t="s">
        <v>53</v>
      </c>
      <c r="EG103" s="1" t="s">
        <v>1058</v>
      </c>
      <c r="EH103" s="1" t="s">
        <v>51</v>
      </c>
      <c r="EJ103" s="1" t="s">
        <v>55</v>
      </c>
      <c r="EL103" s="1" t="s">
        <v>57</v>
      </c>
    </row>
    <row r="104" spans="1:142" x14ac:dyDescent="0.2">
      <c r="A104" s="101">
        <v>71982640001</v>
      </c>
      <c r="B104" s="101">
        <v>71982640</v>
      </c>
      <c r="D104" s="1" t="s">
        <v>75</v>
      </c>
      <c r="E104" s="1" t="s">
        <v>44</v>
      </c>
      <c r="F104" s="1" t="s">
        <v>583</v>
      </c>
      <c r="AI104" s="1" t="s">
        <v>551</v>
      </c>
      <c r="AJ104" s="1" t="s">
        <v>44</v>
      </c>
      <c r="AK104" s="1" t="s">
        <v>584</v>
      </c>
      <c r="AL104" s="1" t="s">
        <v>741</v>
      </c>
      <c r="AR104" s="1" t="s">
        <v>79</v>
      </c>
      <c r="AS104" s="1" t="s">
        <v>71</v>
      </c>
      <c r="AT104" s="1">
        <v>3.4361999999999999</v>
      </c>
      <c r="AV104" s="1" t="s">
        <v>665</v>
      </c>
      <c r="AW104" s="1" t="s">
        <v>1022</v>
      </c>
      <c r="AX104" s="1">
        <v>38550006</v>
      </c>
      <c r="BA104" s="1" t="s">
        <v>69</v>
      </c>
      <c r="BB104" s="1" t="s">
        <v>574</v>
      </c>
      <c r="BC104" s="1" t="s">
        <v>456</v>
      </c>
      <c r="BD104" s="1" t="s">
        <v>555</v>
      </c>
      <c r="BG104" s="1" t="s">
        <v>558</v>
      </c>
      <c r="BH104" s="1">
        <v>14</v>
      </c>
      <c r="BI104" s="1" t="s">
        <v>431</v>
      </c>
      <c r="BJ104" s="1" t="s">
        <v>67</v>
      </c>
      <c r="BK104" s="1" t="s">
        <v>440</v>
      </c>
      <c r="BL104" s="1">
        <v>0</v>
      </c>
      <c r="BM104" s="1" t="s">
        <v>665</v>
      </c>
      <c r="BN104" s="1" t="s">
        <v>1022</v>
      </c>
      <c r="BP104" s="1">
        <v>38550006</v>
      </c>
      <c r="BR104" s="1" t="s">
        <v>69</v>
      </c>
      <c r="BS104" s="1" t="s">
        <v>1023</v>
      </c>
      <c r="BT104" s="1" t="s">
        <v>574</v>
      </c>
      <c r="BU104" s="1" t="s">
        <v>456</v>
      </c>
      <c r="BV104" s="1" t="s">
        <v>555</v>
      </c>
      <c r="BY104" s="1" t="s">
        <v>558</v>
      </c>
      <c r="BZ104" s="1">
        <v>14</v>
      </c>
      <c r="CJ104" s="1">
        <v>2.3311500000000001</v>
      </c>
      <c r="CK104" s="1">
        <v>2.3286500000000001</v>
      </c>
      <c r="CL104" s="1">
        <v>2.33365</v>
      </c>
      <c r="CR104" s="1">
        <v>-88153.758478485004</v>
      </c>
      <c r="CS104" s="1">
        <v>-89125.38</v>
      </c>
      <c r="CT104" s="1">
        <v>-87182.13</v>
      </c>
      <c r="CU104" s="1">
        <v>-0.22869999999999999</v>
      </c>
      <c r="CZ104" s="1">
        <v>-88153.76</v>
      </c>
      <c r="DA104" s="1">
        <v>-88153.76</v>
      </c>
      <c r="DB104" s="1">
        <v>-48365.16</v>
      </c>
      <c r="DC104" s="1">
        <v>-39788.6</v>
      </c>
      <c r="DD104" s="2">
        <v>473.86</v>
      </c>
      <c r="DG104" s="1">
        <v>183.88</v>
      </c>
      <c r="DL104" s="1">
        <v>-39775766.18</v>
      </c>
      <c r="DM104" s="1">
        <v>-38598294.799999997</v>
      </c>
      <c r="DN104" s="1">
        <v>-1177471.3799999999</v>
      </c>
      <c r="DO104" s="1">
        <v>3.4361999999999999</v>
      </c>
      <c r="DP104" s="1" t="s">
        <v>745</v>
      </c>
      <c r="DQ104" s="1" t="s">
        <v>745</v>
      </c>
      <c r="DS104" s="1">
        <v>39687612.420000002</v>
      </c>
      <c r="DT104" s="1">
        <v>38549929.640000001</v>
      </c>
      <c r="DU104" s="1">
        <v>1137682.79</v>
      </c>
      <c r="DV104" s="1">
        <v>3.2093799999999999</v>
      </c>
      <c r="DW104" s="1" t="s">
        <v>745</v>
      </c>
      <c r="DX104" s="1" t="s">
        <v>745</v>
      </c>
      <c r="DY104" s="1" t="s">
        <v>741</v>
      </c>
      <c r="DZ104" s="1">
        <v>-93677</v>
      </c>
      <c r="EA104" s="1">
        <v>-82631</v>
      </c>
      <c r="ED104" s="1" t="s">
        <v>50</v>
      </c>
      <c r="EE104" s="1" t="s">
        <v>1065</v>
      </c>
      <c r="EF104" s="1" t="s">
        <v>53</v>
      </c>
      <c r="EG104" s="1" t="s">
        <v>1065</v>
      </c>
      <c r="EH104" s="1" t="s">
        <v>51</v>
      </c>
      <c r="EJ104" s="1" t="s">
        <v>55</v>
      </c>
      <c r="EL104" s="1" t="s">
        <v>57</v>
      </c>
    </row>
    <row r="105" spans="1:142" x14ac:dyDescent="0.2">
      <c r="A105" s="101">
        <v>72128629001</v>
      </c>
      <c r="B105" s="101">
        <v>72128629</v>
      </c>
      <c r="D105" s="1" t="s">
        <v>43</v>
      </c>
      <c r="E105" s="1" t="s">
        <v>44</v>
      </c>
      <c r="F105" s="1" t="s">
        <v>583</v>
      </c>
      <c r="AI105" s="1" t="s">
        <v>551</v>
      </c>
      <c r="AJ105" s="1" t="s">
        <v>44</v>
      </c>
      <c r="AK105" s="1" t="s">
        <v>584</v>
      </c>
      <c r="AL105" s="1" t="s">
        <v>665</v>
      </c>
      <c r="AR105" s="1" t="s">
        <v>79</v>
      </c>
      <c r="AS105" s="1" t="s">
        <v>71</v>
      </c>
      <c r="AT105" s="1">
        <v>3.4026999999999998</v>
      </c>
      <c r="AV105" s="1" t="s">
        <v>693</v>
      </c>
      <c r="AW105" s="1" t="s">
        <v>1069</v>
      </c>
      <c r="AX105" s="1">
        <v>9638554</v>
      </c>
      <c r="BA105" s="1" t="s">
        <v>69</v>
      </c>
      <c r="BB105" s="1" t="s">
        <v>574</v>
      </c>
      <c r="BC105" s="1" t="s">
        <v>456</v>
      </c>
      <c r="BD105" s="1" t="s">
        <v>555</v>
      </c>
      <c r="BG105" s="1" t="s">
        <v>558</v>
      </c>
      <c r="BH105" s="1">
        <v>16</v>
      </c>
      <c r="BI105" s="1" t="s">
        <v>431</v>
      </c>
      <c r="BJ105" s="1" t="s">
        <v>67</v>
      </c>
      <c r="BK105" s="1" t="s">
        <v>440</v>
      </c>
      <c r="BL105" s="1">
        <v>0</v>
      </c>
      <c r="BM105" s="1" t="s">
        <v>693</v>
      </c>
      <c r="BN105" s="1" t="s">
        <v>1069</v>
      </c>
      <c r="BP105" s="1">
        <v>9638554</v>
      </c>
      <c r="BR105" s="1" t="s">
        <v>69</v>
      </c>
      <c r="BS105" s="1" t="s">
        <v>1023</v>
      </c>
      <c r="BT105" s="1" t="s">
        <v>574</v>
      </c>
      <c r="BU105" s="1" t="s">
        <v>456</v>
      </c>
      <c r="BV105" s="1" t="s">
        <v>555</v>
      </c>
      <c r="BY105" s="1" t="s">
        <v>558</v>
      </c>
      <c r="BZ105" s="1">
        <v>16</v>
      </c>
      <c r="CJ105" s="1">
        <v>2.3274300000000001</v>
      </c>
      <c r="CK105" s="1">
        <v>2.3249300000000002</v>
      </c>
      <c r="CL105" s="1">
        <v>2.3299300000000001</v>
      </c>
      <c r="CR105" s="1">
        <v>-19697.122726395701</v>
      </c>
      <c r="CS105" s="1">
        <v>-19939.990000000002</v>
      </c>
      <c r="CT105" s="1">
        <v>-19454.25</v>
      </c>
      <c r="CU105" s="1">
        <v>-0.2044</v>
      </c>
      <c r="CZ105" s="1">
        <v>-19697.12</v>
      </c>
      <c r="DA105" s="1">
        <v>-19697.12</v>
      </c>
      <c r="DB105" s="1">
        <v>-12288.15</v>
      </c>
      <c r="DC105" s="1">
        <v>-7408.97</v>
      </c>
      <c r="DD105" s="2">
        <v>123.91</v>
      </c>
      <c r="DG105" s="1">
        <v>46.4</v>
      </c>
      <c r="DL105" s="1">
        <v>-9940492.2200000007</v>
      </c>
      <c r="DM105" s="1">
        <v>-9650784.4399999995</v>
      </c>
      <c r="DN105" s="1">
        <v>-289707.78000000003</v>
      </c>
      <c r="DO105" s="1">
        <v>3.4026999999999998</v>
      </c>
      <c r="DP105" s="1" t="s">
        <v>1070</v>
      </c>
      <c r="DQ105" s="1" t="s">
        <v>1070</v>
      </c>
      <c r="DS105" s="1">
        <v>9920795.0999999996</v>
      </c>
      <c r="DT105" s="1">
        <v>9638496.2799999993</v>
      </c>
      <c r="DU105" s="1">
        <v>282298.82</v>
      </c>
      <c r="DV105" s="1">
        <v>3.1999499999999999</v>
      </c>
      <c r="DW105" s="1" t="s">
        <v>1070</v>
      </c>
      <c r="DX105" s="1" t="s">
        <v>1070</v>
      </c>
      <c r="DY105" s="1" t="s">
        <v>665</v>
      </c>
      <c r="DZ105" s="1">
        <v>-21139</v>
      </c>
      <c r="EA105" s="1">
        <v>-18255</v>
      </c>
      <c r="ED105" s="1" t="s">
        <v>50</v>
      </c>
      <c r="EE105" s="1" t="s">
        <v>1071</v>
      </c>
      <c r="EF105" s="1" t="s">
        <v>53</v>
      </c>
      <c r="EG105" s="1" t="s">
        <v>1071</v>
      </c>
      <c r="EH105" s="1" t="s">
        <v>51</v>
      </c>
      <c r="EJ105" s="1" t="s">
        <v>55</v>
      </c>
      <c r="EL105" s="1" t="s">
        <v>57</v>
      </c>
    </row>
    <row r="106" spans="1:142" x14ac:dyDescent="0.2">
      <c r="A106" s="101">
        <v>72475464001</v>
      </c>
      <c r="B106" s="101">
        <v>72475464</v>
      </c>
      <c r="D106" s="1" t="s">
        <v>824</v>
      </c>
      <c r="E106" s="1" t="s">
        <v>44</v>
      </c>
      <c r="F106" s="1" t="s">
        <v>561</v>
      </c>
      <c r="U106" s="1">
        <v>25873379.0338859</v>
      </c>
      <c r="AI106" s="1" t="s">
        <v>551</v>
      </c>
      <c r="AJ106" s="1" t="s">
        <v>44</v>
      </c>
      <c r="AK106" s="1" t="s">
        <v>581</v>
      </c>
      <c r="AL106" s="1" t="s">
        <v>753</v>
      </c>
      <c r="AR106" s="1" t="s">
        <v>66</v>
      </c>
      <c r="AS106" s="1" t="s">
        <v>67</v>
      </c>
      <c r="AT106" s="1">
        <v>2.4</v>
      </c>
      <c r="AV106" s="1" t="s">
        <v>665</v>
      </c>
      <c r="AW106" s="1" t="s">
        <v>1062</v>
      </c>
      <c r="AX106" s="1">
        <v>16100000</v>
      </c>
      <c r="BA106" s="1" t="s">
        <v>69</v>
      </c>
      <c r="BB106" s="1" t="s">
        <v>560</v>
      </c>
      <c r="BD106" s="1" t="s">
        <v>555</v>
      </c>
      <c r="BG106" s="1" t="s">
        <v>558</v>
      </c>
      <c r="BH106" s="1">
        <v>16</v>
      </c>
      <c r="BI106" s="1" t="s">
        <v>70</v>
      </c>
      <c r="BJ106" s="1" t="s">
        <v>71</v>
      </c>
      <c r="BK106" s="1" t="s">
        <v>76</v>
      </c>
      <c r="BM106" s="1" t="s">
        <v>665</v>
      </c>
      <c r="BN106" s="1" t="s">
        <v>1062</v>
      </c>
      <c r="BP106" s="1">
        <v>16100000</v>
      </c>
      <c r="BT106" s="1" t="s">
        <v>557</v>
      </c>
      <c r="BV106" s="1" t="s">
        <v>555</v>
      </c>
      <c r="BY106" s="1" t="s">
        <v>558</v>
      </c>
      <c r="BZ106" s="1">
        <v>16</v>
      </c>
      <c r="CJ106" s="1">
        <v>2.1476999999999999</v>
      </c>
      <c r="CK106" s="1">
        <v>2.1452</v>
      </c>
      <c r="CL106" s="1">
        <v>2.1501999999999999</v>
      </c>
      <c r="CR106" s="1">
        <v>743711.13951643801</v>
      </c>
      <c r="CU106" s="1">
        <v>4.6193</v>
      </c>
      <c r="CZ106" s="1">
        <v>743711.14</v>
      </c>
      <c r="DA106" s="1">
        <v>743711.14</v>
      </c>
      <c r="DB106" s="1">
        <v>742646.86</v>
      </c>
      <c r="DC106" s="1">
        <v>1064.28</v>
      </c>
      <c r="DD106" s="2">
        <v>-1423.09</v>
      </c>
      <c r="DG106" s="1">
        <v>1064.9100000000001</v>
      </c>
      <c r="DL106" s="1">
        <v>15446787.810000001</v>
      </c>
      <c r="DM106" s="1">
        <v>15109197.02</v>
      </c>
      <c r="DN106" s="1">
        <v>337590.79</v>
      </c>
      <c r="DO106" s="1">
        <v>2.4</v>
      </c>
      <c r="DP106" s="1" t="s">
        <v>1062</v>
      </c>
      <c r="DQ106" s="1" t="s">
        <v>1062</v>
      </c>
      <c r="DS106" s="1">
        <v>-14703076.67</v>
      </c>
      <c r="DT106" s="1">
        <v>-14366550.16</v>
      </c>
      <c r="DU106" s="1">
        <v>-336526.51</v>
      </c>
      <c r="DV106" s="1">
        <v>2.1476999999999999</v>
      </c>
      <c r="DW106" s="1" t="s">
        <v>1062</v>
      </c>
      <c r="DX106" s="1" t="s">
        <v>1062</v>
      </c>
      <c r="DZ106" s="1">
        <v>758993</v>
      </c>
      <c r="EA106" s="1">
        <v>728429</v>
      </c>
      <c r="ED106" s="1" t="s">
        <v>50</v>
      </c>
      <c r="EE106" s="1" t="s">
        <v>1064</v>
      </c>
      <c r="EF106" s="1" t="s">
        <v>53</v>
      </c>
      <c r="EG106" s="1" t="s">
        <v>1064</v>
      </c>
      <c r="EH106" s="1" t="s">
        <v>51</v>
      </c>
      <c r="EJ106" s="1" t="s">
        <v>55</v>
      </c>
      <c r="EL106" s="1" t="s">
        <v>57</v>
      </c>
    </row>
    <row r="107" spans="1:142" x14ac:dyDescent="0.2">
      <c r="A107" s="101">
        <v>72401317001</v>
      </c>
      <c r="B107" s="101">
        <v>72401317</v>
      </c>
      <c r="D107" s="1" t="s">
        <v>77</v>
      </c>
      <c r="E107" s="1" t="s">
        <v>44</v>
      </c>
      <c r="F107" s="1" t="s">
        <v>583</v>
      </c>
      <c r="AI107" s="1" t="s">
        <v>551</v>
      </c>
      <c r="AJ107" s="1" t="s">
        <v>44</v>
      </c>
      <c r="AK107" s="1" t="s">
        <v>584</v>
      </c>
      <c r="AL107" s="1" t="s">
        <v>865</v>
      </c>
      <c r="AR107" s="1" t="s">
        <v>79</v>
      </c>
      <c r="AS107" s="1" t="s">
        <v>71</v>
      </c>
      <c r="AT107" s="1">
        <v>3.4291999999999998</v>
      </c>
      <c r="AV107" s="1" t="s">
        <v>754</v>
      </c>
      <c r="AW107" s="1" t="s">
        <v>1079</v>
      </c>
      <c r="AX107" s="1">
        <v>26969236</v>
      </c>
      <c r="BA107" s="1" t="s">
        <v>69</v>
      </c>
      <c r="BB107" s="1" t="s">
        <v>574</v>
      </c>
      <c r="BC107" s="1" t="s">
        <v>456</v>
      </c>
      <c r="BD107" s="1" t="s">
        <v>555</v>
      </c>
      <c r="BG107" s="1" t="s">
        <v>558</v>
      </c>
      <c r="BH107" s="1">
        <v>22</v>
      </c>
      <c r="BI107" s="1" t="s">
        <v>431</v>
      </c>
      <c r="BJ107" s="1" t="s">
        <v>67</v>
      </c>
      <c r="BK107" s="1" t="s">
        <v>440</v>
      </c>
      <c r="BL107" s="1">
        <v>0</v>
      </c>
      <c r="BM107" s="1" t="s">
        <v>754</v>
      </c>
      <c r="BN107" s="1" t="s">
        <v>1079</v>
      </c>
      <c r="BP107" s="1">
        <v>26969236</v>
      </c>
      <c r="BR107" s="1" t="s">
        <v>69</v>
      </c>
      <c r="BS107" s="1" t="s">
        <v>1023</v>
      </c>
      <c r="BT107" s="1" t="s">
        <v>574</v>
      </c>
      <c r="BU107" s="1" t="s">
        <v>456</v>
      </c>
      <c r="BV107" s="1" t="s">
        <v>555</v>
      </c>
      <c r="BY107" s="1" t="s">
        <v>558</v>
      </c>
      <c r="BZ107" s="1">
        <v>22</v>
      </c>
      <c r="CJ107" s="1">
        <v>2.3176299999999999</v>
      </c>
      <c r="CK107" s="1">
        <v>2.3151299999999999</v>
      </c>
      <c r="CL107" s="1">
        <v>2.3201299999999998</v>
      </c>
      <c r="CR107" s="1">
        <v>-70002.492888156296</v>
      </c>
      <c r="CS107" s="1">
        <v>-70681.89</v>
      </c>
      <c r="CT107" s="1">
        <v>-69323.09</v>
      </c>
      <c r="CU107" s="1">
        <v>-0.2596</v>
      </c>
      <c r="CZ107" s="1">
        <v>-70002.490000000005</v>
      </c>
      <c r="DA107" s="1">
        <v>-70002.490000000005</v>
      </c>
      <c r="DB107" s="1">
        <v>-40314.58</v>
      </c>
      <c r="DC107" s="1">
        <v>-29687.919999999998</v>
      </c>
      <c r="DD107" s="2">
        <v>392.76</v>
      </c>
      <c r="DG107" s="1">
        <v>134.66999999999999</v>
      </c>
      <c r="DL107" s="1">
        <v>-27811016.559999999</v>
      </c>
      <c r="DM107" s="1">
        <v>-27009498.059999999</v>
      </c>
      <c r="DN107" s="1">
        <v>-801518.5</v>
      </c>
      <c r="DO107" s="1">
        <v>3.4291999999999998</v>
      </c>
      <c r="DP107" s="1" t="s">
        <v>1080</v>
      </c>
      <c r="DQ107" s="1" t="s">
        <v>1080</v>
      </c>
      <c r="DS107" s="1">
        <v>27741014.07</v>
      </c>
      <c r="DT107" s="1">
        <v>26969183.48</v>
      </c>
      <c r="DU107" s="1">
        <v>771830.58</v>
      </c>
      <c r="DV107" s="1">
        <v>3.1716099999999998</v>
      </c>
      <c r="DW107" s="1" t="s">
        <v>1080</v>
      </c>
      <c r="DX107" s="1" t="s">
        <v>1080</v>
      </c>
      <c r="DY107" s="1" t="s">
        <v>865</v>
      </c>
      <c r="DZ107" s="1">
        <v>-74554</v>
      </c>
      <c r="EA107" s="1">
        <v>-65451</v>
      </c>
      <c r="ED107" s="1" t="s">
        <v>50</v>
      </c>
      <c r="EE107" s="1" t="s">
        <v>1081</v>
      </c>
      <c r="EF107" s="1" t="s">
        <v>53</v>
      </c>
      <c r="EG107" s="1" t="s">
        <v>1081</v>
      </c>
      <c r="EH107" s="1" t="s">
        <v>51</v>
      </c>
      <c r="EJ107" s="1" t="s">
        <v>55</v>
      </c>
      <c r="EL107" s="1" t="s">
        <v>57</v>
      </c>
    </row>
    <row r="108" spans="1:142" x14ac:dyDescent="0.2">
      <c r="A108" s="101">
        <v>72475693001</v>
      </c>
      <c r="B108" s="101">
        <v>72475693</v>
      </c>
      <c r="D108" s="1" t="s">
        <v>824</v>
      </c>
      <c r="E108" s="1" t="s">
        <v>44</v>
      </c>
      <c r="F108" s="1" t="s">
        <v>561</v>
      </c>
      <c r="U108" s="1">
        <v>18480985.024204198</v>
      </c>
      <c r="AI108" s="1" t="s">
        <v>551</v>
      </c>
      <c r="AJ108" s="1" t="s">
        <v>44</v>
      </c>
      <c r="AK108" s="1" t="s">
        <v>581</v>
      </c>
      <c r="AL108" s="1" t="s">
        <v>753</v>
      </c>
      <c r="AR108" s="1" t="s">
        <v>66</v>
      </c>
      <c r="AS108" s="1" t="s">
        <v>67</v>
      </c>
      <c r="AT108" s="1">
        <v>2.4</v>
      </c>
      <c r="AV108" s="1" t="s">
        <v>665</v>
      </c>
      <c r="AW108" s="1" t="s">
        <v>1062</v>
      </c>
      <c r="AX108" s="1">
        <v>11500000</v>
      </c>
      <c r="BA108" s="1" t="s">
        <v>69</v>
      </c>
      <c r="BB108" s="1" t="s">
        <v>560</v>
      </c>
      <c r="BD108" s="1" t="s">
        <v>555</v>
      </c>
      <c r="BG108" s="1" t="s">
        <v>558</v>
      </c>
      <c r="BH108" s="1">
        <v>16</v>
      </c>
      <c r="BI108" s="1" t="s">
        <v>70</v>
      </c>
      <c r="BJ108" s="1" t="s">
        <v>71</v>
      </c>
      <c r="BK108" s="1" t="s">
        <v>76</v>
      </c>
      <c r="BM108" s="1" t="s">
        <v>665</v>
      </c>
      <c r="BN108" s="1" t="s">
        <v>1062</v>
      </c>
      <c r="BP108" s="1">
        <v>11500000</v>
      </c>
      <c r="BT108" s="1" t="s">
        <v>557</v>
      </c>
      <c r="BV108" s="1" t="s">
        <v>555</v>
      </c>
      <c r="BY108" s="1" t="s">
        <v>558</v>
      </c>
      <c r="BZ108" s="1">
        <v>16</v>
      </c>
      <c r="CJ108" s="1">
        <v>2.1476999999999999</v>
      </c>
      <c r="CK108" s="1">
        <v>2.1452</v>
      </c>
      <c r="CL108" s="1">
        <v>2.1501999999999999</v>
      </c>
      <c r="CR108" s="1">
        <v>531222.24251173995</v>
      </c>
      <c r="CU108" s="1">
        <v>4.6193</v>
      </c>
      <c r="CZ108" s="1">
        <v>531222.24</v>
      </c>
      <c r="DA108" s="1">
        <v>531222.24</v>
      </c>
      <c r="DB108" s="1">
        <v>530462.04</v>
      </c>
      <c r="DC108" s="1">
        <v>760.2</v>
      </c>
      <c r="DD108" s="2">
        <v>-1016.49</v>
      </c>
      <c r="DG108" s="1">
        <v>760.65</v>
      </c>
      <c r="DL108" s="1">
        <v>11033419.859999999</v>
      </c>
      <c r="DM108" s="1">
        <v>10792283.58</v>
      </c>
      <c r="DN108" s="1">
        <v>241136.28</v>
      </c>
      <c r="DO108" s="1">
        <v>2.4</v>
      </c>
      <c r="DP108" s="1" t="s">
        <v>1062</v>
      </c>
      <c r="DQ108" s="1" t="s">
        <v>1062</v>
      </c>
      <c r="DS108" s="1">
        <v>-10502197.619999999</v>
      </c>
      <c r="DT108" s="1">
        <v>-10261821.539999999</v>
      </c>
      <c r="DU108" s="1">
        <v>-240376.08</v>
      </c>
      <c r="DV108" s="1">
        <v>2.1476999999999999</v>
      </c>
      <c r="DW108" s="1" t="s">
        <v>1062</v>
      </c>
      <c r="DX108" s="1" t="s">
        <v>1062</v>
      </c>
      <c r="DZ108" s="1">
        <v>542138</v>
      </c>
      <c r="EA108" s="1">
        <v>520307</v>
      </c>
      <c r="ED108" s="1" t="s">
        <v>50</v>
      </c>
      <c r="EE108" s="1" t="s">
        <v>1066</v>
      </c>
      <c r="EF108" s="1" t="s">
        <v>53</v>
      </c>
      <c r="EG108" s="1" t="s">
        <v>1066</v>
      </c>
      <c r="EH108" s="1" t="s">
        <v>51</v>
      </c>
      <c r="EJ108" s="1" t="s">
        <v>55</v>
      </c>
      <c r="EL108" s="1" t="s">
        <v>57</v>
      </c>
    </row>
    <row r="109" spans="1:142" x14ac:dyDescent="0.2">
      <c r="A109" s="101">
        <v>72401506001</v>
      </c>
      <c r="B109" s="101">
        <v>72401506</v>
      </c>
      <c r="D109" s="1" t="s">
        <v>75</v>
      </c>
      <c r="E109" s="1" t="s">
        <v>44</v>
      </c>
      <c r="F109" s="1" t="s">
        <v>583</v>
      </c>
      <c r="AI109" s="1" t="s">
        <v>551</v>
      </c>
      <c r="AJ109" s="1" t="s">
        <v>44</v>
      </c>
      <c r="AK109" s="1" t="s">
        <v>584</v>
      </c>
      <c r="AL109" s="1" t="s">
        <v>865</v>
      </c>
      <c r="AR109" s="1" t="s">
        <v>79</v>
      </c>
      <c r="AS109" s="1" t="s">
        <v>71</v>
      </c>
      <c r="AT109" s="1">
        <v>3.4472</v>
      </c>
      <c r="AV109" s="1" t="s">
        <v>754</v>
      </c>
      <c r="AW109" s="1" t="s">
        <v>1010</v>
      </c>
      <c r="AX109" s="1">
        <v>4884500</v>
      </c>
      <c r="BA109" s="1" t="s">
        <v>69</v>
      </c>
      <c r="BB109" s="1" t="s">
        <v>574</v>
      </c>
      <c r="BC109" s="1" t="s">
        <v>456</v>
      </c>
      <c r="BD109" s="1" t="s">
        <v>555</v>
      </c>
      <c r="BG109" s="1" t="s">
        <v>558</v>
      </c>
      <c r="BH109" s="1">
        <v>5</v>
      </c>
      <c r="BI109" s="1" t="s">
        <v>431</v>
      </c>
      <c r="BJ109" s="1" t="s">
        <v>67</v>
      </c>
      <c r="BK109" s="1" t="s">
        <v>440</v>
      </c>
      <c r="BL109" s="1">
        <v>0</v>
      </c>
      <c r="BM109" s="1" t="s">
        <v>754</v>
      </c>
      <c r="BN109" s="1" t="s">
        <v>1010</v>
      </c>
      <c r="BP109" s="1">
        <v>4884500</v>
      </c>
      <c r="BR109" s="1" t="s">
        <v>69</v>
      </c>
      <c r="BS109" s="1" t="s">
        <v>1023</v>
      </c>
      <c r="BT109" s="1" t="s">
        <v>574</v>
      </c>
      <c r="BU109" s="1" t="s">
        <v>456</v>
      </c>
      <c r="BV109" s="1" t="s">
        <v>555</v>
      </c>
      <c r="BY109" s="1" t="s">
        <v>558</v>
      </c>
      <c r="BZ109" s="1">
        <v>5</v>
      </c>
      <c r="CJ109" s="1">
        <v>2.3536299999999999</v>
      </c>
      <c r="CK109" s="1">
        <v>2.3511299999999999</v>
      </c>
      <c r="CL109" s="1">
        <v>2.3561299999999998</v>
      </c>
      <c r="CR109" s="1">
        <v>-10967.347388366201</v>
      </c>
      <c r="CS109" s="1">
        <v>-11084.77</v>
      </c>
      <c r="CT109" s="1">
        <v>-10849.92</v>
      </c>
      <c r="CU109" s="1">
        <v>-0.22450000000000001</v>
      </c>
      <c r="CZ109" s="1">
        <v>-10967.35</v>
      </c>
      <c r="DA109" s="1">
        <v>-10967.35</v>
      </c>
      <c r="DB109" s="1">
        <v>-4828.47</v>
      </c>
      <c r="DC109" s="1">
        <v>-6138.87</v>
      </c>
      <c r="DD109" s="2">
        <v>47.46</v>
      </c>
      <c r="DG109" s="1">
        <v>23.88</v>
      </c>
      <c r="DL109" s="1">
        <v>-5035247.2699999996</v>
      </c>
      <c r="DM109" s="1">
        <v>-4889319.25</v>
      </c>
      <c r="DN109" s="1">
        <v>-145928.01999999999</v>
      </c>
      <c r="DO109" s="1">
        <v>3.4472</v>
      </c>
      <c r="DP109" s="1" t="s">
        <v>668</v>
      </c>
      <c r="DQ109" s="1" t="s">
        <v>668</v>
      </c>
      <c r="DS109" s="1">
        <v>5024279.92</v>
      </c>
      <c r="DT109" s="1">
        <v>4884490.78</v>
      </c>
      <c r="DU109" s="1">
        <v>139789.15</v>
      </c>
      <c r="DV109" s="1">
        <v>3.2137099999999998</v>
      </c>
      <c r="DW109" s="1" t="s">
        <v>668</v>
      </c>
      <c r="DX109" s="1" t="s">
        <v>668</v>
      </c>
      <c r="DY109" s="1" t="s">
        <v>865</v>
      </c>
      <c r="DZ109" s="1">
        <v>-11526</v>
      </c>
      <c r="EA109" s="1">
        <v>-10409</v>
      </c>
      <c r="ED109" s="1" t="s">
        <v>50</v>
      </c>
      <c r="EE109" s="1" t="s">
        <v>1082</v>
      </c>
      <c r="EF109" s="1" t="s">
        <v>53</v>
      </c>
      <c r="EG109" s="1" t="s">
        <v>1082</v>
      </c>
      <c r="EH109" s="1" t="s">
        <v>51</v>
      </c>
      <c r="EJ109" s="1" t="s">
        <v>55</v>
      </c>
      <c r="EL109" s="1" t="s">
        <v>57</v>
      </c>
    </row>
    <row r="110" spans="1:142" x14ac:dyDescent="0.2">
      <c r="A110" s="101">
        <v>72475215001</v>
      </c>
      <c r="B110" s="101">
        <v>72475215</v>
      </c>
      <c r="D110" s="1" t="s">
        <v>220</v>
      </c>
      <c r="E110" s="1" t="s">
        <v>44</v>
      </c>
      <c r="F110" s="1" t="s">
        <v>561</v>
      </c>
      <c r="U110" s="1">
        <v>22194516.7522875</v>
      </c>
      <c r="AI110" s="1" t="s">
        <v>551</v>
      </c>
      <c r="AJ110" s="1" t="s">
        <v>44</v>
      </c>
      <c r="AK110" s="1" t="s">
        <v>581</v>
      </c>
      <c r="AL110" s="1" t="s">
        <v>753</v>
      </c>
      <c r="AR110" s="1" t="s">
        <v>66</v>
      </c>
      <c r="AS110" s="1" t="s">
        <v>67</v>
      </c>
      <c r="AT110" s="1">
        <v>2.4039999999999999</v>
      </c>
      <c r="AV110" s="1" t="s">
        <v>665</v>
      </c>
      <c r="AW110" s="1" t="s">
        <v>1062</v>
      </c>
      <c r="AX110" s="1">
        <v>13800000</v>
      </c>
      <c r="BA110" s="1" t="s">
        <v>69</v>
      </c>
      <c r="BB110" s="1" t="s">
        <v>560</v>
      </c>
      <c r="BD110" s="1" t="s">
        <v>555</v>
      </c>
      <c r="BG110" s="1" t="s">
        <v>558</v>
      </c>
      <c r="BH110" s="1">
        <v>16</v>
      </c>
      <c r="BI110" s="1" t="s">
        <v>70</v>
      </c>
      <c r="BJ110" s="1" t="s">
        <v>71</v>
      </c>
      <c r="BK110" s="1" t="s">
        <v>76</v>
      </c>
      <c r="BM110" s="1" t="s">
        <v>665</v>
      </c>
      <c r="BN110" s="1" t="s">
        <v>1062</v>
      </c>
      <c r="BP110" s="1">
        <v>13800000</v>
      </c>
      <c r="BT110" s="1" t="s">
        <v>557</v>
      </c>
      <c r="BV110" s="1" t="s">
        <v>555</v>
      </c>
      <c r="BY110" s="1" t="s">
        <v>558</v>
      </c>
      <c r="BZ110" s="1">
        <v>16</v>
      </c>
      <c r="CJ110" s="1">
        <v>2.1476999999999999</v>
      </c>
      <c r="CK110" s="1">
        <v>2.1452</v>
      </c>
      <c r="CL110" s="1">
        <v>2.1501999999999999</v>
      </c>
      <c r="CR110" s="1">
        <v>647815.775734514</v>
      </c>
      <c r="CU110" s="1">
        <v>4.6943000000000001</v>
      </c>
      <c r="CZ110" s="1">
        <v>647815.78</v>
      </c>
      <c r="DA110" s="1">
        <v>647815.78</v>
      </c>
      <c r="DB110" s="1">
        <v>646421.98</v>
      </c>
      <c r="DC110" s="1">
        <v>1393.8</v>
      </c>
      <c r="DD110" s="2">
        <v>-1239.5899999999999</v>
      </c>
      <c r="DG110" s="1">
        <v>913.49</v>
      </c>
      <c r="DL110" s="1">
        <v>13250452.92</v>
      </c>
      <c r="DM110" s="1">
        <v>12960607.82</v>
      </c>
      <c r="DN110" s="1">
        <v>289845.09000000003</v>
      </c>
      <c r="DO110" s="1">
        <v>2.4039999999999999</v>
      </c>
      <c r="DP110" s="1" t="s">
        <v>1062</v>
      </c>
      <c r="DQ110" s="1" t="s">
        <v>1062</v>
      </c>
      <c r="DS110" s="1">
        <v>-12602637.140000001</v>
      </c>
      <c r="DT110" s="1">
        <v>-12314185.85</v>
      </c>
      <c r="DU110" s="1">
        <v>-288451.3</v>
      </c>
      <c r="DV110" s="1">
        <v>2.1476999999999999</v>
      </c>
      <c r="DW110" s="1" t="s">
        <v>1062</v>
      </c>
      <c r="DX110" s="1" t="s">
        <v>1062</v>
      </c>
      <c r="DZ110" s="1">
        <v>661127</v>
      </c>
      <c r="EA110" s="1">
        <v>634504</v>
      </c>
      <c r="ED110" s="1" t="s">
        <v>50</v>
      </c>
      <c r="EE110" s="1" t="s">
        <v>1086</v>
      </c>
      <c r="EF110" s="1" t="s">
        <v>53</v>
      </c>
      <c r="EG110" s="1" t="s">
        <v>1086</v>
      </c>
      <c r="EH110" s="1" t="s">
        <v>51</v>
      </c>
      <c r="EJ110" s="1" t="s">
        <v>55</v>
      </c>
      <c r="EL110" s="1" t="s">
        <v>57</v>
      </c>
    </row>
    <row r="111" spans="1:142" x14ac:dyDescent="0.2">
      <c r="A111" s="101">
        <v>72540025001</v>
      </c>
      <c r="B111" s="101">
        <v>72540025</v>
      </c>
      <c r="D111" s="1" t="s">
        <v>77</v>
      </c>
      <c r="E111" s="1" t="s">
        <v>44</v>
      </c>
      <c r="F111" s="1" t="s">
        <v>583</v>
      </c>
      <c r="AI111" s="1" t="s">
        <v>551</v>
      </c>
      <c r="AJ111" s="1" t="s">
        <v>44</v>
      </c>
      <c r="AK111" s="1" t="s">
        <v>584</v>
      </c>
      <c r="AL111" s="1" t="s">
        <v>754</v>
      </c>
      <c r="AR111" s="1" t="s">
        <v>79</v>
      </c>
      <c r="AS111" s="1" t="s">
        <v>71</v>
      </c>
      <c r="AT111" s="1">
        <v>3.4636999999999998</v>
      </c>
      <c r="AV111" s="1" t="s">
        <v>756</v>
      </c>
      <c r="AW111" s="1" t="s">
        <v>1067</v>
      </c>
      <c r="AX111" s="1">
        <v>19250514</v>
      </c>
      <c r="BA111" s="1" t="s">
        <v>69</v>
      </c>
      <c r="BB111" s="1" t="s">
        <v>574</v>
      </c>
      <c r="BC111" s="1" t="s">
        <v>456</v>
      </c>
      <c r="BD111" s="1" t="s">
        <v>555</v>
      </c>
      <c r="BG111" s="1" t="s">
        <v>558</v>
      </c>
      <c r="BH111" s="1">
        <v>27</v>
      </c>
      <c r="BI111" s="1" t="s">
        <v>431</v>
      </c>
      <c r="BJ111" s="1" t="s">
        <v>67</v>
      </c>
      <c r="BK111" s="1" t="s">
        <v>440</v>
      </c>
      <c r="BL111" s="1">
        <v>0</v>
      </c>
      <c r="BM111" s="1" t="s">
        <v>756</v>
      </c>
      <c r="BN111" s="1" t="s">
        <v>1067</v>
      </c>
      <c r="BP111" s="1">
        <v>19250514</v>
      </c>
      <c r="BR111" s="1" t="s">
        <v>69</v>
      </c>
      <c r="BS111" s="1" t="s">
        <v>69</v>
      </c>
      <c r="BT111" s="1" t="s">
        <v>574</v>
      </c>
      <c r="BU111" s="1" t="s">
        <v>456</v>
      </c>
      <c r="BV111" s="1" t="s">
        <v>555</v>
      </c>
      <c r="BY111" s="1" t="s">
        <v>558</v>
      </c>
      <c r="BZ111" s="1">
        <v>27</v>
      </c>
      <c r="CJ111" s="1">
        <v>2.3102399999999998</v>
      </c>
      <c r="CK111" s="1">
        <v>2.3077399999999999</v>
      </c>
      <c r="CL111" s="1">
        <v>2.3127399999999998</v>
      </c>
      <c r="CR111" s="1">
        <v>-60959.212731201202</v>
      </c>
      <c r="CS111" s="1">
        <v>-61445.35</v>
      </c>
      <c r="CT111" s="1">
        <v>-60473.08</v>
      </c>
      <c r="CU111" s="1">
        <v>-0.31669999999999998</v>
      </c>
      <c r="CZ111" s="1">
        <v>-60959.21</v>
      </c>
      <c r="DA111" s="1">
        <v>-60959.21</v>
      </c>
      <c r="DB111" s="1">
        <v>-32820.19</v>
      </c>
      <c r="DC111" s="1">
        <v>-28139.02</v>
      </c>
      <c r="DD111" s="2">
        <v>307.77999999999997</v>
      </c>
      <c r="DG111" s="1">
        <v>101.62</v>
      </c>
      <c r="DL111" s="1">
        <v>-19853764.449999999</v>
      </c>
      <c r="DM111" s="1">
        <v>-19283297.079999998</v>
      </c>
      <c r="DN111" s="1">
        <v>-570467.38</v>
      </c>
      <c r="DO111" s="1">
        <v>3.4636999999999998</v>
      </c>
      <c r="DP111" s="1" t="s">
        <v>938</v>
      </c>
      <c r="DQ111" s="1" t="s">
        <v>938</v>
      </c>
      <c r="DS111" s="1">
        <v>19792805.239999998</v>
      </c>
      <c r="DT111" s="1">
        <v>19250476.890000001</v>
      </c>
      <c r="DU111" s="1">
        <v>542328.36</v>
      </c>
      <c r="DV111" s="1">
        <v>3.15021</v>
      </c>
      <c r="DW111" s="1" t="s">
        <v>938</v>
      </c>
      <c r="DX111" s="1" t="s">
        <v>938</v>
      </c>
      <c r="DY111" s="1" t="s">
        <v>754</v>
      </c>
      <c r="DZ111" s="1">
        <v>-64514</v>
      </c>
      <c r="EA111" s="1">
        <v>-57404</v>
      </c>
      <c r="ED111" s="1" t="s">
        <v>50</v>
      </c>
      <c r="EE111" s="1" t="s">
        <v>1068</v>
      </c>
      <c r="EF111" s="1" t="s">
        <v>53</v>
      </c>
      <c r="EG111" s="1" t="s">
        <v>1068</v>
      </c>
      <c r="EH111" s="1" t="s">
        <v>51</v>
      </c>
      <c r="EJ111" s="1" t="s">
        <v>55</v>
      </c>
      <c r="EL111" s="1" t="s">
        <v>57</v>
      </c>
    </row>
    <row r="112" spans="1:142" x14ac:dyDescent="0.2">
      <c r="A112" s="101">
        <v>72475455001</v>
      </c>
      <c r="B112" s="101">
        <v>72475455</v>
      </c>
      <c r="D112" s="1" t="s">
        <v>824</v>
      </c>
      <c r="E112" s="1" t="s">
        <v>44</v>
      </c>
      <c r="F112" s="1" t="s">
        <v>561</v>
      </c>
      <c r="U112" s="1">
        <v>22177182.029045001</v>
      </c>
      <c r="AI112" s="1" t="s">
        <v>551</v>
      </c>
      <c r="AJ112" s="1" t="s">
        <v>44</v>
      </c>
      <c r="AK112" s="1" t="s">
        <v>581</v>
      </c>
      <c r="AL112" s="1" t="s">
        <v>753</v>
      </c>
      <c r="AR112" s="1" t="s">
        <v>66</v>
      </c>
      <c r="AS112" s="1" t="s">
        <v>67</v>
      </c>
      <c r="AT112" s="1">
        <v>2.4</v>
      </c>
      <c r="AV112" s="1" t="s">
        <v>665</v>
      </c>
      <c r="AW112" s="1" t="s">
        <v>1062</v>
      </c>
      <c r="AX112" s="1">
        <v>13800000</v>
      </c>
      <c r="BA112" s="1" t="s">
        <v>69</v>
      </c>
      <c r="BB112" s="1" t="s">
        <v>560</v>
      </c>
      <c r="BD112" s="1" t="s">
        <v>555</v>
      </c>
      <c r="BG112" s="1" t="s">
        <v>558</v>
      </c>
      <c r="BH112" s="1">
        <v>16</v>
      </c>
      <c r="BI112" s="1" t="s">
        <v>70</v>
      </c>
      <c r="BJ112" s="1" t="s">
        <v>71</v>
      </c>
      <c r="BK112" s="1" t="s">
        <v>76</v>
      </c>
      <c r="BM112" s="1" t="s">
        <v>665</v>
      </c>
      <c r="BN112" s="1" t="s">
        <v>1062</v>
      </c>
      <c r="BP112" s="1">
        <v>13800000</v>
      </c>
      <c r="BT112" s="1" t="s">
        <v>557</v>
      </c>
      <c r="BV112" s="1" t="s">
        <v>555</v>
      </c>
      <c r="BY112" s="1" t="s">
        <v>558</v>
      </c>
      <c r="BZ112" s="1">
        <v>16</v>
      </c>
      <c r="CJ112" s="1">
        <v>2.1476999999999999</v>
      </c>
      <c r="CK112" s="1">
        <v>2.1452</v>
      </c>
      <c r="CL112" s="1">
        <v>2.1501999999999999</v>
      </c>
      <c r="CR112" s="1">
        <v>637466.69101408904</v>
      </c>
      <c r="CU112" s="1">
        <v>4.6193</v>
      </c>
      <c r="CZ112" s="1">
        <v>637466.68999999994</v>
      </c>
      <c r="DA112" s="1">
        <v>637466.68999999994</v>
      </c>
      <c r="DB112" s="1">
        <v>636554.44999999995</v>
      </c>
      <c r="DC112" s="1">
        <v>912.24</v>
      </c>
      <c r="DD112" s="2">
        <v>-1219.79</v>
      </c>
      <c r="DG112" s="1">
        <v>912.78</v>
      </c>
      <c r="DL112" s="1">
        <v>13240103.83</v>
      </c>
      <c r="DM112" s="1">
        <v>12950740.300000001</v>
      </c>
      <c r="DN112" s="1">
        <v>289363.53999999998</v>
      </c>
      <c r="DO112" s="1">
        <v>2.4</v>
      </c>
      <c r="DP112" s="1" t="s">
        <v>1062</v>
      </c>
      <c r="DQ112" s="1" t="s">
        <v>1062</v>
      </c>
      <c r="DS112" s="1">
        <v>-12602637.140000001</v>
      </c>
      <c r="DT112" s="1">
        <v>-12314185.85</v>
      </c>
      <c r="DU112" s="1">
        <v>-288451.3</v>
      </c>
      <c r="DV112" s="1">
        <v>2.1476999999999999</v>
      </c>
      <c r="DW112" s="1" t="s">
        <v>1062</v>
      </c>
      <c r="DX112" s="1" t="s">
        <v>1062</v>
      </c>
      <c r="DZ112" s="1">
        <v>650565</v>
      </c>
      <c r="EA112" s="1">
        <v>624368</v>
      </c>
      <c r="ED112" s="1" t="s">
        <v>50</v>
      </c>
      <c r="EE112" s="1" t="s">
        <v>1088</v>
      </c>
      <c r="EF112" s="1" t="s">
        <v>53</v>
      </c>
      <c r="EG112" s="1" t="s">
        <v>1088</v>
      </c>
      <c r="EH112" s="1" t="s">
        <v>51</v>
      </c>
      <c r="EJ112" s="1" t="s">
        <v>55</v>
      </c>
      <c r="EL112" s="1" t="s">
        <v>57</v>
      </c>
    </row>
    <row r="113" spans="1:142" x14ac:dyDescent="0.2">
      <c r="A113" s="101">
        <v>72540082001</v>
      </c>
      <c r="B113" s="101">
        <v>72540082</v>
      </c>
      <c r="D113" s="1" t="s">
        <v>80</v>
      </c>
      <c r="E113" s="1" t="s">
        <v>44</v>
      </c>
      <c r="F113" s="1" t="s">
        <v>561</v>
      </c>
      <c r="U113" s="1">
        <v>18189357.3140973</v>
      </c>
      <c r="AI113" s="1" t="s">
        <v>551</v>
      </c>
      <c r="AJ113" s="1" t="s">
        <v>44</v>
      </c>
      <c r="AK113" s="1" t="s">
        <v>581</v>
      </c>
      <c r="AL113" s="1" t="s">
        <v>754</v>
      </c>
      <c r="AR113" s="1" t="s">
        <v>66</v>
      </c>
      <c r="AS113" s="1" t="s">
        <v>71</v>
      </c>
      <c r="AT113" s="1">
        <v>2.4220000000000002</v>
      </c>
      <c r="AV113" s="1" t="s">
        <v>665</v>
      </c>
      <c r="AW113" s="1" t="s">
        <v>1062</v>
      </c>
      <c r="AX113" s="1">
        <v>11270000</v>
      </c>
      <c r="BA113" s="1" t="s">
        <v>69</v>
      </c>
      <c r="BB113" s="1" t="s">
        <v>560</v>
      </c>
      <c r="BD113" s="1" t="s">
        <v>555</v>
      </c>
      <c r="BG113" s="1" t="s">
        <v>558</v>
      </c>
      <c r="BH113" s="1">
        <v>16</v>
      </c>
      <c r="BI113" s="1" t="s">
        <v>70</v>
      </c>
      <c r="BJ113" s="1" t="s">
        <v>67</v>
      </c>
      <c r="BK113" s="1" t="s">
        <v>76</v>
      </c>
      <c r="BM113" s="1" t="s">
        <v>665</v>
      </c>
      <c r="BN113" s="1" t="s">
        <v>1062</v>
      </c>
      <c r="BP113" s="1">
        <v>11270000</v>
      </c>
      <c r="BT113" s="1" t="s">
        <v>557</v>
      </c>
      <c r="BV113" s="1" t="s">
        <v>555</v>
      </c>
      <c r="BY113" s="1" t="s">
        <v>558</v>
      </c>
      <c r="BZ113" s="1">
        <v>16</v>
      </c>
      <c r="CJ113" s="1">
        <v>2.1476999999999999</v>
      </c>
      <c r="CK113" s="1">
        <v>2.1452</v>
      </c>
      <c r="CL113" s="1">
        <v>2.1501999999999999</v>
      </c>
      <c r="CR113" s="1">
        <v>-567160.16295803001</v>
      </c>
      <c r="CU113" s="1">
        <v>-5.0324999999999998</v>
      </c>
      <c r="CZ113" s="1">
        <v>-567160.16</v>
      </c>
      <c r="DA113" s="1">
        <v>-567160.16</v>
      </c>
      <c r="DB113" s="1">
        <v>-564252.18999999994</v>
      </c>
      <c r="DC113" s="1">
        <v>-2907.98</v>
      </c>
      <c r="DD113" s="2">
        <v>1085.26</v>
      </c>
      <c r="DG113" s="1">
        <v>-748.65</v>
      </c>
      <c r="DL113" s="1">
        <v>-10859313.83</v>
      </c>
      <c r="DM113" s="1">
        <v>-10620837.300000001</v>
      </c>
      <c r="DN113" s="1">
        <v>-238476.54</v>
      </c>
      <c r="DO113" s="1">
        <v>2.4220000000000002</v>
      </c>
      <c r="DP113" s="1" t="s">
        <v>1062</v>
      </c>
      <c r="DQ113" s="1" t="s">
        <v>1062</v>
      </c>
      <c r="DS113" s="1">
        <v>10292153.67</v>
      </c>
      <c r="DT113" s="1">
        <v>10056585.109999999</v>
      </c>
      <c r="DU113" s="1">
        <v>235568.56</v>
      </c>
      <c r="DV113" s="1">
        <v>2.1476999999999999</v>
      </c>
      <c r="DW113" s="1" t="s">
        <v>1062</v>
      </c>
      <c r="DX113" s="1" t="s">
        <v>1062</v>
      </c>
      <c r="DZ113" s="1">
        <v>-578814</v>
      </c>
      <c r="EA113" s="1">
        <v>-555506</v>
      </c>
      <c r="ED113" s="1" t="s">
        <v>50</v>
      </c>
      <c r="EE113" s="1" t="s">
        <v>1072</v>
      </c>
      <c r="EF113" s="1" t="s">
        <v>53</v>
      </c>
      <c r="EG113" s="1" t="s">
        <v>1072</v>
      </c>
      <c r="EH113" s="1" t="s">
        <v>51</v>
      </c>
      <c r="EJ113" s="1" t="s">
        <v>55</v>
      </c>
      <c r="EL113" s="1" t="s">
        <v>57</v>
      </c>
    </row>
    <row r="114" spans="1:142" x14ac:dyDescent="0.2">
      <c r="A114" s="101">
        <v>72475460001</v>
      </c>
      <c r="B114" s="101">
        <v>72475460</v>
      </c>
      <c r="D114" s="1" t="s">
        <v>220</v>
      </c>
      <c r="E114" s="1" t="s">
        <v>44</v>
      </c>
      <c r="F114" s="1" t="s">
        <v>561</v>
      </c>
      <c r="U114" s="1">
        <v>25893602.877668701</v>
      </c>
      <c r="AI114" s="1" t="s">
        <v>551</v>
      </c>
      <c r="AJ114" s="1" t="s">
        <v>44</v>
      </c>
      <c r="AK114" s="1" t="s">
        <v>581</v>
      </c>
      <c r="AL114" s="1" t="s">
        <v>753</v>
      </c>
      <c r="AR114" s="1" t="s">
        <v>66</v>
      </c>
      <c r="AS114" s="1" t="s">
        <v>67</v>
      </c>
      <c r="AT114" s="1">
        <v>2.4039999999999999</v>
      </c>
      <c r="AV114" s="1" t="s">
        <v>665</v>
      </c>
      <c r="AW114" s="1" t="s">
        <v>1062</v>
      </c>
      <c r="AX114" s="1">
        <v>16100000</v>
      </c>
      <c r="BA114" s="1" t="s">
        <v>69</v>
      </c>
      <c r="BB114" s="1" t="s">
        <v>560</v>
      </c>
      <c r="BD114" s="1" t="s">
        <v>555</v>
      </c>
      <c r="BG114" s="1" t="s">
        <v>558</v>
      </c>
      <c r="BH114" s="1">
        <v>16</v>
      </c>
      <c r="BI114" s="1" t="s">
        <v>70</v>
      </c>
      <c r="BJ114" s="1" t="s">
        <v>71</v>
      </c>
      <c r="BK114" s="1" t="s">
        <v>76</v>
      </c>
      <c r="BM114" s="1" t="s">
        <v>665</v>
      </c>
      <c r="BN114" s="1" t="s">
        <v>1062</v>
      </c>
      <c r="BP114" s="1">
        <v>16100000</v>
      </c>
      <c r="BT114" s="1" t="s">
        <v>557</v>
      </c>
      <c r="BV114" s="1" t="s">
        <v>555</v>
      </c>
      <c r="BY114" s="1" t="s">
        <v>558</v>
      </c>
      <c r="BZ114" s="1">
        <v>16</v>
      </c>
      <c r="CJ114" s="1">
        <v>2.1476999999999999</v>
      </c>
      <c r="CK114" s="1">
        <v>2.1452</v>
      </c>
      <c r="CL114" s="1">
        <v>2.1501999999999999</v>
      </c>
      <c r="CR114" s="1">
        <v>755785.07169026497</v>
      </c>
      <c r="CU114" s="1">
        <v>4.6943000000000001</v>
      </c>
      <c r="CZ114" s="1">
        <v>755785.07</v>
      </c>
      <c r="DA114" s="1">
        <v>755785.07</v>
      </c>
      <c r="DB114" s="1">
        <v>754158.97</v>
      </c>
      <c r="DC114" s="1">
        <v>1626.1</v>
      </c>
      <c r="DD114" s="2">
        <v>-1446.19</v>
      </c>
      <c r="DG114" s="1">
        <v>1065.74</v>
      </c>
      <c r="DL114" s="1">
        <v>15458861.74</v>
      </c>
      <c r="DM114" s="1">
        <v>15120709.130000001</v>
      </c>
      <c r="DN114" s="1">
        <v>338152.61</v>
      </c>
      <c r="DO114" s="1">
        <v>2.4039999999999999</v>
      </c>
      <c r="DP114" s="1" t="s">
        <v>1062</v>
      </c>
      <c r="DQ114" s="1" t="s">
        <v>1062</v>
      </c>
      <c r="DS114" s="1">
        <v>-14703076.67</v>
      </c>
      <c r="DT114" s="1">
        <v>-14366550.16</v>
      </c>
      <c r="DU114" s="1">
        <v>-336526.51</v>
      </c>
      <c r="DV114" s="1">
        <v>2.1476999999999999</v>
      </c>
      <c r="DW114" s="1" t="s">
        <v>1062</v>
      </c>
      <c r="DX114" s="1" t="s">
        <v>1062</v>
      </c>
      <c r="DZ114" s="1">
        <v>771315</v>
      </c>
      <c r="EA114" s="1">
        <v>740255</v>
      </c>
      <c r="ED114" s="1" t="s">
        <v>50</v>
      </c>
      <c r="EE114" s="1" t="s">
        <v>1063</v>
      </c>
      <c r="EF114" s="1" t="s">
        <v>53</v>
      </c>
      <c r="EG114" s="1" t="s">
        <v>1063</v>
      </c>
      <c r="EH114" s="1" t="s">
        <v>51</v>
      </c>
      <c r="EJ114" s="1" t="s">
        <v>55</v>
      </c>
      <c r="EL114" s="1" t="s">
        <v>57</v>
      </c>
    </row>
    <row r="115" spans="1:142" x14ac:dyDescent="0.2">
      <c r="A115" s="101">
        <v>72542565001</v>
      </c>
      <c r="B115" s="101">
        <v>72542565</v>
      </c>
      <c r="D115" s="1" t="s">
        <v>334</v>
      </c>
      <c r="E115" s="1" t="s">
        <v>44</v>
      </c>
      <c r="F115" s="1" t="s">
        <v>561</v>
      </c>
      <c r="U115" s="1">
        <v>8223174.7884365004</v>
      </c>
      <c r="AI115" s="1" t="s">
        <v>551</v>
      </c>
      <c r="AJ115" s="1" t="s">
        <v>44</v>
      </c>
      <c r="AK115" s="1" t="s">
        <v>581</v>
      </c>
      <c r="AL115" s="1" t="s">
        <v>754</v>
      </c>
      <c r="AR115" s="1" t="s">
        <v>66</v>
      </c>
      <c r="AS115" s="1" t="s">
        <v>71</v>
      </c>
      <c r="AT115" s="1">
        <v>2.4169999999999998</v>
      </c>
      <c r="AV115" s="1" t="s">
        <v>665</v>
      </c>
      <c r="AW115" s="1" t="s">
        <v>1062</v>
      </c>
      <c r="AX115" s="1">
        <v>5100000</v>
      </c>
      <c r="BA115" s="1" t="s">
        <v>69</v>
      </c>
      <c r="BB115" s="1" t="s">
        <v>560</v>
      </c>
      <c r="BD115" s="1" t="s">
        <v>555</v>
      </c>
      <c r="BG115" s="1" t="s">
        <v>558</v>
      </c>
      <c r="BH115" s="1">
        <v>16</v>
      </c>
      <c r="BI115" s="1" t="s">
        <v>70</v>
      </c>
      <c r="BJ115" s="1" t="s">
        <v>67</v>
      </c>
      <c r="BK115" s="1" t="s">
        <v>76</v>
      </c>
      <c r="BM115" s="1" t="s">
        <v>665</v>
      </c>
      <c r="BN115" s="1" t="s">
        <v>1062</v>
      </c>
      <c r="BP115" s="1">
        <v>5100000</v>
      </c>
      <c r="BT115" s="1" t="s">
        <v>557</v>
      </c>
      <c r="BV115" s="1" t="s">
        <v>555</v>
      </c>
      <c r="BY115" s="1" t="s">
        <v>558</v>
      </c>
      <c r="BZ115" s="1">
        <v>16</v>
      </c>
      <c r="CJ115" s="1">
        <v>2.1476999999999999</v>
      </c>
      <c r="CK115" s="1">
        <v>2.1452</v>
      </c>
      <c r="CL115" s="1">
        <v>2.1501999999999999</v>
      </c>
      <c r="CR115" s="1">
        <v>-251859.952532525</v>
      </c>
      <c r="CU115" s="1">
        <v>-4.9383999999999997</v>
      </c>
      <c r="CZ115" s="1">
        <v>-251859.95</v>
      </c>
      <c r="DA115" s="1">
        <v>-251859.95</v>
      </c>
      <c r="DB115" s="1">
        <v>-250766.46</v>
      </c>
      <c r="DC115" s="1">
        <v>-1093.49</v>
      </c>
      <c r="DD115" s="2">
        <v>481.93</v>
      </c>
      <c r="DG115" s="1">
        <v>-338.45</v>
      </c>
      <c r="DL115" s="1">
        <v>-4909356.29</v>
      </c>
      <c r="DM115" s="1">
        <v>-4801661.2300000004</v>
      </c>
      <c r="DN115" s="1">
        <v>-107695.05</v>
      </c>
      <c r="DO115" s="1">
        <v>2.4169999999999998</v>
      </c>
      <c r="DP115" s="1" t="s">
        <v>1062</v>
      </c>
      <c r="DQ115" s="1" t="s">
        <v>1062</v>
      </c>
      <c r="DS115" s="1">
        <v>4657496.34</v>
      </c>
      <c r="DT115" s="1">
        <v>4550894.7699999996</v>
      </c>
      <c r="DU115" s="1">
        <v>106601.57</v>
      </c>
      <c r="DV115" s="1">
        <v>2.1476999999999999</v>
      </c>
      <c r="DW115" s="1" t="s">
        <v>1062</v>
      </c>
      <c r="DX115" s="1" t="s">
        <v>1062</v>
      </c>
      <c r="DZ115" s="1">
        <v>-257035</v>
      </c>
      <c r="EA115" s="1">
        <v>-246685</v>
      </c>
      <c r="ED115" s="1" t="s">
        <v>50</v>
      </c>
      <c r="EE115" s="1" t="s">
        <v>1073</v>
      </c>
      <c r="EF115" s="1" t="s">
        <v>53</v>
      </c>
      <c r="EG115" s="1" t="s">
        <v>1073</v>
      </c>
      <c r="EH115" s="1" t="s">
        <v>51</v>
      </c>
      <c r="EJ115" s="1" t="s">
        <v>55</v>
      </c>
      <c r="EL115" s="1" t="s">
        <v>57</v>
      </c>
    </row>
    <row r="116" spans="1:142" x14ac:dyDescent="0.2">
      <c r="A116" s="101">
        <v>72542950001</v>
      </c>
      <c r="B116" s="101">
        <v>72542950</v>
      </c>
      <c r="D116" s="1" t="s">
        <v>80</v>
      </c>
      <c r="E116" s="1" t="s">
        <v>44</v>
      </c>
      <c r="F116" s="1" t="s">
        <v>561</v>
      </c>
      <c r="U116" s="1">
        <v>15590877.697797701</v>
      </c>
      <c r="AI116" s="1" t="s">
        <v>551</v>
      </c>
      <c r="AJ116" s="1" t="s">
        <v>44</v>
      </c>
      <c r="AK116" s="1" t="s">
        <v>581</v>
      </c>
      <c r="AL116" s="1" t="s">
        <v>754</v>
      </c>
      <c r="AR116" s="1" t="s">
        <v>66</v>
      </c>
      <c r="AS116" s="1" t="s">
        <v>71</v>
      </c>
      <c r="AT116" s="1">
        <v>2.4220000000000002</v>
      </c>
      <c r="AV116" s="1" t="s">
        <v>665</v>
      </c>
      <c r="AW116" s="1" t="s">
        <v>1062</v>
      </c>
      <c r="AX116" s="1">
        <v>9660000</v>
      </c>
      <c r="BA116" s="1" t="s">
        <v>69</v>
      </c>
      <c r="BB116" s="1" t="s">
        <v>560</v>
      </c>
      <c r="BD116" s="1" t="s">
        <v>555</v>
      </c>
      <c r="BG116" s="1" t="s">
        <v>558</v>
      </c>
      <c r="BH116" s="1">
        <v>16</v>
      </c>
      <c r="BI116" s="1" t="s">
        <v>70</v>
      </c>
      <c r="BJ116" s="1" t="s">
        <v>67</v>
      </c>
      <c r="BK116" s="1" t="s">
        <v>76</v>
      </c>
      <c r="BM116" s="1" t="s">
        <v>665</v>
      </c>
      <c r="BN116" s="1" t="s">
        <v>1062</v>
      </c>
      <c r="BP116" s="1">
        <v>9660000</v>
      </c>
      <c r="BT116" s="1" t="s">
        <v>557</v>
      </c>
      <c r="BV116" s="1" t="s">
        <v>555</v>
      </c>
      <c r="BY116" s="1" t="s">
        <v>558</v>
      </c>
      <c r="BZ116" s="1">
        <v>16</v>
      </c>
      <c r="CJ116" s="1">
        <v>2.1476999999999999</v>
      </c>
      <c r="CK116" s="1">
        <v>2.1452</v>
      </c>
      <c r="CL116" s="1">
        <v>2.1501999999999999</v>
      </c>
      <c r="CR116" s="1">
        <v>-486137.28253545403</v>
      </c>
      <c r="CU116" s="1">
        <v>-5.0324999999999998</v>
      </c>
      <c r="CZ116" s="1">
        <v>-486137.28</v>
      </c>
      <c r="DA116" s="1">
        <v>-486137.28</v>
      </c>
      <c r="DB116" s="1">
        <v>-483644.73</v>
      </c>
      <c r="DC116" s="1">
        <v>-2492.5500000000002</v>
      </c>
      <c r="DD116" s="2">
        <v>930.22</v>
      </c>
      <c r="DG116" s="1">
        <v>-641.70000000000005</v>
      </c>
      <c r="DL116" s="1">
        <v>-9307983.2799999993</v>
      </c>
      <c r="DM116" s="1">
        <v>-9103574.8200000003</v>
      </c>
      <c r="DN116" s="1">
        <v>-204408.46</v>
      </c>
      <c r="DO116" s="1">
        <v>2.4220000000000002</v>
      </c>
      <c r="DP116" s="1" t="s">
        <v>1062</v>
      </c>
      <c r="DQ116" s="1" t="s">
        <v>1062</v>
      </c>
      <c r="DS116" s="1">
        <v>8821846</v>
      </c>
      <c r="DT116" s="1">
        <v>8619930.0899999999</v>
      </c>
      <c r="DU116" s="1">
        <v>201915.91</v>
      </c>
      <c r="DV116" s="1">
        <v>2.1476999999999999</v>
      </c>
      <c r="DW116" s="1" t="s">
        <v>1062</v>
      </c>
      <c r="DX116" s="1" t="s">
        <v>1062</v>
      </c>
      <c r="DZ116" s="1">
        <v>-496126</v>
      </c>
      <c r="EA116" s="1">
        <v>-476148</v>
      </c>
      <c r="ED116" s="1" t="s">
        <v>50</v>
      </c>
      <c r="EE116" s="1" t="s">
        <v>1075</v>
      </c>
      <c r="EF116" s="1" t="s">
        <v>53</v>
      </c>
      <c r="EG116" s="1" t="s">
        <v>1075</v>
      </c>
      <c r="EH116" s="1" t="s">
        <v>51</v>
      </c>
      <c r="EJ116" s="1" t="s">
        <v>55</v>
      </c>
      <c r="EL116" s="1" t="s">
        <v>57</v>
      </c>
    </row>
    <row r="117" spans="1:142" x14ac:dyDescent="0.2">
      <c r="A117" s="101">
        <v>72543034001</v>
      </c>
      <c r="B117" s="101">
        <v>72543034</v>
      </c>
      <c r="D117" s="1" t="s">
        <v>334</v>
      </c>
      <c r="E117" s="1" t="s">
        <v>44</v>
      </c>
      <c r="F117" s="1" t="s">
        <v>561</v>
      </c>
      <c r="U117" s="1">
        <v>7046132.1226406898</v>
      </c>
      <c r="AI117" s="1" t="s">
        <v>551</v>
      </c>
      <c r="AJ117" s="1" t="s">
        <v>44</v>
      </c>
      <c r="AK117" s="1" t="s">
        <v>581</v>
      </c>
      <c r="AL117" s="1" t="s">
        <v>754</v>
      </c>
      <c r="AR117" s="1" t="s">
        <v>66</v>
      </c>
      <c r="AS117" s="1" t="s">
        <v>71</v>
      </c>
      <c r="AT117" s="1">
        <v>2.4169999999999998</v>
      </c>
      <c r="AV117" s="1" t="s">
        <v>665</v>
      </c>
      <c r="AW117" s="1" t="s">
        <v>1062</v>
      </c>
      <c r="AX117" s="1">
        <v>4370000</v>
      </c>
      <c r="BA117" s="1" t="s">
        <v>69</v>
      </c>
      <c r="BB117" s="1" t="s">
        <v>560</v>
      </c>
      <c r="BD117" s="1" t="s">
        <v>555</v>
      </c>
      <c r="BG117" s="1" t="s">
        <v>558</v>
      </c>
      <c r="BH117" s="1">
        <v>16</v>
      </c>
      <c r="BI117" s="1" t="s">
        <v>70</v>
      </c>
      <c r="BJ117" s="1" t="s">
        <v>67</v>
      </c>
      <c r="BK117" s="1" t="s">
        <v>76</v>
      </c>
      <c r="BM117" s="1" t="s">
        <v>665</v>
      </c>
      <c r="BN117" s="1" t="s">
        <v>1062</v>
      </c>
      <c r="BP117" s="1">
        <v>4370000</v>
      </c>
      <c r="BT117" s="1" t="s">
        <v>557</v>
      </c>
      <c r="BV117" s="1" t="s">
        <v>555</v>
      </c>
      <c r="BY117" s="1" t="s">
        <v>558</v>
      </c>
      <c r="BZ117" s="1">
        <v>16</v>
      </c>
      <c r="CJ117" s="1">
        <v>2.1476999999999999</v>
      </c>
      <c r="CK117" s="1">
        <v>2.1452</v>
      </c>
      <c r="CL117" s="1">
        <v>2.1501999999999999</v>
      </c>
      <c r="CR117" s="1">
        <v>-215809.41030728101</v>
      </c>
      <c r="CU117" s="1">
        <v>-4.9383999999999997</v>
      </c>
      <c r="CZ117" s="1">
        <v>-215809.41</v>
      </c>
      <c r="DA117" s="1">
        <v>-215809.41</v>
      </c>
      <c r="DB117" s="1">
        <v>-214872.44</v>
      </c>
      <c r="DC117" s="1">
        <v>-936.97</v>
      </c>
      <c r="DD117" s="2">
        <v>412.95</v>
      </c>
      <c r="DG117" s="1">
        <v>-290.01</v>
      </c>
      <c r="DL117" s="1">
        <v>-4206644.51</v>
      </c>
      <c r="DM117" s="1">
        <v>-4114364.63</v>
      </c>
      <c r="DN117" s="1">
        <v>-92279.88</v>
      </c>
      <c r="DO117" s="1">
        <v>2.4169999999999998</v>
      </c>
      <c r="DP117" s="1" t="s">
        <v>1062</v>
      </c>
      <c r="DQ117" s="1" t="s">
        <v>1062</v>
      </c>
      <c r="DS117" s="1">
        <v>3990835.1</v>
      </c>
      <c r="DT117" s="1">
        <v>3899492.19</v>
      </c>
      <c r="DU117" s="1">
        <v>91342.91</v>
      </c>
      <c r="DV117" s="1">
        <v>2.1476999999999999</v>
      </c>
      <c r="DW117" s="1" t="s">
        <v>1062</v>
      </c>
      <c r="DX117" s="1" t="s">
        <v>1062</v>
      </c>
      <c r="DZ117" s="1">
        <v>-220244</v>
      </c>
      <c r="EA117" s="1">
        <v>-211375</v>
      </c>
      <c r="ED117" s="1" t="s">
        <v>50</v>
      </c>
      <c r="EE117" s="1" t="s">
        <v>1076</v>
      </c>
      <c r="EF117" s="1" t="s">
        <v>53</v>
      </c>
      <c r="EG117" s="1" t="s">
        <v>1076</v>
      </c>
      <c r="EH117" s="1" t="s">
        <v>51</v>
      </c>
      <c r="EJ117" s="1" t="s">
        <v>55</v>
      </c>
      <c r="EL117" s="1" t="s">
        <v>57</v>
      </c>
    </row>
    <row r="118" spans="1:142" x14ac:dyDescent="0.2">
      <c r="A118" s="101">
        <v>72635058001</v>
      </c>
      <c r="B118" s="101">
        <v>72635058</v>
      </c>
      <c r="D118" s="1" t="s">
        <v>824</v>
      </c>
      <c r="E118" s="1" t="s">
        <v>44</v>
      </c>
      <c r="F118" s="1" t="s">
        <v>583</v>
      </c>
      <c r="AI118" s="1" t="s">
        <v>551</v>
      </c>
      <c r="AJ118" s="1" t="s">
        <v>44</v>
      </c>
      <c r="AK118" s="1" t="s">
        <v>584</v>
      </c>
      <c r="AL118" s="1" t="s">
        <v>755</v>
      </c>
      <c r="AR118" s="1" t="s">
        <v>79</v>
      </c>
      <c r="AS118" s="1" t="s">
        <v>71</v>
      </c>
      <c r="AT118" s="1">
        <v>3.2747000000000002</v>
      </c>
      <c r="AV118" s="1" t="s">
        <v>839</v>
      </c>
      <c r="AW118" s="1" t="s">
        <v>928</v>
      </c>
      <c r="AX118" s="1">
        <v>2176085</v>
      </c>
      <c r="BA118" s="1" t="s">
        <v>69</v>
      </c>
      <c r="BB118" s="1" t="s">
        <v>574</v>
      </c>
      <c r="BC118" s="1" t="s">
        <v>456</v>
      </c>
      <c r="BD118" s="1" t="s">
        <v>555</v>
      </c>
      <c r="BG118" s="1" t="s">
        <v>558</v>
      </c>
      <c r="BH118" s="1">
        <v>15</v>
      </c>
      <c r="BI118" s="1" t="s">
        <v>431</v>
      </c>
      <c r="BJ118" s="1" t="s">
        <v>67</v>
      </c>
      <c r="BK118" s="1" t="s">
        <v>440</v>
      </c>
      <c r="BL118" s="1">
        <v>0</v>
      </c>
      <c r="BM118" s="1" t="s">
        <v>839</v>
      </c>
      <c r="BN118" s="1" t="s">
        <v>928</v>
      </c>
      <c r="BP118" s="1">
        <v>2176085</v>
      </c>
      <c r="BR118" s="1" t="s">
        <v>69</v>
      </c>
      <c r="BS118" s="1" t="s">
        <v>69</v>
      </c>
      <c r="BT118" s="1" t="s">
        <v>574</v>
      </c>
      <c r="BU118" s="1" t="s">
        <v>456</v>
      </c>
      <c r="BV118" s="1" t="s">
        <v>555</v>
      </c>
      <c r="BY118" s="1" t="s">
        <v>558</v>
      </c>
      <c r="BZ118" s="1">
        <v>15</v>
      </c>
      <c r="CJ118" s="1">
        <v>2.0486800000000001</v>
      </c>
      <c r="CK118" s="1">
        <v>2.0461800000000001</v>
      </c>
      <c r="CL118" s="1">
        <v>2.05118</v>
      </c>
      <c r="CR118" s="1">
        <v>-23545.533266773899</v>
      </c>
      <c r="CS118" s="1">
        <v>-23599.79</v>
      </c>
      <c r="CT118" s="1">
        <v>-23491.279999999999</v>
      </c>
      <c r="CU118" s="1">
        <v>-1.0820000000000001</v>
      </c>
      <c r="CZ118" s="1">
        <v>-23545.53</v>
      </c>
      <c r="DA118" s="1">
        <v>-23545.53</v>
      </c>
      <c r="DB118" s="1">
        <v>-20851.28</v>
      </c>
      <c r="DC118" s="1">
        <v>-2694.25</v>
      </c>
      <c r="DD118" s="2">
        <v>174.69</v>
      </c>
      <c r="DG118" s="1">
        <v>34.17</v>
      </c>
      <c r="DL118" s="1">
        <v>-2211779.8199999998</v>
      </c>
      <c r="DM118" s="1">
        <v>-2196933.94</v>
      </c>
      <c r="DN118" s="1">
        <v>-14845.89</v>
      </c>
      <c r="DO118" s="1">
        <v>3.2747000000000002</v>
      </c>
      <c r="DP118" s="1" t="s">
        <v>1077</v>
      </c>
      <c r="DQ118" s="1" t="s">
        <v>1077</v>
      </c>
      <c r="DS118" s="1">
        <v>2188234.29</v>
      </c>
      <c r="DT118" s="1">
        <v>2176082.66</v>
      </c>
      <c r="DU118" s="1">
        <v>12151.63</v>
      </c>
      <c r="DV118" s="1">
        <v>2.1898200000000001</v>
      </c>
      <c r="DW118" s="1" t="s">
        <v>1077</v>
      </c>
      <c r="DX118" s="1" t="s">
        <v>1077</v>
      </c>
      <c r="DY118" s="1" t="s">
        <v>923</v>
      </c>
      <c r="DZ118" s="1">
        <v>-25335</v>
      </c>
      <c r="EA118" s="1">
        <v>-21756</v>
      </c>
      <c r="ED118" s="1" t="s">
        <v>50</v>
      </c>
      <c r="EE118" s="1" t="s">
        <v>1078</v>
      </c>
      <c r="EF118" s="1" t="s">
        <v>53</v>
      </c>
      <c r="EG118" s="1" t="s">
        <v>1078</v>
      </c>
      <c r="EH118" s="1" t="s">
        <v>51</v>
      </c>
      <c r="EJ118" s="1" t="s">
        <v>55</v>
      </c>
      <c r="EL118" s="1" t="s">
        <v>57</v>
      </c>
    </row>
    <row r="119" spans="1:142" x14ac:dyDescent="0.2">
      <c r="A119" s="101">
        <v>72635072001</v>
      </c>
      <c r="B119" s="101">
        <v>72635072</v>
      </c>
      <c r="D119" s="1" t="s">
        <v>43</v>
      </c>
      <c r="E119" s="1" t="s">
        <v>44</v>
      </c>
      <c r="F119" s="1" t="s">
        <v>583</v>
      </c>
      <c r="AI119" s="1" t="s">
        <v>551</v>
      </c>
      <c r="AJ119" s="1" t="s">
        <v>44</v>
      </c>
      <c r="AK119" s="1" t="s">
        <v>584</v>
      </c>
      <c r="AL119" s="1" t="s">
        <v>755</v>
      </c>
      <c r="AR119" s="1" t="s">
        <v>79</v>
      </c>
      <c r="AS119" s="1" t="s">
        <v>71</v>
      </c>
      <c r="AT119" s="1">
        <v>3.3161999999999998</v>
      </c>
      <c r="AV119" s="1" t="s">
        <v>839</v>
      </c>
      <c r="AW119" s="1" t="s">
        <v>928</v>
      </c>
      <c r="AX119" s="1">
        <v>1040507</v>
      </c>
      <c r="BA119" s="1" t="s">
        <v>69</v>
      </c>
      <c r="BB119" s="1" t="s">
        <v>574</v>
      </c>
      <c r="BC119" s="1" t="s">
        <v>456</v>
      </c>
      <c r="BD119" s="1" t="s">
        <v>555</v>
      </c>
      <c r="BG119" s="1" t="s">
        <v>558</v>
      </c>
      <c r="BH119" s="1">
        <v>15</v>
      </c>
      <c r="BI119" s="1" t="s">
        <v>431</v>
      </c>
      <c r="BJ119" s="1" t="s">
        <v>67</v>
      </c>
      <c r="BK119" s="1" t="s">
        <v>440</v>
      </c>
      <c r="BL119" s="1">
        <v>0</v>
      </c>
      <c r="BM119" s="1" t="s">
        <v>839</v>
      </c>
      <c r="BN119" s="1" t="s">
        <v>928</v>
      </c>
      <c r="BP119" s="1">
        <v>1040507</v>
      </c>
      <c r="BR119" s="1" t="s">
        <v>69</v>
      </c>
      <c r="BS119" s="1" t="s">
        <v>69</v>
      </c>
      <c r="BT119" s="1" t="s">
        <v>574</v>
      </c>
      <c r="BU119" s="1" t="s">
        <v>456</v>
      </c>
      <c r="BV119" s="1" t="s">
        <v>555</v>
      </c>
      <c r="BY119" s="1" t="s">
        <v>558</v>
      </c>
      <c r="BZ119" s="1">
        <v>15</v>
      </c>
      <c r="CJ119" s="1">
        <v>2.0486800000000001</v>
      </c>
      <c r="CK119" s="1">
        <v>2.0461800000000001</v>
      </c>
      <c r="CL119" s="1">
        <v>2.05118</v>
      </c>
      <c r="CR119" s="1">
        <v>-11689.094446571</v>
      </c>
      <c r="CS119" s="1">
        <v>-11715.04</v>
      </c>
      <c r="CT119" s="1">
        <v>-11663.15</v>
      </c>
      <c r="CU119" s="1">
        <v>-1.1234</v>
      </c>
      <c r="CZ119" s="1">
        <v>-11689.09</v>
      </c>
      <c r="DA119" s="1">
        <v>-11689.09</v>
      </c>
      <c r="DB119" s="1">
        <v>-10310.86</v>
      </c>
      <c r="DC119" s="1">
        <v>-1378.23</v>
      </c>
      <c r="DD119" s="2">
        <v>83.57</v>
      </c>
      <c r="DG119" s="1">
        <v>16.309999999999999</v>
      </c>
      <c r="DL119" s="1">
        <v>-1058005.3400000001</v>
      </c>
      <c r="DM119" s="1">
        <v>-1050816.74</v>
      </c>
      <c r="DN119" s="1">
        <v>-7188.6</v>
      </c>
      <c r="DO119" s="1">
        <v>3.3161999999999998</v>
      </c>
      <c r="DP119" s="1" t="s">
        <v>1077</v>
      </c>
      <c r="DQ119" s="1" t="s">
        <v>1077</v>
      </c>
      <c r="DS119" s="1">
        <v>1046316.25</v>
      </c>
      <c r="DT119" s="1">
        <v>1040505.88</v>
      </c>
      <c r="DU119" s="1">
        <v>5810.37</v>
      </c>
      <c r="DV119" s="1">
        <v>2.1898200000000001</v>
      </c>
      <c r="DW119" s="1" t="s">
        <v>1077</v>
      </c>
      <c r="DX119" s="1" t="s">
        <v>1077</v>
      </c>
      <c r="DY119" s="1" t="s">
        <v>923</v>
      </c>
      <c r="DZ119" s="1">
        <v>-12545</v>
      </c>
      <c r="EA119" s="1">
        <v>-10833</v>
      </c>
      <c r="ED119" s="1" t="s">
        <v>50</v>
      </c>
      <c r="EE119" s="1" t="s">
        <v>1083</v>
      </c>
      <c r="EF119" s="1" t="s">
        <v>53</v>
      </c>
      <c r="EG119" s="1" t="s">
        <v>1083</v>
      </c>
      <c r="EH119" s="1" t="s">
        <v>51</v>
      </c>
      <c r="EJ119" s="1" t="s">
        <v>55</v>
      </c>
      <c r="EL119" s="1" t="s">
        <v>57</v>
      </c>
    </row>
    <row r="120" spans="1:142" x14ac:dyDescent="0.2">
      <c r="A120" s="101">
        <v>72782205001</v>
      </c>
      <c r="B120" s="101">
        <v>72782205</v>
      </c>
      <c r="D120" s="1" t="s">
        <v>63</v>
      </c>
      <c r="E120" s="1" t="s">
        <v>44</v>
      </c>
      <c r="F120" s="1" t="s">
        <v>583</v>
      </c>
      <c r="AI120" s="1" t="s">
        <v>551</v>
      </c>
      <c r="AJ120" s="1" t="s">
        <v>44</v>
      </c>
      <c r="AK120" s="1" t="s">
        <v>584</v>
      </c>
      <c r="AL120" s="1" t="s">
        <v>839</v>
      </c>
      <c r="AR120" s="1" t="s">
        <v>79</v>
      </c>
      <c r="AS120" s="1" t="s">
        <v>71</v>
      </c>
      <c r="AT120" s="1">
        <v>3.4611999999999998</v>
      </c>
      <c r="AV120" s="1" t="s">
        <v>760</v>
      </c>
      <c r="AW120" s="1" t="s">
        <v>759</v>
      </c>
      <c r="AX120" s="1">
        <v>38492000</v>
      </c>
      <c r="BA120" s="1" t="s">
        <v>69</v>
      </c>
      <c r="BB120" s="1" t="s">
        <v>574</v>
      </c>
      <c r="BC120" s="1" t="s">
        <v>456</v>
      </c>
      <c r="BD120" s="1" t="s">
        <v>555</v>
      </c>
      <c r="BG120" s="1" t="s">
        <v>558</v>
      </c>
      <c r="BH120" s="1">
        <v>29</v>
      </c>
      <c r="BI120" s="1" t="s">
        <v>431</v>
      </c>
      <c r="BJ120" s="1" t="s">
        <v>67</v>
      </c>
      <c r="BK120" s="1" t="s">
        <v>440</v>
      </c>
      <c r="BL120" s="1">
        <v>0</v>
      </c>
      <c r="BM120" s="1" t="s">
        <v>760</v>
      </c>
      <c r="BN120" s="1" t="s">
        <v>759</v>
      </c>
      <c r="BP120" s="1">
        <v>38492000</v>
      </c>
      <c r="BR120" s="1" t="s">
        <v>69</v>
      </c>
      <c r="BS120" s="1" t="s">
        <v>1023</v>
      </c>
      <c r="BT120" s="1" t="s">
        <v>574</v>
      </c>
      <c r="BU120" s="1" t="s">
        <v>456</v>
      </c>
      <c r="BV120" s="1" t="s">
        <v>555</v>
      </c>
      <c r="BY120" s="1" t="s">
        <v>558</v>
      </c>
      <c r="BZ120" s="1">
        <v>29</v>
      </c>
      <c r="CJ120" s="1">
        <v>2.30735</v>
      </c>
      <c r="CK120" s="1">
        <v>2.3048500000000001</v>
      </c>
      <c r="CL120" s="1">
        <v>2.30985</v>
      </c>
      <c r="CR120" s="1">
        <v>-125227.07285296899</v>
      </c>
      <c r="CS120" s="1">
        <v>-126196.33</v>
      </c>
      <c r="CT120" s="1">
        <v>-124257.81</v>
      </c>
      <c r="CU120" s="1">
        <v>-0.32529999999999998</v>
      </c>
      <c r="CZ120" s="1">
        <v>-125227.07</v>
      </c>
      <c r="DA120" s="1">
        <v>-125227.07</v>
      </c>
      <c r="DB120" s="1">
        <v>-67996.490000000005</v>
      </c>
      <c r="DC120" s="1">
        <v>-57230.58</v>
      </c>
      <c r="DD120" s="2">
        <v>637.16</v>
      </c>
      <c r="DG120" s="1">
        <v>209.3</v>
      </c>
      <c r="DL120" s="1">
        <v>-39688664.539999999</v>
      </c>
      <c r="DM120" s="1">
        <v>-38559922.990000002</v>
      </c>
      <c r="DN120" s="1">
        <v>-1128741.55</v>
      </c>
      <c r="DO120" s="1">
        <v>3.4611999999999998</v>
      </c>
      <c r="DP120" s="1" t="s">
        <v>1084</v>
      </c>
      <c r="DQ120" s="1" t="s">
        <v>1084</v>
      </c>
      <c r="DS120" s="1">
        <v>39563437.460000001</v>
      </c>
      <c r="DT120" s="1">
        <v>38491926.5</v>
      </c>
      <c r="DU120" s="1">
        <v>1071510.96</v>
      </c>
      <c r="DV120" s="1">
        <v>3.1381999999999999</v>
      </c>
      <c r="DW120" s="1" t="s">
        <v>1084</v>
      </c>
      <c r="DX120" s="1" t="s">
        <v>1084</v>
      </c>
      <c r="DY120" s="1" t="s">
        <v>839</v>
      </c>
      <c r="DZ120" s="1">
        <v>-132578</v>
      </c>
      <c r="EA120" s="1">
        <v>-117876</v>
      </c>
      <c r="ED120" s="1" t="s">
        <v>50</v>
      </c>
      <c r="EE120" s="1" t="s">
        <v>1085</v>
      </c>
      <c r="EF120" s="1" t="s">
        <v>53</v>
      </c>
      <c r="EG120" s="1" t="s">
        <v>1085</v>
      </c>
      <c r="EH120" s="1" t="s">
        <v>51</v>
      </c>
      <c r="EJ120" s="1" t="s">
        <v>55</v>
      </c>
      <c r="EL120" s="1" t="s">
        <v>57</v>
      </c>
    </row>
    <row r="121" spans="1:142" x14ac:dyDescent="0.2">
      <c r="A121" s="101">
        <v>72868173001</v>
      </c>
      <c r="B121" s="101">
        <v>72868173</v>
      </c>
      <c r="D121" s="1" t="s">
        <v>80</v>
      </c>
      <c r="E121" s="1" t="s">
        <v>44</v>
      </c>
      <c r="F121" s="1" t="s">
        <v>561</v>
      </c>
      <c r="U121" s="1">
        <v>25509138.668330502</v>
      </c>
      <c r="AI121" s="1" t="s">
        <v>551</v>
      </c>
      <c r="AJ121" s="1" t="s">
        <v>44</v>
      </c>
      <c r="AK121" s="1" t="s">
        <v>581</v>
      </c>
      <c r="AL121" s="1" t="s">
        <v>758</v>
      </c>
      <c r="AR121" s="1" t="s">
        <v>66</v>
      </c>
      <c r="AS121" s="1" t="s">
        <v>71</v>
      </c>
      <c r="AT121" s="1">
        <v>2.4140000000000001</v>
      </c>
      <c r="AV121" s="1" t="s">
        <v>665</v>
      </c>
      <c r="AW121" s="1" t="s">
        <v>1062</v>
      </c>
      <c r="AX121" s="1">
        <v>15830000</v>
      </c>
      <c r="BA121" s="1" t="s">
        <v>69</v>
      </c>
      <c r="BB121" s="1" t="s">
        <v>560</v>
      </c>
      <c r="BD121" s="1" t="s">
        <v>555</v>
      </c>
      <c r="BG121" s="1" t="s">
        <v>558</v>
      </c>
      <c r="BH121" s="1">
        <v>16</v>
      </c>
      <c r="BI121" s="1" t="s">
        <v>70</v>
      </c>
      <c r="BJ121" s="1" t="s">
        <v>67</v>
      </c>
      <c r="BK121" s="1" t="s">
        <v>76</v>
      </c>
      <c r="BM121" s="1" t="s">
        <v>665</v>
      </c>
      <c r="BN121" s="1" t="s">
        <v>1062</v>
      </c>
      <c r="BP121" s="1">
        <v>15830000</v>
      </c>
      <c r="BT121" s="1" t="s">
        <v>557</v>
      </c>
      <c r="BV121" s="1" t="s">
        <v>555</v>
      </c>
      <c r="BY121" s="1" t="s">
        <v>558</v>
      </c>
      <c r="BZ121" s="1">
        <v>16</v>
      </c>
      <c r="CJ121" s="1">
        <v>2.1476999999999999</v>
      </c>
      <c r="CK121" s="1">
        <v>2.1452</v>
      </c>
      <c r="CL121" s="1">
        <v>2.1501999999999999</v>
      </c>
      <c r="CR121" s="1">
        <v>-772827.61975917197</v>
      </c>
      <c r="CU121" s="1">
        <v>-4.8819999999999997</v>
      </c>
      <c r="CZ121" s="1">
        <v>-772827.62</v>
      </c>
      <c r="DA121" s="1">
        <v>-772827.62</v>
      </c>
      <c r="DB121" s="1">
        <v>-769847.81</v>
      </c>
      <c r="DC121" s="1">
        <v>-2979.81</v>
      </c>
      <c r="DD121" s="2">
        <v>1478.8</v>
      </c>
      <c r="DG121" s="1">
        <v>-1049.92</v>
      </c>
      <c r="DL121" s="1">
        <v>-15229330.949999999</v>
      </c>
      <c r="DM121" s="1">
        <v>-14895468.24</v>
      </c>
      <c r="DN121" s="1">
        <v>-333862.71000000002</v>
      </c>
      <c r="DO121" s="1">
        <v>2.4140000000000001</v>
      </c>
      <c r="DP121" s="1" t="s">
        <v>1062</v>
      </c>
      <c r="DQ121" s="1" t="s">
        <v>1062</v>
      </c>
      <c r="DS121" s="1">
        <v>14456503.33</v>
      </c>
      <c r="DT121" s="1">
        <v>14125620.43</v>
      </c>
      <c r="DU121" s="1">
        <v>330882.90000000002</v>
      </c>
      <c r="DV121" s="1">
        <v>2.1476999999999999</v>
      </c>
      <c r="DW121" s="1" t="s">
        <v>1062</v>
      </c>
      <c r="DX121" s="1" t="s">
        <v>1062</v>
      </c>
      <c r="DZ121" s="1">
        <v>-788708</v>
      </c>
      <c r="EA121" s="1">
        <v>-756948</v>
      </c>
      <c r="ED121" s="1" t="s">
        <v>50</v>
      </c>
      <c r="EE121" s="1" t="s">
        <v>1089</v>
      </c>
      <c r="EF121" s="1" t="s">
        <v>53</v>
      </c>
      <c r="EG121" s="1" t="s">
        <v>1089</v>
      </c>
      <c r="EH121" s="1" t="s">
        <v>51</v>
      </c>
      <c r="EJ121" s="1" t="s">
        <v>55</v>
      </c>
      <c r="EL121" s="1" t="s">
        <v>57</v>
      </c>
    </row>
    <row r="122" spans="1:142" x14ac:dyDescent="0.2">
      <c r="A122" s="101">
        <v>72868178001</v>
      </c>
      <c r="B122" s="101">
        <v>72868178</v>
      </c>
      <c r="D122" s="1" t="s">
        <v>80</v>
      </c>
      <c r="E122" s="1" t="s">
        <v>44</v>
      </c>
      <c r="F122" s="1" t="s">
        <v>561</v>
      </c>
      <c r="U122" s="1">
        <v>21867278.062491801</v>
      </c>
      <c r="AI122" s="1" t="s">
        <v>551</v>
      </c>
      <c r="AJ122" s="1" t="s">
        <v>44</v>
      </c>
      <c r="AK122" s="1" t="s">
        <v>581</v>
      </c>
      <c r="AL122" s="1" t="s">
        <v>758</v>
      </c>
      <c r="AR122" s="1" t="s">
        <v>66</v>
      </c>
      <c r="AS122" s="1" t="s">
        <v>71</v>
      </c>
      <c r="AT122" s="1">
        <v>2.4140000000000001</v>
      </c>
      <c r="AV122" s="1" t="s">
        <v>665</v>
      </c>
      <c r="AW122" s="1" t="s">
        <v>1062</v>
      </c>
      <c r="AX122" s="1">
        <v>13570000</v>
      </c>
      <c r="BA122" s="1" t="s">
        <v>69</v>
      </c>
      <c r="BB122" s="1" t="s">
        <v>560</v>
      </c>
      <c r="BD122" s="1" t="s">
        <v>555</v>
      </c>
      <c r="BG122" s="1" t="s">
        <v>558</v>
      </c>
      <c r="BH122" s="1">
        <v>16</v>
      </c>
      <c r="BI122" s="1" t="s">
        <v>70</v>
      </c>
      <c r="BJ122" s="1" t="s">
        <v>67</v>
      </c>
      <c r="BK122" s="1" t="s">
        <v>76</v>
      </c>
      <c r="BM122" s="1" t="s">
        <v>665</v>
      </c>
      <c r="BN122" s="1" t="s">
        <v>1062</v>
      </c>
      <c r="BP122" s="1">
        <v>13570000</v>
      </c>
      <c r="BT122" s="1" t="s">
        <v>557</v>
      </c>
      <c r="BV122" s="1" t="s">
        <v>555</v>
      </c>
      <c r="BY122" s="1" t="s">
        <v>558</v>
      </c>
      <c r="BZ122" s="1">
        <v>16</v>
      </c>
      <c r="CJ122" s="1">
        <v>2.1476999999999999</v>
      </c>
      <c r="CK122" s="1">
        <v>2.1452</v>
      </c>
      <c r="CL122" s="1">
        <v>2.1501999999999999</v>
      </c>
      <c r="CR122" s="1">
        <v>-662493.41756992997</v>
      </c>
      <c r="CU122" s="1">
        <v>-4.8819999999999997</v>
      </c>
      <c r="CZ122" s="1">
        <v>-662493.42000000004</v>
      </c>
      <c r="DA122" s="1">
        <v>-662493.42000000004</v>
      </c>
      <c r="DB122" s="1">
        <v>-659939.02</v>
      </c>
      <c r="DC122" s="1">
        <v>-2554.39</v>
      </c>
      <c r="DD122" s="2">
        <v>1267.68</v>
      </c>
      <c r="DG122" s="1">
        <v>-900.03</v>
      </c>
      <c r="DL122" s="1">
        <v>-13055086.609999999</v>
      </c>
      <c r="DM122" s="1">
        <v>-12768888.439999999</v>
      </c>
      <c r="DN122" s="1">
        <v>-286198.17</v>
      </c>
      <c r="DO122" s="1">
        <v>2.4140000000000001</v>
      </c>
      <c r="DP122" s="1" t="s">
        <v>1062</v>
      </c>
      <c r="DQ122" s="1" t="s">
        <v>1062</v>
      </c>
      <c r="DS122" s="1">
        <v>12392593.189999999</v>
      </c>
      <c r="DT122" s="1">
        <v>12108949.42</v>
      </c>
      <c r="DU122" s="1">
        <v>283643.77</v>
      </c>
      <c r="DV122" s="1">
        <v>2.1476999999999999</v>
      </c>
      <c r="DW122" s="1" t="s">
        <v>1062</v>
      </c>
      <c r="DX122" s="1" t="s">
        <v>1062</v>
      </c>
      <c r="DZ122" s="1">
        <v>-676106</v>
      </c>
      <c r="EA122" s="1">
        <v>-648880</v>
      </c>
      <c r="ED122" s="1" t="s">
        <v>50</v>
      </c>
      <c r="EE122" s="1" t="s">
        <v>1090</v>
      </c>
      <c r="EF122" s="1" t="s">
        <v>53</v>
      </c>
      <c r="EG122" s="1" t="s">
        <v>1090</v>
      </c>
      <c r="EH122" s="1" t="s">
        <v>51</v>
      </c>
      <c r="EJ122" s="1" t="s">
        <v>55</v>
      </c>
      <c r="EL122" s="1" t="s">
        <v>57</v>
      </c>
    </row>
    <row r="123" spans="1:142" x14ac:dyDescent="0.2">
      <c r="A123" s="101">
        <v>73004671001</v>
      </c>
      <c r="B123" s="101">
        <v>73004671</v>
      </c>
      <c r="D123" s="1" t="s">
        <v>220</v>
      </c>
      <c r="E123" s="1" t="s">
        <v>44</v>
      </c>
      <c r="F123" s="1" t="s">
        <v>561</v>
      </c>
      <c r="U123" s="1">
        <v>18598666.472865898</v>
      </c>
      <c r="AI123" s="1" t="s">
        <v>551</v>
      </c>
      <c r="AJ123" s="1" t="s">
        <v>44</v>
      </c>
      <c r="AK123" s="1" t="s">
        <v>581</v>
      </c>
      <c r="AL123" s="1" t="s">
        <v>761</v>
      </c>
      <c r="AR123" s="1" t="s">
        <v>66</v>
      </c>
      <c r="AS123" s="1" t="s">
        <v>71</v>
      </c>
      <c r="AT123" s="1">
        <v>2.4325000000000001</v>
      </c>
      <c r="AV123" s="1" t="s">
        <v>665</v>
      </c>
      <c r="AW123" s="1" t="s">
        <v>1062</v>
      </c>
      <c r="AX123" s="1">
        <v>11500000</v>
      </c>
      <c r="BA123" s="1" t="s">
        <v>69</v>
      </c>
      <c r="BB123" s="1" t="s">
        <v>560</v>
      </c>
      <c r="BD123" s="1" t="s">
        <v>555</v>
      </c>
      <c r="BG123" s="1" t="s">
        <v>558</v>
      </c>
      <c r="BH123" s="1">
        <v>16</v>
      </c>
      <c r="BI123" s="1" t="s">
        <v>70</v>
      </c>
      <c r="BJ123" s="1" t="s">
        <v>67</v>
      </c>
      <c r="BK123" s="1" t="s">
        <v>76</v>
      </c>
      <c r="BM123" s="1" t="s">
        <v>665</v>
      </c>
      <c r="BN123" s="1" t="s">
        <v>1062</v>
      </c>
      <c r="BP123" s="1">
        <v>11500000</v>
      </c>
      <c r="BT123" s="1" t="s">
        <v>557</v>
      </c>
      <c r="BV123" s="1" t="s">
        <v>555</v>
      </c>
      <c r="BY123" s="1" t="s">
        <v>558</v>
      </c>
      <c r="BZ123" s="1">
        <v>16</v>
      </c>
      <c r="CJ123" s="1">
        <v>2.1476999999999999</v>
      </c>
      <c r="CK123" s="1">
        <v>2.1452</v>
      </c>
      <c r="CL123" s="1">
        <v>2.1501999999999999</v>
      </c>
      <c r="CR123" s="1">
        <v>-601479.79812366294</v>
      </c>
      <c r="CU123" s="1">
        <v>-5.2302999999999997</v>
      </c>
      <c r="CZ123" s="1">
        <v>-601479.80000000005</v>
      </c>
      <c r="DA123" s="1">
        <v>-601479.80000000005</v>
      </c>
      <c r="DB123" s="1">
        <v>-597459.1</v>
      </c>
      <c r="DC123" s="1">
        <v>-4020.7</v>
      </c>
      <c r="DD123" s="2">
        <v>1150.93</v>
      </c>
      <c r="DG123" s="1">
        <v>-765.49</v>
      </c>
      <c r="DL123" s="1">
        <v>-11103677.42</v>
      </c>
      <c r="DM123" s="1">
        <v>-10859280.640000001</v>
      </c>
      <c r="DN123" s="1">
        <v>-244396.78</v>
      </c>
      <c r="DO123" s="1">
        <v>2.4325000000000001</v>
      </c>
      <c r="DP123" s="1" t="s">
        <v>1062</v>
      </c>
      <c r="DQ123" s="1" t="s">
        <v>1062</v>
      </c>
      <c r="DS123" s="1">
        <v>10502197.619999999</v>
      </c>
      <c r="DT123" s="1">
        <v>10261821.539999999</v>
      </c>
      <c r="DU123" s="1">
        <v>240376.08</v>
      </c>
      <c r="DV123" s="1">
        <v>2.1476999999999999</v>
      </c>
      <c r="DW123" s="1" t="s">
        <v>1062</v>
      </c>
      <c r="DX123" s="1" t="s">
        <v>1062</v>
      </c>
      <c r="DZ123" s="1">
        <v>-613839</v>
      </c>
      <c r="EA123" s="1">
        <v>-589121</v>
      </c>
      <c r="ED123" s="1" t="s">
        <v>50</v>
      </c>
      <c r="EE123" s="1" t="s">
        <v>1091</v>
      </c>
      <c r="EF123" s="1" t="s">
        <v>53</v>
      </c>
      <c r="EG123" s="1" t="s">
        <v>1091</v>
      </c>
      <c r="EH123" s="1" t="s">
        <v>51</v>
      </c>
      <c r="EJ123" s="1" t="s">
        <v>55</v>
      </c>
      <c r="EL123" s="1" t="s">
        <v>57</v>
      </c>
    </row>
    <row r="124" spans="1:142" x14ac:dyDescent="0.2">
      <c r="A124" s="101">
        <v>73004751001</v>
      </c>
      <c r="B124" s="101">
        <v>73004751</v>
      </c>
      <c r="D124" s="1" t="s">
        <v>43</v>
      </c>
      <c r="E124" s="1" t="s">
        <v>44</v>
      </c>
      <c r="F124" s="1" t="s">
        <v>583</v>
      </c>
      <c r="AI124" s="1" t="s">
        <v>551</v>
      </c>
      <c r="AJ124" s="1" t="s">
        <v>44</v>
      </c>
      <c r="AK124" s="1" t="s">
        <v>584</v>
      </c>
      <c r="AL124" s="1" t="s">
        <v>761</v>
      </c>
      <c r="AR124" s="1" t="s">
        <v>79</v>
      </c>
      <c r="AS124" s="1" t="s">
        <v>71</v>
      </c>
      <c r="AT124" s="1">
        <v>3.3247</v>
      </c>
      <c r="AV124" s="1" t="s">
        <v>1021</v>
      </c>
      <c r="AW124" s="1" t="s">
        <v>1092</v>
      </c>
      <c r="AX124" s="1">
        <v>17056679</v>
      </c>
      <c r="BA124" s="1" t="s">
        <v>69</v>
      </c>
      <c r="BB124" s="1" t="s">
        <v>574</v>
      </c>
      <c r="BC124" s="1" t="s">
        <v>456</v>
      </c>
      <c r="BD124" s="1" t="s">
        <v>555</v>
      </c>
      <c r="BG124" s="1" t="s">
        <v>558</v>
      </c>
      <c r="BH124" s="1">
        <v>11</v>
      </c>
      <c r="BI124" s="1" t="s">
        <v>431</v>
      </c>
      <c r="BJ124" s="1" t="s">
        <v>67</v>
      </c>
      <c r="BK124" s="1" t="s">
        <v>440</v>
      </c>
      <c r="BL124" s="1">
        <v>0</v>
      </c>
      <c r="BM124" s="1" t="s">
        <v>1021</v>
      </c>
      <c r="BN124" s="1" t="s">
        <v>1092</v>
      </c>
      <c r="BP124" s="1">
        <v>17056679</v>
      </c>
      <c r="BR124" s="1" t="s">
        <v>69</v>
      </c>
      <c r="BS124" s="1" t="s">
        <v>69</v>
      </c>
      <c r="BT124" s="1" t="s">
        <v>574</v>
      </c>
      <c r="BU124" s="1" t="s">
        <v>456</v>
      </c>
      <c r="BV124" s="1" t="s">
        <v>555</v>
      </c>
      <c r="BY124" s="1" t="s">
        <v>558</v>
      </c>
      <c r="BZ124" s="1">
        <v>11</v>
      </c>
      <c r="CJ124" s="1">
        <v>2.0938500000000002</v>
      </c>
      <c r="CK124" s="1">
        <v>2.0913499999999998</v>
      </c>
      <c r="CL124" s="1">
        <v>2.0963500000000002</v>
      </c>
      <c r="CR124" s="1">
        <v>-156667.29608962301</v>
      </c>
      <c r="CS124" s="1">
        <v>-157094.01999999999</v>
      </c>
      <c r="CT124" s="1">
        <v>-156240.57</v>
      </c>
      <c r="CU124" s="1">
        <v>-0.91849999999999998</v>
      </c>
      <c r="CZ124" s="1">
        <v>-156667.29999999999</v>
      </c>
      <c r="DA124" s="1">
        <v>-156667.29999999999</v>
      </c>
      <c r="DB124" s="1">
        <v>-126323.96</v>
      </c>
      <c r="DC124" s="1">
        <v>-30343.33</v>
      </c>
      <c r="DD124" s="2">
        <v>1069.05</v>
      </c>
      <c r="DG124" s="1">
        <v>246.36</v>
      </c>
      <c r="DL124" s="1">
        <v>-17403514.489999998</v>
      </c>
      <c r="DM124" s="1">
        <v>-17182982.059999999</v>
      </c>
      <c r="DN124" s="1">
        <v>-220532.44</v>
      </c>
      <c r="DO124" s="1">
        <v>3.3247</v>
      </c>
      <c r="DP124" s="1" t="s">
        <v>1093</v>
      </c>
      <c r="DQ124" s="1" t="s">
        <v>1093</v>
      </c>
      <c r="DS124" s="1">
        <v>17246847.199999999</v>
      </c>
      <c r="DT124" s="1">
        <v>17056658.100000001</v>
      </c>
      <c r="DU124" s="1">
        <v>190189.1</v>
      </c>
      <c r="DV124" s="1">
        <v>2.4068499999999999</v>
      </c>
      <c r="DW124" s="1" t="s">
        <v>1093</v>
      </c>
      <c r="DX124" s="1" t="s">
        <v>1093</v>
      </c>
      <c r="DY124" s="1" t="s">
        <v>853</v>
      </c>
      <c r="DZ124" s="1">
        <v>-167859</v>
      </c>
      <c r="EA124" s="1">
        <v>-145475</v>
      </c>
      <c r="ED124" s="1" t="s">
        <v>50</v>
      </c>
      <c r="EE124" s="1" t="s">
        <v>1094</v>
      </c>
      <c r="EF124" s="1" t="s">
        <v>53</v>
      </c>
      <c r="EG124" s="1" t="s">
        <v>1094</v>
      </c>
      <c r="EH124" s="1" t="s">
        <v>51</v>
      </c>
      <c r="EJ124" s="1" t="s">
        <v>55</v>
      </c>
      <c r="EL124" s="1" t="s">
        <v>57</v>
      </c>
    </row>
    <row r="125" spans="1:142" x14ac:dyDescent="0.2">
      <c r="A125" s="101">
        <v>73160499001</v>
      </c>
      <c r="B125" s="101">
        <v>73160499</v>
      </c>
      <c r="D125" s="1" t="s">
        <v>77</v>
      </c>
      <c r="E125" s="1" t="s">
        <v>44</v>
      </c>
      <c r="F125" s="1" t="s">
        <v>583</v>
      </c>
      <c r="AI125" s="1" t="s">
        <v>551</v>
      </c>
      <c r="AJ125" s="1" t="s">
        <v>44</v>
      </c>
      <c r="AK125" s="1" t="s">
        <v>584</v>
      </c>
      <c r="AL125" s="1" t="s">
        <v>1021</v>
      </c>
      <c r="AR125" s="1" t="s">
        <v>79</v>
      </c>
      <c r="AS125" s="1" t="s">
        <v>71</v>
      </c>
      <c r="AT125" s="1">
        <v>3.4266999999999999</v>
      </c>
      <c r="AV125" s="1" t="s">
        <v>762</v>
      </c>
      <c r="AW125" s="1" t="s">
        <v>1095</v>
      </c>
      <c r="AX125" s="1">
        <v>24078502</v>
      </c>
      <c r="BA125" s="1" t="s">
        <v>69</v>
      </c>
      <c r="BB125" s="1" t="s">
        <v>574</v>
      </c>
      <c r="BC125" s="1" t="s">
        <v>456</v>
      </c>
      <c r="BD125" s="1" t="s">
        <v>555</v>
      </c>
      <c r="BG125" s="1" t="s">
        <v>558</v>
      </c>
      <c r="BH125" s="1">
        <v>5</v>
      </c>
      <c r="BI125" s="1" t="s">
        <v>431</v>
      </c>
      <c r="BJ125" s="1" t="s">
        <v>67</v>
      </c>
      <c r="BK125" s="1" t="s">
        <v>440</v>
      </c>
      <c r="BL125" s="1">
        <v>0</v>
      </c>
      <c r="BM125" s="1" t="s">
        <v>762</v>
      </c>
      <c r="BN125" s="1" t="s">
        <v>1095</v>
      </c>
      <c r="BP125" s="1">
        <v>24078502</v>
      </c>
      <c r="BR125" s="1" t="s">
        <v>69</v>
      </c>
      <c r="BS125" s="1" t="s">
        <v>1023</v>
      </c>
      <c r="BT125" s="1" t="s">
        <v>574</v>
      </c>
      <c r="BU125" s="1" t="s">
        <v>456</v>
      </c>
      <c r="BV125" s="1" t="s">
        <v>555</v>
      </c>
      <c r="BY125" s="1" t="s">
        <v>558</v>
      </c>
      <c r="BZ125" s="1">
        <v>5</v>
      </c>
      <c r="CJ125" s="1">
        <v>2.2967599999999999</v>
      </c>
      <c r="CK125" s="1">
        <v>2.29426</v>
      </c>
      <c r="CL125" s="1">
        <v>2.2992599999999999</v>
      </c>
      <c r="CR125" s="1">
        <v>-78117.830755759001</v>
      </c>
      <c r="CS125" s="1">
        <v>-78723.89</v>
      </c>
      <c r="CT125" s="1">
        <v>-77511.77</v>
      </c>
      <c r="CU125" s="1">
        <v>-0.32440000000000002</v>
      </c>
      <c r="CZ125" s="1">
        <v>-78117.83</v>
      </c>
      <c r="DA125" s="1">
        <v>-78117.83</v>
      </c>
      <c r="DB125" s="1">
        <v>-46624.38</v>
      </c>
      <c r="DC125" s="1">
        <v>-31493.45</v>
      </c>
      <c r="DD125" s="2">
        <v>446.14</v>
      </c>
      <c r="DG125" s="1">
        <v>154.13999999999999</v>
      </c>
      <c r="DL125" s="1">
        <v>-24808079.52</v>
      </c>
      <c r="DM125" s="1">
        <v>-24125081.710000001</v>
      </c>
      <c r="DN125" s="1">
        <v>-682997.81</v>
      </c>
      <c r="DO125" s="1">
        <v>3.4266999999999999</v>
      </c>
      <c r="DP125" s="1" t="s">
        <v>1096</v>
      </c>
      <c r="DQ125" s="1" t="s">
        <v>1096</v>
      </c>
      <c r="DS125" s="1">
        <v>24729961.690000001</v>
      </c>
      <c r="DT125" s="1">
        <v>24078457.329999998</v>
      </c>
      <c r="DU125" s="1">
        <v>651504.36</v>
      </c>
      <c r="DV125" s="1">
        <v>3.10446</v>
      </c>
      <c r="DW125" s="1" t="s">
        <v>1096</v>
      </c>
      <c r="DX125" s="1" t="s">
        <v>1096</v>
      </c>
      <c r="DY125" s="1" t="s">
        <v>1021</v>
      </c>
      <c r="DZ125" s="1">
        <v>-83241</v>
      </c>
      <c r="EA125" s="1">
        <v>-72994</v>
      </c>
      <c r="ED125" s="1" t="s">
        <v>50</v>
      </c>
      <c r="EE125" s="1" t="s">
        <v>1097</v>
      </c>
      <c r="EF125" s="1" t="s">
        <v>53</v>
      </c>
      <c r="EG125" s="1" t="s">
        <v>1097</v>
      </c>
      <c r="EH125" s="1" t="s">
        <v>51</v>
      </c>
      <c r="EJ125" s="1" t="s">
        <v>55</v>
      </c>
      <c r="EL125" s="1" t="s">
        <v>57</v>
      </c>
    </row>
    <row r="126" spans="1:142" x14ac:dyDescent="0.2">
      <c r="A126" s="101">
        <v>73160753001</v>
      </c>
      <c r="B126" s="101">
        <v>73160753</v>
      </c>
      <c r="D126" s="1" t="s">
        <v>824</v>
      </c>
      <c r="E126" s="1" t="s">
        <v>44</v>
      </c>
      <c r="F126" s="1" t="s">
        <v>583</v>
      </c>
      <c r="AI126" s="1" t="s">
        <v>551</v>
      </c>
      <c r="AJ126" s="1" t="s">
        <v>44</v>
      </c>
      <c r="AK126" s="1" t="s">
        <v>584</v>
      </c>
      <c r="AL126" s="1" t="s">
        <v>1021</v>
      </c>
      <c r="AR126" s="1" t="s">
        <v>79</v>
      </c>
      <c r="AS126" s="1" t="s">
        <v>71</v>
      </c>
      <c r="AT126" s="1">
        <v>3.1861999999999999</v>
      </c>
      <c r="AV126" s="1" t="s">
        <v>762</v>
      </c>
      <c r="AW126" s="1" t="s">
        <v>1098</v>
      </c>
      <c r="AX126" s="1">
        <v>4740590</v>
      </c>
      <c r="BA126" s="1" t="s">
        <v>69</v>
      </c>
      <c r="BB126" s="1" t="s">
        <v>574</v>
      </c>
      <c r="BC126" s="1" t="s">
        <v>456</v>
      </c>
      <c r="BD126" s="1" t="s">
        <v>555</v>
      </c>
      <c r="BG126" s="1" t="s">
        <v>558</v>
      </c>
      <c r="BH126" s="1">
        <v>13</v>
      </c>
      <c r="BI126" s="1" t="s">
        <v>431</v>
      </c>
      <c r="BJ126" s="1" t="s">
        <v>67</v>
      </c>
      <c r="BK126" s="1" t="s">
        <v>440</v>
      </c>
      <c r="BL126" s="1">
        <v>0</v>
      </c>
      <c r="BM126" s="1" t="s">
        <v>762</v>
      </c>
      <c r="BN126" s="1" t="s">
        <v>1098</v>
      </c>
      <c r="BP126" s="1">
        <v>4740590</v>
      </c>
      <c r="BR126" s="1" t="s">
        <v>69</v>
      </c>
      <c r="BS126" s="1" t="s">
        <v>69</v>
      </c>
      <c r="BT126" s="1" t="s">
        <v>574</v>
      </c>
      <c r="BU126" s="1" t="s">
        <v>456</v>
      </c>
      <c r="BV126" s="1" t="s">
        <v>555</v>
      </c>
      <c r="BY126" s="1" t="s">
        <v>558</v>
      </c>
      <c r="BZ126" s="1">
        <v>13</v>
      </c>
      <c r="CJ126" s="1">
        <v>2.0312600000000001</v>
      </c>
      <c r="CK126" s="1">
        <v>2.0287600000000001</v>
      </c>
      <c r="CL126" s="1">
        <v>2.03376</v>
      </c>
      <c r="CR126" s="1">
        <v>-50952.266611171901</v>
      </c>
      <c r="CS126" s="1">
        <v>-51070.28</v>
      </c>
      <c r="CT126" s="1">
        <v>-50834.25</v>
      </c>
      <c r="CU126" s="1">
        <v>-1.0748</v>
      </c>
      <c r="CZ126" s="1">
        <v>-50952.27</v>
      </c>
      <c r="DA126" s="1">
        <v>-50952.27</v>
      </c>
      <c r="DB126" s="1">
        <v>-47196.12</v>
      </c>
      <c r="DC126" s="1">
        <v>-3756.14</v>
      </c>
      <c r="DD126" s="2">
        <v>417.14</v>
      </c>
      <c r="DG126" s="1">
        <v>74.459999999999994</v>
      </c>
      <c r="DL126" s="1">
        <v>-4807071.24</v>
      </c>
      <c r="DM126" s="1">
        <v>-4787771.09</v>
      </c>
      <c r="DN126" s="1">
        <v>-19300.150000000001</v>
      </c>
      <c r="DO126" s="1">
        <v>3.1861999999999999</v>
      </c>
      <c r="DP126" s="1" t="s">
        <v>1100</v>
      </c>
      <c r="DQ126" s="1" t="s">
        <v>1100</v>
      </c>
      <c r="DS126" s="1">
        <v>4756118.9800000004</v>
      </c>
      <c r="DT126" s="1">
        <v>4740574.97</v>
      </c>
      <c r="DU126" s="1">
        <v>15544.01</v>
      </c>
      <c r="DV126" s="1">
        <v>2.10684</v>
      </c>
      <c r="DW126" s="1" t="s">
        <v>1100</v>
      </c>
      <c r="DX126" s="1" t="s">
        <v>1100</v>
      </c>
      <c r="DY126" s="1" t="s">
        <v>1101</v>
      </c>
      <c r="DZ126" s="1">
        <v>-55189</v>
      </c>
      <c r="EA126" s="1">
        <v>-46716</v>
      </c>
      <c r="ED126" s="1" t="s">
        <v>50</v>
      </c>
      <c r="EE126" s="1" t="s">
        <v>1102</v>
      </c>
      <c r="EF126" s="1" t="s">
        <v>53</v>
      </c>
      <c r="EG126" s="1" t="s">
        <v>1102</v>
      </c>
      <c r="EH126" s="1" t="s">
        <v>51</v>
      </c>
      <c r="EJ126" s="1" t="s">
        <v>55</v>
      </c>
      <c r="EL126" s="1" t="s">
        <v>57</v>
      </c>
    </row>
    <row r="127" spans="1:142" x14ac:dyDescent="0.2">
      <c r="A127" s="101">
        <v>73289240001</v>
      </c>
      <c r="B127" s="101">
        <v>73289240</v>
      </c>
      <c r="D127" s="1" t="s">
        <v>43</v>
      </c>
      <c r="E127" s="1" t="s">
        <v>44</v>
      </c>
      <c r="F127" s="1" t="s">
        <v>583</v>
      </c>
      <c r="AI127" s="1" t="s">
        <v>551</v>
      </c>
      <c r="AJ127" s="1" t="s">
        <v>44</v>
      </c>
      <c r="AK127" s="1" t="s">
        <v>584</v>
      </c>
      <c r="AL127" s="1" t="s">
        <v>762</v>
      </c>
      <c r="AR127" s="1" t="s">
        <v>79</v>
      </c>
      <c r="AS127" s="1" t="s">
        <v>71</v>
      </c>
      <c r="AT127" s="1">
        <v>3.4497</v>
      </c>
      <c r="AV127" s="1" t="s">
        <v>924</v>
      </c>
      <c r="AW127" s="1" t="s">
        <v>1103</v>
      </c>
      <c r="AX127" s="1">
        <v>3621484</v>
      </c>
      <c r="BA127" s="1" t="s">
        <v>69</v>
      </c>
      <c r="BB127" s="1" t="s">
        <v>574</v>
      </c>
      <c r="BC127" s="1" t="s">
        <v>456</v>
      </c>
      <c r="BD127" s="1" t="s">
        <v>555</v>
      </c>
      <c r="BG127" s="1" t="s">
        <v>558</v>
      </c>
      <c r="BH127" s="1">
        <v>23</v>
      </c>
      <c r="BI127" s="1" t="s">
        <v>431</v>
      </c>
      <c r="BJ127" s="1" t="s">
        <v>67</v>
      </c>
      <c r="BK127" s="1" t="s">
        <v>440</v>
      </c>
      <c r="BL127" s="1">
        <v>0</v>
      </c>
      <c r="BM127" s="1" t="s">
        <v>924</v>
      </c>
      <c r="BN127" s="1" t="s">
        <v>1103</v>
      </c>
      <c r="BP127" s="1">
        <v>3621484</v>
      </c>
      <c r="BR127" s="1" t="s">
        <v>69</v>
      </c>
      <c r="BS127" s="1" t="s">
        <v>1023</v>
      </c>
      <c r="BT127" s="1" t="s">
        <v>574</v>
      </c>
      <c r="BU127" s="1" t="s">
        <v>456</v>
      </c>
      <c r="BV127" s="1" t="s">
        <v>555</v>
      </c>
      <c r="BY127" s="1" t="s">
        <v>558</v>
      </c>
      <c r="BZ127" s="1">
        <v>23</v>
      </c>
      <c r="CJ127" s="1">
        <v>2.4180000000000001</v>
      </c>
      <c r="CK127" s="1">
        <v>2.4155000000000002</v>
      </c>
      <c r="CL127" s="1">
        <v>2.4205000000000001</v>
      </c>
      <c r="CR127" s="1">
        <v>-7879.2505162642001</v>
      </c>
      <c r="CS127" s="1">
        <v>-7958.85</v>
      </c>
      <c r="CT127" s="1">
        <v>-7799.66</v>
      </c>
      <c r="CU127" s="1">
        <v>-0.21759999999999999</v>
      </c>
      <c r="CZ127" s="1">
        <v>-7879.25</v>
      </c>
      <c r="DA127" s="1">
        <v>-7879.25</v>
      </c>
      <c r="DB127" s="1">
        <v>-2225.1</v>
      </c>
      <c r="DC127" s="1">
        <v>-5654.15</v>
      </c>
      <c r="DD127" s="2">
        <v>22.74</v>
      </c>
      <c r="DG127" s="1">
        <v>2.23</v>
      </c>
      <c r="DL127" s="1">
        <v>-3725729.01</v>
      </c>
      <c r="DM127" s="1">
        <v>-3623702.58</v>
      </c>
      <c r="DN127" s="1">
        <v>-102026.44</v>
      </c>
      <c r="DO127" s="1">
        <v>3.4497</v>
      </c>
      <c r="DP127" s="1" t="s">
        <v>1013</v>
      </c>
      <c r="DQ127" s="1" t="s">
        <v>1013</v>
      </c>
      <c r="DS127" s="1">
        <v>3717849.76</v>
      </c>
      <c r="DT127" s="1">
        <v>3621477.47</v>
      </c>
      <c r="DU127" s="1">
        <v>96372.29</v>
      </c>
      <c r="DV127" s="1">
        <v>3.2022200000000001</v>
      </c>
      <c r="DW127" s="1" t="s">
        <v>1013</v>
      </c>
      <c r="DX127" s="1" t="s">
        <v>1013</v>
      </c>
      <c r="DY127" s="1" t="s">
        <v>762</v>
      </c>
      <c r="DZ127" s="1">
        <v>-8154</v>
      </c>
      <c r="EA127" s="1">
        <v>-7604</v>
      </c>
      <c r="ED127" s="1" t="s">
        <v>50</v>
      </c>
      <c r="EE127" s="1" t="s">
        <v>1104</v>
      </c>
      <c r="EF127" s="1" t="s">
        <v>53</v>
      </c>
      <c r="EG127" s="1" t="s">
        <v>1104</v>
      </c>
      <c r="EH127" s="1" t="s">
        <v>51</v>
      </c>
      <c r="EJ127" s="1" t="s">
        <v>55</v>
      </c>
      <c r="EL127" s="1" t="s">
        <v>57</v>
      </c>
    </row>
    <row r="128" spans="1:142" x14ac:dyDescent="0.2">
      <c r="A128" s="101">
        <v>74151808001</v>
      </c>
      <c r="B128" s="101">
        <v>74151808</v>
      </c>
      <c r="D128" s="1" t="s">
        <v>75</v>
      </c>
      <c r="E128" s="1" t="s">
        <v>44</v>
      </c>
      <c r="F128" s="1" t="s">
        <v>583</v>
      </c>
      <c r="AI128" s="1" t="s">
        <v>551</v>
      </c>
      <c r="AJ128" s="1" t="s">
        <v>44</v>
      </c>
      <c r="AK128" s="1" t="s">
        <v>584</v>
      </c>
      <c r="AL128" s="1" t="s">
        <v>764</v>
      </c>
      <c r="AR128" s="1" t="s">
        <v>79</v>
      </c>
      <c r="AS128" s="1" t="s">
        <v>71</v>
      </c>
      <c r="AT128" s="1">
        <v>3.4437000000000002</v>
      </c>
      <c r="AV128" s="1" t="s">
        <v>915</v>
      </c>
      <c r="AW128" s="1" t="s">
        <v>1038</v>
      </c>
      <c r="AX128" s="1">
        <v>2946844</v>
      </c>
      <c r="BA128" s="1" t="s">
        <v>69</v>
      </c>
      <c r="BB128" s="1" t="s">
        <v>574</v>
      </c>
      <c r="BC128" s="1" t="s">
        <v>456</v>
      </c>
      <c r="BD128" s="1" t="s">
        <v>555</v>
      </c>
      <c r="BG128" s="1" t="s">
        <v>558</v>
      </c>
      <c r="BH128" s="1">
        <v>16</v>
      </c>
      <c r="BI128" s="1" t="s">
        <v>431</v>
      </c>
      <c r="BJ128" s="1" t="s">
        <v>67</v>
      </c>
      <c r="BK128" s="1" t="s">
        <v>440</v>
      </c>
      <c r="BL128" s="1">
        <v>0</v>
      </c>
      <c r="BM128" s="1" t="s">
        <v>915</v>
      </c>
      <c r="BN128" s="1" t="s">
        <v>1038</v>
      </c>
      <c r="BP128" s="1">
        <v>2946844</v>
      </c>
      <c r="BR128" s="1" t="s">
        <v>69</v>
      </c>
      <c r="BS128" s="1" t="s">
        <v>1023</v>
      </c>
      <c r="BT128" s="1" t="s">
        <v>574</v>
      </c>
      <c r="BU128" s="1" t="s">
        <v>456</v>
      </c>
      <c r="BV128" s="1" t="s">
        <v>555</v>
      </c>
      <c r="BY128" s="1" t="s">
        <v>558</v>
      </c>
      <c r="BZ128" s="1">
        <v>16</v>
      </c>
      <c r="CJ128" s="1">
        <v>2.4180000000000001</v>
      </c>
      <c r="CK128" s="1">
        <v>2.4155000000000002</v>
      </c>
      <c r="CL128" s="1">
        <v>2.4205000000000001</v>
      </c>
      <c r="CR128" s="1">
        <v>-6036.4804244647003</v>
      </c>
      <c r="CS128" s="1">
        <v>-6097.6</v>
      </c>
      <c r="CT128" s="1">
        <v>-5975.36</v>
      </c>
      <c r="CU128" s="1">
        <v>-0.20480000000000001</v>
      </c>
      <c r="CZ128" s="1">
        <v>-6036.48</v>
      </c>
      <c r="DA128" s="1">
        <v>-6036.48</v>
      </c>
      <c r="DB128" s="1">
        <v>-1255.74</v>
      </c>
      <c r="DC128" s="1">
        <v>-4780.74</v>
      </c>
      <c r="DD128" s="2">
        <v>12.61</v>
      </c>
      <c r="DG128" s="1">
        <v>-0.53</v>
      </c>
      <c r="DL128" s="1">
        <v>-3027869.52</v>
      </c>
      <c r="DM128" s="1">
        <v>-2948094.59</v>
      </c>
      <c r="DN128" s="1">
        <v>-79774.92</v>
      </c>
      <c r="DO128" s="1">
        <v>3.4437000000000002</v>
      </c>
      <c r="DP128" s="1" t="s">
        <v>1119</v>
      </c>
      <c r="DQ128" s="1" t="s">
        <v>1119</v>
      </c>
      <c r="DS128" s="1">
        <v>3021833.04</v>
      </c>
      <c r="DT128" s="1">
        <v>2946838.85</v>
      </c>
      <c r="DU128" s="1">
        <v>74994.19</v>
      </c>
      <c r="DV128" s="1">
        <v>3.19678</v>
      </c>
      <c r="DW128" s="1" t="s">
        <v>1119</v>
      </c>
      <c r="DX128" s="1" t="s">
        <v>1119</v>
      </c>
      <c r="DY128" s="1" t="s">
        <v>764</v>
      </c>
      <c r="DZ128" s="1">
        <v>-6189</v>
      </c>
      <c r="EA128" s="1">
        <v>-5884</v>
      </c>
      <c r="ED128" s="1" t="s">
        <v>50</v>
      </c>
      <c r="EE128" s="1" t="s">
        <v>1120</v>
      </c>
      <c r="EF128" s="1" t="s">
        <v>53</v>
      </c>
      <c r="EG128" s="1" t="s">
        <v>1120</v>
      </c>
      <c r="EH128" s="1" t="s">
        <v>51</v>
      </c>
      <c r="EJ128" s="1" t="s">
        <v>55</v>
      </c>
      <c r="EL128" s="1" t="s">
        <v>57</v>
      </c>
    </row>
    <row r="129" spans="1:142" x14ac:dyDescent="0.2">
      <c r="A129" s="101">
        <v>73572192001</v>
      </c>
      <c r="B129" s="101">
        <v>73572192</v>
      </c>
      <c r="D129" s="1" t="s">
        <v>63</v>
      </c>
      <c r="E129" s="1" t="s">
        <v>44</v>
      </c>
      <c r="F129" s="1" t="s">
        <v>583</v>
      </c>
      <c r="AI129" s="1" t="s">
        <v>551</v>
      </c>
      <c r="AJ129" s="1" t="s">
        <v>44</v>
      </c>
      <c r="AK129" s="1" t="s">
        <v>584</v>
      </c>
      <c r="AL129" s="1" t="s">
        <v>595</v>
      </c>
      <c r="AR129" s="1" t="s">
        <v>79</v>
      </c>
      <c r="AS129" s="1" t="s">
        <v>71</v>
      </c>
      <c r="AT129" s="1">
        <v>3.4716999999999998</v>
      </c>
      <c r="AV129" s="1" t="s">
        <v>966</v>
      </c>
      <c r="AW129" s="1" t="s">
        <v>938</v>
      </c>
      <c r="AX129" s="1">
        <v>4886647</v>
      </c>
      <c r="BA129" s="1" t="s">
        <v>69</v>
      </c>
      <c r="BB129" s="1" t="s">
        <v>574</v>
      </c>
      <c r="BC129" s="1" t="s">
        <v>456</v>
      </c>
      <c r="BD129" s="1" t="s">
        <v>555</v>
      </c>
      <c r="BG129" s="1" t="s">
        <v>558</v>
      </c>
      <c r="BH129" s="1">
        <v>28</v>
      </c>
      <c r="BI129" s="1" t="s">
        <v>431</v>
      </c>
      <c r="BJ129" s="1" t="s">
        <v>67</v>
      </c>
      <c r="BK129" s="1" t="s">
        <v>440</v>
      </c>
      <c r="BL129" s="1">
        <v>0</v>
      </c>
      <c r="BM129" s="1" t="s">
        <v>966</v>
      </c>
      <c r="BN129" s="1" t="s">
        <v>938</v>
      </c>
      <c r="BP129" s="1">
        <v>4886647</v>
      </c>
      <c r="BR129" s="1" t="s">
        <v>69</v>
      </c>
      <c r="BS129" s="1" t="s">
        <v>1023</v>
      </c>
      <c r="BT129" s="1" t="s">
        <v>574</v>
      </c>
      <c r="BU129" s="1" t="s">
        <v>456</v>
      </c>
      <c r="BV129" s="1" t="s">
        <v>555</v>
      </c>
      <c r="BY129" s="1" t="s">
        <v>558</v>
      </c>
      <c r="BZ129" s="1">
        <v>28</v>
      </c>
      <c r="CJ129" s="1">
        <v>2.3087900000000001</v>
      </c>
      <c r="CK129" s="1">
        <v>2.3062900000000002</v>
      </c>
      <c r="CL129" s="1">
        <v>2.3112900000000001</v>
      </c>
      <c r="CR129" s="1">
        <v>-17157.587735621299</v>
      </c>
      <c r="CS129" s="1">
        <v>-17276.25</v>
      </c>
      <c r="CT129" s="1">
        <v>-17038.93</v>
      </c>
      <c r="CU129" s="1">
        <v>-0.35110000000000002</v>
      </c>
      <c r="CZ129" s="1">
        <v>-17157.59</v>
      </c>
      <c r="DA129" s="1">
        <v>-17157.59</v>
      </c>
      <c r="DB129" s="1">
        <v>-8576.36</v>
      </c>
      <c r="DC129" s="1">
        <v>-8581.23</v>
      </c>
      <c r="DD129" s="2">
        <v>79.42</v>
      </c>
      <c r="DG129" s="1">
        <v>26.04</v>
      </c>
      <c r="DL129" s="1">
        <v>-5033290.46</v>
      </c>
      <c r="DM129" s="1">
        <v>-4895214.4400000004</v>
      </c>
      <c r="DN129" s="1">
        <v>-138076.03</v>
      </c>
      <c r="DO129" s="1">
        <v>3.4716999999999998</v>
      </c>
      <c r="DP129" s="1" t="s">
        <v>759</v>
      </c>
      <c r="DQ129" s="1" t="s">
        <v>759</v>
      </c>
      <c r="DS129" s="1">
        <v>5016132.88</v>
      </c>
      <c r="DT129" s="1">
        <v>4886638.08</v>
      </c>
      <c r="DU129" s="1">
        <v>129494.8</v>
      </c>
      <c r="DV129" s="1">
        <v>3.11022</v>
      </c>
      <c r="DW129" s="1" t="s">
        <v>759</v>
      </c>
      <c r="DX129" s="1" t="s">
        <v>759</v>
      </c>
      <c r="DY129" s="1" t="s">
        <v>595</v>
      </c>
      <c r="DZ129" s="1">
        <v>-18074</v>
      </c>
      <c r="EA129" s="1">
        <v>-16241</v>
      </c>
      <c r="ED129" s="1" t="s">
        <v>50</v>
      </c>
      <c r="EE129" s="1" t="s">
        <v>1105</v>
      </c>
      <c r="EF129" s="1" t="s">
        <v>53</v>
      </c>
      <c r="EG129" s="1" t="s">
        <v>1105</v>
      </c>
      <c r="EH129" s="1" t="s">
        <v>51</v>
      </c>
      <c r="EJ129" s="1" t="s">
        <v>55</v>
      </c>
      <c r="EL129" s="1" t="s">
        <v>57</v>
      </c>
    </row>
    <row r="130" spans="1:142" x14ac:dyDescent="0.2">
      <c r="A130" s="101">
        <v>73700269001</v>
      </c>
      <c r="B130" s="101">
        <v>73700269</v>
      </c>
      <c r="D130" s="1" t="s">
        <v>220</v>
      </c>
      <c r="E130" s="1" t="s">
        <v>44</v>
      </c>
      <c r="F130" s="1" t="s">
        <v>602</v>
      </c>
      <c r="I130" s="1">
        <v>89.406000000000006</v>
      </c>
      <c r="J130" s="1" t="s">
        <v>589</v>
      </c>
      <c r="V130" s="1" t="s">
        <v>211</v>
      </c>
      <c r="AI130" s="1" t="s">
        <v>551</v>
      </c>
      <c r="AJ130" s="1" t="s">
        <v>44</v>
      </c>
      <c r="AK130" s="1" t="s">
        <v>602</v>
      </c>
      <c r="AL130" s="1" t="s">
        <v>966</v>
      </c>
      <c r="AT130" s="1">
        <v>3.25</v>
      </c>
      <c r="AV130" s="1" t="s">
        <v>211</v>
      </c>
      <c r="AW130" s="1" t="s">
        <v>1106</v>
      </c>
      <c r="AX130" s="1">
        <v>8500000</v>
      </c>
      <c r="BA130" s="1" t="s">
        <v>69</v>
      </c>
      <c r="BB130" s="1" t="s">
        <v>560</v>
      </c>
      <c r="BG130" s="1" t="s">
        <v>556</v>
      </c>
      <c r="BY130" s="1" t="s">
        <v>556</v>
      </c>
      <c r="CR130" s="1">
        <v>-643076.51187524304</v>
      </c>
      <c r="CU130" s="1">
        <v>-7.5655999999999999</v>
      </c>
      <c r="DD130" s="2">
        <v>-10945.45</v>
      </c>
      <c r="DG130" s="1">
        <v>-544.79</v>
      </c>
      <c r="ED130" s="1" t="s">
        <v>50</v>
      </c>
      <c r="EE130" s="1" t="s">
        <v>1107</v>
      </c>
      <c r="EF130" s="1" t="s">
        <v>53</v>
      </c>
      <c r="EG130" s="1" t="s">
        <v>1107</v>
      </c>
      <c r="EH130" s="1" t="s">
        <v>51</v>
      </c>
      <c r="EJ130" s="1" t="s">
        <v>55</v>
      </c>
      <c r="EL130" s="1" t="s">
        <v>57</v>
      </c>
    </row>
    <row r="131" spans="1:142" x14ac:dyDescent="0.2">
      <c r="A131" s="101">
        <v>74236390001</v>
      </c>
      <c r="B131" s="101">
        <v>74236390</v>
      </c>
      <c r="D131" s="1" t="s">
        <v>63</v>
      </c>
      <c r="E131" s="1" t="s">
        <v>44</v>
      </c>
      <c r="F131" s="1" t="s">
        <v>583</v>
      </c>
      <c r="AI131" s="1" t="s">
        <v>551</v>
      </c>
      <c r="AJ131" s="1" t="s">
        <v>44</v>
      </c>
      <c r="AK131" s="1" t="s">
        <v>584</v>
      </c>
      <c r="AL131" s="1" t="s">
        <v>765</v>
      </c>
      <c r="AR131" s="1" t="s">
        <v>79</v>
      </c>
      <c r="AS131" s="1" t="s">
        <v>71</v>
      </c>
      <c r="AT131" s="1">
        <v>3.3706999999999998</v>
      </c>
      <c r="AV131" s="1" t="s">
        <v>692</v>
      </c>
      <c r="AW131" s="1" t="s">
        <v>1113</v>
      </c>
      <c r="AX131" s="1">
        <v>5000000</v>
      </c>
      <c r="BA131" s="1" t="s">
        <v>69</v>
      </c>
      <c r="BB131" s="1" t="s">
        <v>574</v>
      </c>
      <c r="BC131" s="1" t="s">
        <v>456</v>
      </c>
      <c r="BD131" s="1" t="s">
        <v>555</v>
      </c>
      <c r="BG131" s="1" t="s">
        <v>558</v>
      </c>
      <c r="BH131" s="1">
        <v>24</v>
      </c>
      <c r="BI131" s="1" t="s">
        <v>431</v>
      </c>
      <c r="BJ131" s="1" t="s">
        <v>67</v>
      </c>
      <c r="BK131" s="1" t="s">
        <v>440</v>
      </c>
      <c r="BL131" s="1">
        <v>0</v>
      </c>
      <c r="BM131" s="1" t="s">
        <v>692</v>
      </c>
      <c r="BN131" s="1" t="s">
        <v>1113</v>
      </c>
      <c r="BP131" s="1">
        <v>5000000</v>
      </c>
      <c r="BR131" s="1" t="s">
        <v>69</v>
      </c>
      <c r="BS131" s="1" t="s">
        <v>69</v>
      </c>
      <c r="BT131" s="1" t="s">
        <v>574</v>
      </c>
      <c r="BU131" s="1" t="s">
        <v>456</v>
      </c>
      <c r="BV131" s="1" t="s">
        <v>555</v>
      </c>
      <c r="BY131" s="1" t="s">
        <v>558</v>
      </c>
      <c r="BZ131" s="1">
        <v>24</v>
      </c>
      <c r="CJ131" s="1">
        <v>2.25983</v>
      </c>
      <c r="CK131" s="1">
        <v>2.2573300000000001</v>
      </c>
      <c r="CL131" s="1">
        <v>2.26233</v>
      </c>
      <c r="CR131" s="1">
        <v>-17702.8616510006</v>
      </c>
      <c r="CS131" s="1">
        <v>-17828.919999999998</v>
      </c>
      <c r="CT131" s="1">
        <v>-17576.810000000001</v>
      </c>
      <c r="CU131" s="1">
        <v>-0.35410000000000003</v>
      </c>
      <c r="CZ131" s="1">
        <v>-17702.86</v>
      </c>
      <c r="DA131" s="1">
        <v>-17702.86</v>
      </c>
      <c r="DB131" s="1">
        <v>-12299.97</v>
      </c>
      <c r="DC131" s="1">
        <v>-5402.9</v>
      </c>
      <c r="DD131" s="2">
        <v>119.4</v>
      </c>
      <c r="DG131" s="1">
        <v>46.38</v>
      </c>
      <c r="DL131" s="1">
        <v>-5143374.13</v>
      </c>
      <c r="DM131" s="1">
        <v>-5012291.3499999996</v>
      </c>
      <c r="DN131" s="1">
        <v>-131082.78</v>
      </c>
      <c r="DO131" s="1">
        <v>3.3706999999999998</v>
      </c>
      <c r="DP131" s="1" t="s">
        <v>1114</v>
      </c>
      <c r="DQ131" s="1" t="s">
        <v>1114</v>
      </c>
      <c r="DS131" s="1">
        <v>5125671.26</v>
      </c>
      <c r="DT131" s="1">
        <v>4999991.38</v>
      </c>
      <c r="DU131" s="1">
        <v>125679.88</v>
      </c>
      <c r="DV131" s="1">
        <v>3.0196100000000001</v>
      </c>
      <c r="DW131" s="1" t="s">
        <v>1114</v>
      </c>
      <c r="DX131" s="1" t="s">
        <v>1114</v>
      </c>
      <c r="DY131" s="1" t="s">
        <v>765</v>
      </c>
      <c r="DZ131" s="1">
        <v>-19052</v>
      </c>
      <c r="EA131" s="1">
        <v>-16354</v>
      </c>
      <c r="ED131" s="1" t="s">
        <v>50</v>
      </c>
      <c r="EE131" s="1" t="s">
        <v>1115</v>
      </c>
      <c r="EF131" s="1" t="s">
        <v>53</v>
      </c>
      <c r="EG131" s="1" t="s">
        <v>1115</v>
      </c>
      <c r="EH131" s="1" t="s">
        <v>51</v>
      </c>
      <c r="EJ131" s="1" t="s">
        <v>55</v>
      </c>
      <c r="EL131" s="1" t="s">
        <v>57</v>
      </c>
    </row>
    <row r="132" spans="1:142" x14ac:dyDescent="0.2">
      <c r="A132" s="101">
        <v>73700280001</v>
      </c>
      <c r="B132" s="101">
        <v>73700280</v>
      </c>
      <c r="D132" s="1" t="s">
        <v>220</v>
      </c>
      <c r="E132" s="1" t="s">
        <v>44</v>
      </c>
      <c r="F132" s="1" t="s">
        <v>602</v>
      </c>
      <c r="I132" s="1">
        <v>89.92</v>
      </c>
      <c r="J132" s="1" t="s">
        <v>589</v>
      </c>
      <c r="V132" s="1" t="s">
        <v>274</v>
      </c>
      <c r="AI132" s="1" t="s">
        <v>551</v>
      </c>
      <c r="AJ132" s="1" t="s">
        <v>44</v>
      </c>
      <c r="AK132" s="1" t="s">
        <v>602</v>
      </c>
      <c r="AL132" s="1" t="s">
        <v>966</v>
      </c>
      <c r="AT132" s="1">
        <v>3.25</v>
      </c>
      <c r="AV132" s="1" t="s">
        <v>274</v>
      </c>
      <c r="AW132" s="1" t="s">
        <v>1106</v>
      </c>
      <c r="AX132" s="1">
        <v>11000000</v>
      </c>
      <c r="BA132" s="1" t="s">
        <v>69</v>
      </c>
      <c r="BB132" s="1" t="s">
        <v>560</v>
      </c>
      <c r="BG132" s="1" t="s">
        <v>556</v>
      </c>
      <c r="BY132" s="1" t="s">
        <v>556</v>
      </c>
      <c r="CR132" s="1">
        <v>-801135.53301073995</v>
      </c>
      <c r="CU132" s="1">
        <v>-7.2831000000000001</v>
      </c>
      <c r="DD132" s="2">
        <v>-14814.23</v>
      </c>
      <c r="DG132" s="1">
        <v>-657.34</v>
      </c>
      <c r="ED132" s="1" t="s">
        <v>50</v>
      </c>
      <c r="EE132" s="1" t="s">
        <v>1108</v>
      </c>
      <c r="EF132" s="1" t="s">
        <v>53</v>
      </c>
      <c r="EG132" s="1" t="s">
        <v>1108</v>
      </c>
      <c r="EH132" s="1" t="s">
        <v>51</v>
      </c>
      <c r="EJ132" s="1" t="s">
        <v>55</v>
      </c>
      <c r="EL132" s="1" t="s">
        <v>57</v>
      </c>
    </row>
    <row r="133" spans="1:142" x14ac:dyDescent="0.2">
      <c r="A133" s="101">
        <v>74667389001</v>
      </c>
      <c r="B133" s="101">
        <v>74667389</v>
      </c>
      <c r="D133" s="1" t="s">
        <v>824</v>
      </c>
      <c r="E133" s="1" t="s">
        <v>44</v>
      </c>
      <c r="F133" s="1" t="s">
        <v>602</v>
      </c>
      <c r="I133" s="1">
        <v>92.006659999999997</v>
      </c>
      <c r="J133" s="1" t="s">
        <v>589</v>
      </c>
      <c r="V133" s="1" t="s">
        <v>608</v>
      </c>
      <c r="AI133" s="1" t="s">
        <v>551</v>
      </c>
      <c r="AJ133" s="1" t="s">
        <v>44</v>
      </c>
      <c r="AK133" s="1" t="s">
        <v>602</v>
      </c>
      <c r="AL133" s="1" t="s">
        <v>851</v>
      </c>
      <c r="AT133" s="1">
        <v>3.25</v>
      </c>
      <c r="AV133" s="1" t="s">
        <v>608</v>
      </c>
      <c r="AW133" s="1" t="s">
        <v>1106</v>
      </c>
      <c r="AX133" s="1">
        <v>22000000</v>
      </c>
      <c r="BA133" s="1" t="s">
        <v>69</v>
      </c>
      <c r="BB133" s="1" t="s">
        <v>560</v>
      </c>
      <c r="CR133" s="1">
        <v>-1240034.88881264</v>
      </c>
      <c r="CU133" s="1">
        <v>-5.6364999999999998</v>
      </c>
      <c r="DD133" s="2">
        <v>-33071.68</v>
      </c>
      <c r="DG133" s="1">
        <v>-1125.53</v>
      </c>
      <c r="ED133" s="1" t="s">
        <v>50</v>
      </c>
      <c r="EE133" s="1" t="s">
        <v>1135</v>
      </c>
      <c r="EF133" s="1" t="s">
        <v>53</v>
      </c>
      <c r="EG133" s="1" t="s">
        <v>1135</v>
      </c>
      <c r="EH133" s="1" t="s">
        <v>51</v>
      </c>
      <c r="EJ133" s="1" t="s">
        <v>55</v>
      </c>
      <c r="EL133" s="1" t="s">
        <v>57</v>
      </c>
    </row>
    <row r="134" spans="1:142" x14ac:dyDescent="0.2">
      <c r="A134" s="101">
        <v>73700292001</v>
      </c>
      <c r="B134" s="101">
        <v>73700292</v>
      </c>
      <c r="D134" s="1" t="s">
        <v>220</v>
      </c>
      <c r="E134" s="1" t="s">
        <v>44</v>
      </c>
      <c r="F134" s="1" t="s">
        <v>602</v>
      </c>
      <c r="I134" s="1">
        <v>90.415000000000006</v>
      </c>
      <c r="J134" s="1" t="s">
        <v>589</v>
      </c>
      <c r="V134" s="1" t="s">
        <v>603</v>
      </c>
      <c r="AI134" s="1" t="s">
        <v>551</v>
      </c>
      <c r="AJ134" s="1" t="s">
        <v>44</v>
      </c>
      <c r="AK134" s="1" t="s">
        <v>602</v>
      </c>
      <c r="AL134" s="1" t="s">
        <v>966</v>
      </c>
      <c r="AT134" s="1">
        <v>3.25</v>
      </c>
      <c r="AV134" s="1" t="s">
        <v>603</v>
      </c>
      <c r="AW134" s="1" t="s">
        <v>1106</v>
      </c>
      <c r="AX134" s="1">
        <v>11000000</v>
      </c>
      <c r="BA134" s="1" t="s">
        <v>69</v>
      </c>
      <c r="BB134" s="1" t="s">
        <v>560</v>
      </c>
      <c r="BG134" s="1" t="s">
        <v>556</v>
      </c>
      <c r="BY134" s="1" t="s">
        <v>556</v>
      </c>
      <c r="CR134" s="1">
        <v>-678907.07206336595</v>
      </c>
      <c r="CU134" s="1">
        <v>-6.1718999999999999</v>
      </c>
      <c r="DD134" s="2">
        <v>-16039.11</v>
      </c>
      <c r="DG134" s="1">
        <v>-544.83000000000004</v>
      </c>
      <c r="ED134" s="1" t="s">
        <v>50</v>
      </c>
      <c r="EE134" s="1" t="s">
        <v>1109</v>
      </c>
      <c r="EF134" s="1" t="s">
        <v>53</v>
      </c>
      <c r="EG134" s="1" t="s">
        <v>1109</v>
      </c>
      <c r="EH134" s="1" t="s">
        <v>51</v>
      </c>
      <c r="EJ134" s="1" t="s">
        <v>55</v>
      </c>
      <c r="EL134" s="1" t="s">
        <v>57</v>
      </c>
    </row>
    <row r="135" spans="1:142" x14ac:dyDescent="0.2">
      <c r="A135" s="101">
        <v>74827030001</v>
      </c>
      <c r="B135" s="101">
        <v>74827030</v>
      </c>
      <c r="D135" s="1" t="s">
        <v>63</v>
      </c>
      <c r="E135" s="1" t="s">
        <v>44</v>
      </c>
      <c r="F135" s="1" t="s">
        <v>602</v>
      </c>
      <c r="I135" s="1">
        <v>90.911140000000003</v>
      </c>
      <c r="J135" s="1" t="s">
        <v>589</v>
      </c>
      <c r="V135" s="1" t="s">
        <v>608</v>
      </c>
      <c r="AI135" s="1" t="s">
        <v>551</v>
      </c>
      <c r="AJ135" s="1" t="s">
        <v>44</v>
      </c>
      <c r="AK135" s="1" t="s">
        <v>602</v>
      </c>
      <c r="AL135" s="1" t="s">
        <v>929</v>
      </c>
      <c r="AT135" s="1">
        <v>3.25</v>
      </c>
      <c r="AV135" s="1" t="s">
        <v>608</v>
      </c>
      <c r="AW135" s="1" t="s">
        <v>1106</v>
      </c>
      <c r="AX135" s="1">
        <v>16500000</v>
      </c>
      <c r="BA135" s="1" t="s">
        <v>69</v>
      </c>
      <c r="BB135" s="1" t="s">
        <v>560</v>
      </c>
      <c r="CR135" s="1">
        <v>-751463.72431022802</v>
      </c>
      <c r="CU135" s="1">
        <v>-4.5542999999999996</v>
      </c>
      <c r="DD135" s="2">
        <v>-24814.05</v>
      </c>
      <c r="DG135" s="1">
        <v>-834.75</v>
      </c>
      <c r="ED135" s="1" t="s">
        <v>50</v>
      </c>
      <c r="EE135" s="1" t="s">
        <v>1147</v>
      </c>
      <c r="EF135" s="1" t="s">
        <v>53</v>
      </c>
      <c r="EG135" s="1" t="s">
        <v>1147</v>
      </c>
      <c r="EH135" s="1" t="s">
        <v>51</v>
      </c>
      <c r="EJ135" s="1" t="s">
        <v>55</v>
      </c>
      <c r="EL135" s="1" t="s">
        <v>57</v>
      </c>
    </row>
    <row r="136" spans="1:142" x14ac:dyDescent="0.2">
      <c r="A136" s="101">
        <v>75429458001</v>
      </c>
      <c r="B136" s="101">
        <v>75429458</v>
      </c>
      <c r="D136" s="1" t="s">
        <v>75</v>
      </c>
      <c r="E136" s="1" t="s">
        <v>44</v>
      </c>
      <c r="F136" s="1" t="s">
        <v>583</v>
      </c>
      <c r="AI136" s="1" t="s">
        <v>551</v>
      </c>
      <c r="AJ136" s="1" t="s">
        <v>44</v>
      </c>
      <c r="AK136" s="1" t="s">
        <v>584</v>
      </c>
      <c r="AL136" s="1" t="s">
        <v>988</v>
      </c>
      <c r="AR136" s="1" t="s">
        <v>79</v>
      </c>
      <c r="AS136" s="1" t="s">
        <v>71</v>
      </c>
      <c r="AT136" s="1">
        <v>3.2616999999999998</v>
      </c>
      <c r="AV136" s="1" t="s">
        <v>791</v>
      </c>
      <c r="AW136" s="1" t="s">
        <v>1160</v>
      </c>
      <c r="AX136" s="1">
        <v>7717528</v>
      </c>
      <c r="BA136" s="1" t="s">
        <v>69</v>
      </c>
      <c r="BB136" s="1" t="s">
        <v>574</v>
      </c>
      <c r="BC136" s="1" t="s">
        <v>456</v>
      </c>
      <c r="BD136" s="1" t="s">
        <v>555</v>
      </c>
      <c r="BG136" s="1" t="s">
        <v>558</v>
      </c>
      <c r="BH136" s="1">
        <v>15</v>
      </c>
      <c r="BI136" s="1" t="s">
        <v>431</v>
      </c>
      <c r="BJ136" s="1" t="s">
        <v>67</v>
      </c>
      <c r="BK136" s="1" t="s">
        <v>440</v>
      </c>
      <c r="BL136" s="1">
        <v>0</v>
      </c>
      <c r="BM136" s="1" t="s">
        <v>791</v>
      </c>
      <c r="BN136" s="1" t="s">
        <v>1160</v>
      </c>
      <c r="BP136" s="1">
        <v>7717528</v>
      </c>
      <c r="BR136" s="1" t="s">
        <v>69</v>
      </c>
      <c r="BS136" s="1" t="s">
        <v>69</v>
      </c>
      <c r="BT136" s="1" t="s">
        <v>574</v>
      </c>
      <c r="BU136" s="1" t="s">
        <v>456</v>
      </c>
      <c r="BV136" s="1" t="s">
        <v>555</v>
      </c>
      <c r="BY136" s="1" t="s">
        <v>558</v>
      </c>
      <c r="BZ136" s="1">
        <v>15</v>
      </c>
      <c r="CJ136" s="1">
        <v>2.2225800000000002</v>
      </c>
      <c r="CK136" s="1">
        <v>2.2200799999999998</v>
      </c>
      <c r="CL136" s="1">
        <v>2.2250800000000002</v>
      </c>
      <c r="CR136" s="1">
        <v>-26179.921612866201</v>
      </c>
      <c r="CS136" s="1">
        <v>-26374.25</v>
      </c>
      <c r="CT136" s="1">
        <v>-25985.59</v>
      </c>
      <c r="CU136" s="1">
        <v>-0.3392</v>
      </c>
      <c r="CZ136" s="1">
        <v>-26179.919999999998</v>
      </c>
      <c r="DA136" s="1">
        <v>-26179.919999999998</v>
      </c>
      <c r="DB136" s="1">
        <v>-22188.81</v>
      </c>
      <c r="DC136" s="1">
        <v>-3991.11</v>
      </c>
      <c r="DD136" s="2">
        <v>229.56</v>
      </c>
      <c r="DG136" s="1">
        <v>76.45</v>
      </c>
      <c r="DL136" s="1">
        <v>-7920804.5099999998</v>
      </c>
      <c r="DM136" s="1">
        <v>-7739704.0800000001</v>
      </c>
      <c r="DN136" s="1">
        <v>-181100.43</v>
      </c>
      <c r="DO136" s="1">
        <v>3.2616999999999998</v>
      </c>
      <c r="DP136" s="1" t="s">
        <v>1161</v>
      </c>
      <c r="DQ136" s="1" t="s">
        <v>1161</v>
      </c>
      <c r="DS136" s="1">
        <v>7894624.5899999999</v>
      </c>
      <c r="DT136" s="1">
        <v>7717515.2599999998</v>
      </c>
      <c r="DU136" s="1">
        <v>177109.33</v>
      </c>
      <c r="DV136" s="1">
        <v>2.9249100000000001</v>
      </c>
      <c r="DW136" s="1" t="s">
        <v>1161</v>
      </c>
      <c r="DX136" s="1" t="s">
        <v>1161</v>
      </c>
      <c r="DY136" s="1" t="s">
        <v>988</v>
      </c>
      <c r="DZ136" s="1">
        <v>-28731</v>
      </c>
      <c r="EA136" s="1">
        <v>-23629</v>
      </c>
      <c r="ED136" s="1" t="s">
        <v>50</v>
      </c>
      <c r="EE136" s="1" t="s">
        <v>1162</v>
      </c>
      <c r="EF136" s="1" t="s">
        <v>53</v>
      </c>
      <c r="EG136" s="1" t="s">
        <v>1162</v>
      </c>
      <c r="EH136" s="1" t="s">
        <v>51</v>
      </c>
      <c r="EJ136" s="1" t="s">
        <v>55</v>
      </c>
      <c r="EL136" s="1" t="s">
        <v>57</v>
      </c>
    </row>
    <row r="137" spans="1:142" x14ac:dyDescent="0.2">
      <c r="A137" s="101">
        <v>73786116001</v>
      </c>
      <c r="B137" s="101">
        <v>73786116</v>
      </c>
      <c r="D137" s="1" t="s">
        <v>75</v>
      </c>
      <c r="E137" s="1" t="s">
        <v>44</v>
      </c>
      <c r="F137" s="1" t="s">
        <v>583</v>
      </c>
      <c r="AI137" s="1" t="s">
        <v>551</v>
      </c>
      <c r="AJ137" s="1" t="s">
        <v>44</v>
      </c>
      <c r="AK137" s="1" t="s">
        <v>584</v>
      </c>
      <c r="AL137" s="1" t="s">
        <v>842</v>
      </c>
      <c r="AR137" s="1" t="s">
        <v>79</v>
      </c>
      <c r="AS137" s="1" t="s">
        <v>71</v>
      </c>
      <c r="AT137" s="1">
        <v>3.4517000000000002</v>
      </c>
      <c r="AV137" s="1" t="s">
        <v>667</v>
      </c>
      <c r="AW137" s="1" t="s">
        <v>1110</v>
      </c>
      <c r="AX137" s="1">
        <v>28906871</v>
      </c>
      <c r="BA137" s="1" t="s">
        <v>69</v>
      </c>
      <c r="BB137" s="1" t="s">
        <v>574</v>
      </c>
      <c r="BC137" s="1" t="s">
        <v>456</v>
      </c>
      <c r="BD137" s="1" t="s">
        <v>555</v>
      </c>
      <c r="BG137" s="1" t="s">
        <v>558</v>
      </c>
      <c r="BH137" s="1">
        <v>13</v>
      </c>
      <c r="BI137" s="1" t="s">
        <v>431</v>
      </c>
      <c r="BJ137" s="1" t="s">
        <v>67</v>
      </c>
      <c r="BK137" s="1" t="s">
        <v>440</v>
      </c>
      <c r="BL137" s="1">
        <v>0</v>
      </c>
      <c r="BM137" s="1" t="s">
        <v>667</v>
      </c>
      <c r="BN137" s="1" t="s">
        <v>1110</v>
      </c>
      <c r="BP137" s="1">
        <v>28906871</v>
      </c>
      <c r="BR137" s="1" t="s">
        <v>69</v>
      </c>
      <c r="BS137" s="1" t="s">
        <v>1023</v>
      </c>
      <c r="BT137" s="1" t="s">
        <v>574</v>
      </c>
      <c r="BU137" s="1" t="s">
        <v>456</v>
      </c>
      <c r="BV137" s="1" t="s">
        <v>555</v>
      </c>
      <c r="BY137" s="1" t="s">
        <v>558</v>
      </c>
      <c r="BZ137" s="1">
        <v>13</v>
      </c>
      <c r="CJ137" s="1">
        <v>2.2820399999999998</v>
      </c>
      <c r="CK137" s="1">
        <v>2.2795399999999999</v>
      </c>
      <c r="CL137" s="1">
        <v>2.2845399999999998</v>
      </c>
      <c r="CR137" s="1">
        <v>-112161.79458335</v>
      </c>
      <c r="CS137" s="1">
        <v>-112888.95</v>
      </c>
      <c r="CT137" s="1">
        <v>-111434.64</v>
      </c>
      <c r="CU137" s="1">
        <v>-0.38800000000000001</v>
      </c>
      <c r="CZ137" s="1">
        <v>-112161.79</v>
      </c>
      <c r="DA137" s="1">
        <v>-112161.79</v>
      </c>
      <c r="DB137" s="1">
        <v>-65163.9</v>
      </c>
      <c r="DC137" s="1">
        <v>-46997.89</v>
      </c>
      <c r="DD137" s="2">
        <v>601.09</v>
      </c>
      <c r="DG137" s="1">
        <v>225.65</v>
      </c>
      <c r="DL137" s="1">
        <v>-29775644.129999999</v>
      </c>
      <c r="DM137" s="1">
        <v>-28971878.140000001</v>
      </c>
      <c r="DN137" s="1">
        <v>-803765.99</v>
      </c>
      <c r="DO137" s="1">
        <v>3.4517000000000002</v>
      </c>
      <c r="DP137" s="1" t="s">
        <v>740</v>
      </c>
      <c r="DQ137" s="1" t="s">
        <v>740</v>
      </c>
      <c r="DS137" s="1">
        <v>29663482.329999998</v>
      </c>
      <c r="DT137" s="1">
        <v>28906714.239999998</v>
      </c>
      <c r="DU137" s="1">
        <v>756768.1</v>
      </c>
      <c r="DV137" s="1">
        <v>3.0660799999999999</v>
      </c>
      <c r="DW137" s="1" t="s">
        <v>740</v>
      </c>
      <c r="DX137" s="1" t="s">
        <v>740</v>
      </c>
      <c r="DY137" s="1" t="s">
        <v>842</v>
      </c>
      <c r="DZ137" s="1">
        <v>-119020</v>
      </c>
      <c r="EA137" s="1">
        <v>-105303</v>
      </c>
      <c r="ED137" s="1" t="s">
        <v>50</v>
      </c>
      <c r="EE137" s="1" t="s">
        <v>1111</v>
      </c>
      <c r="EF137" s="1" t="s">
        <v>53</v>
      </c>
      <c r="EG137" s="1" t="s">
        <v>1111</v>
      </c>
      <c r="EH137" s="1" t="s">
        <v>51</v>
      </c>
      <c r="EJ137" s="1" t="s">
        <v>55</v>
      </c>
      <c r="EL137" s="1" t="s">
        <v>57</v>
      </c>
    </row>
    <row r="138" spans="1:142" x14ac:dyDescent="0.2">
      <c r="A138" s="101">
        <v>74897017001</v>
      </c>
      <c r="B138" s="101">
        <v>74897017</v>
      </c>
      <c r="D138" s="1" t="s">
        <v>824</v>
      </c>
      <c r="E138" s="1" t="s">
        <v>44</v>
      </c>
      <c r="F138" s="1" t="s">
        <v>583</v>
      </c>
      <c r="AI138" s="1" t="s">
        <v>551</v>
      </c>
      <c r="AJ138" s="1" t="s">
        <v>44</v>
      </c>
      <c r="AK138" s="1" t="s">
        <v>584</v>
      </c>
      <c r="AL138" s="1" t="s">
        <v>929</v>
      </c>
      <c r="AR138" s="1" t="s">
        <v>79</v>
      </c>
      <c r="AS138" s="1" t="s">
        <v>71</v>
      </c>
      <c r="AT138" s="1">
        <v>3.4306999999999999</v>
      </c>
      <c r="AV138" s="1" t="s">
        <v>868</v>
      </c>
      <c r="AW138" s="1" t="s">
        <v>1103</v>
      </c>
      <c r="AX138" s="1">
        <v>6000000</v>
      </c>
      <c r="BA138" s="1" t="s">
        <v>69</v>
      </c>
      <c r="BB138" s="1" t="s">
        <v>574</v>
      </c>
      <c r="BC138" s="1" t="s">
        <v>456</v>
      </c>
      <c r="BD138" s="1" t="s">
        <v>555</v>
      </c>
      <c r="BG138" s="1" t="s">
        <v>558</v>
      </c>
      <c r="BH138" s="1">
        <v>23</v>
      </c>
      <c r="BI138" s="1" t="s">
        <v>431</v>
      </c>
      <c r="BJ138" s="1" t="s">
        <v>67</v>
      </c>
      <c r="BK138" s="1" t="s">
        <v>440</v>
      </c>
      <c r="BL138" s="1">
        <v>0</v>
      </c>
      <c r="BM138" s="1" t="s">
        <v>868</v>
      </c>
      <c r="BN138" s="1" t="s">
        <v>1103</v>
      </c>
      <c r="BP138" s="1">
        <v>6000000</v>
      </c>
      <c r="BR138" s="1" t="s">
        <v>69</v>
      </c>
      <c r="BS138" s="1" t="s">
        <v>1023</v>
      </c>
      <c r="BT138" s="1" t="s">
        <v>574</v>
      </c>
      <c r="BU138" s="1" t="s">
        <v>456</v>
      </c>
      <c r="BV138" s="1" t="s">
        <v>555</v>
      </c>
      <c r="BY138" s="1" t="s">
        <v>558</v>
      </c>
      <c r="BZ138" s="1">
        <v>23</v>
      </c>
      <c r="CJ138" s="1">
        <v>2.4180000000000001</v>
      </c>
      <c r="CK138" s="1">
        <v>2.4155000000000002</v>
      </c>
      <c r="CL138" s="1">
        <v>2.4205000000000001</v>
      </c>
      <c r="CR138" s="1">
        <v>-13452.8426541463</v>
      </c>
      <c r="CS138" s="1">
        <v>-13574.73</v>
      </c>
      <c r="CT138" s="1">
        <v>-13330.96</v>
      </c>
      <c r="CU138" s="1">
        <v>-0.22420000000000001</v>
      </c>
      <c r="CZ138" s="1">
        <v>-13452.84</v>
      </c>
      <c r="DA138" s="1">
        <v>-13452.84</v>
      </c>
      <c r="DB138" s="1">
        <v>-3636.36</v>
      </c>
      <c r="DC138" s="1">
        <v>-9816.48</v>
      </c>
      <c r="DD138" s="2">
        <v>37.590000000000003</v>
      </c>
      <c r="DG138" s="1">
        <v>3.66</v>
      </c>
      <c r="DL138" s="1">
        <v>-6158008.0300000003</v>
      </c>
      <c r="DM138" s="1">
        <v>-6003626.5300000003</v>
      </c>
      <c r="DN138" s="1">
        <v>-154381.5</v>
      </c>
      <c r="DO138" s="1">
        <v>3.4306999999999999</v>
      </c>
      <c r="DP138" s="1" t="s">
        <v>1013</v>
      </c>
      <c r="DQ138" s="1" t="s">
        <v>1013</v>
      </c>
      <c r="DS138" s="1">
        <v>6144555.1900000004</v>
      </c>
      <c r="DT138" s="1">
        <v>5999990.1699999999</v>
      </c>
      <c r="DU138" s="1">
        <v>144565.01999999999</v>
      </c>
      <c r="DV138" s="1">
        <v>3.1547700000000001</v>
      </c>
      <c r="DW138" s="1" t="s">
        <v>1013</v>
      </c>
      <c r="DX138" s="1" t="s">
        <v>1013</v>
      </c>
      <c r="DY138" s="1" t="s">
        <v>929</v>
      </c>
      <c r="DZ138" s="1">
        <v>-13907</v>
      </c>
      <c r="EA138" s="1">
        <v>-12998</v>
      </c>
      <c r="ED138" s="1" t="s">
        <v>50</v>
      </c>
      <c r="EE138" s="1" t="s">
        <v>1154</v>
      </c>
      <c r="EF138" s="1" t="s">
        <v>53</v>
      </c>
      <c r="EG138" s="1" t="s">
        <v>1154</v>
      </c>
      <c r="EH138" s="1" t="s">
        <v>51</v>
      </c>
      <c r="EJ138" s="1" t="s">
        <v>55</v>
      </c>
      <c r="EL138" s="1" t="s">
        <v>57</v>
      </c>
    </row>
    <row r="139" spans="1:142" x14ac:dyDescent="0.2">
      <c r="A139" s="101">
        <v>75743384001</v>
      </c>
      <c r="B139" s="101">
        <v>75743384</v>
      </c>
      <c r="D139" s="1" t="s">
        <v>77</v>
      </c>
      <c r="E139" s="1" t="s">
        <v>44</v>
      </c>
      <c r="F139" s="1" t="s">
        <v>583</v>
      </c>
      <c r="AI139" s="1" t="s">
        <v>551</v>
      </c>
      <c r="AJ139" s="1" t="s">
        <v>44</v>
      </c>
      <c r="AK139" s="1" t="s">
        <v>584</v>
      </c>
      <c r="AL139" s="1" t="s">
        <v>949</v>
      </c>
      <c r="AR139" s="1" t="s">
        <v>79</v>
      </c>
      <c r="AS139" s="1" t="s">
        <v>71</v>
      </c>
      <c r="AT139" s="1">
        <v>3.2282000000000002</v>
      </c>
      <c r="AV139" s="1" t="s">
        <v>1032</v>
      </c>
      <c r="AW139" s="1" t="s">
        <v>1163</v>
      </c>
      <c r="AX139" s="1">
        <v>28960759</v>
      </c>
      <c r="BA139" s="1" t="s">
        <v>69</v>
      </c>
      <c r="BB139" s="1" t="s">
        <v>574</v>
      </c>
      <c r="BC139" s="1" t="s">
        <v>456</v>
      </c>
      <c r="BD139" s="1" t="s">
        <v>555</v>
      </c>
      <c r="BG139" s="1" t="s">
        <v>558</v>
      </c>
      <c r="BH139" s="1">
        <v>21</v>
      </c>
      <c r="BI139" s="1" t="s">
        <v>431</v>
      </c>
      <c r="BJ139" s="1" t="s">
        <v>67</v>
      </c>
      <c r="BK139" s="1" t="s">
        <v>440</v>
      </c>
      <c r="BL139" s="1">
        <v>0</v>
      </c>
      <c r="BM139" s="1" t="s">
        <v>1032</v>
      </c>
      <c r="BN139" s="1" t="s">
        <v>1163</v>
      </c>
      <c r="BP139" s="1">
        <v>28960759</v>
      </c>
      <c r="BR139" s="1" t="s">
        <v>69</v>
      </c>
      <c r="BS139" s="1" t="s">
        <v>69</v>
      </c>
      <c r="BT139" s="1" t="s">
        <v>574</v>
      </c>
      <c r="BU139" s="1" t="s">
        <v>456</v>
      </c>
      <c r="BV139" s="1" t="s">
        <v>555</v>
      </c>
      <c r="BY139" s="1" t="s">
        <v>558</v>
      </c>
      <c r="BZ139" s="1">
        <v>21</v>
      </c>
      <c r="CJ139" s="1">
        <v>2.2143600000000001</v>
      </c>
      <c r="CK139" s="1">
        <v>2.2118600000000002</v>
      </c>
      <c r="CL139" s="1">
        <v>2.2168600000000001</v>
      </c>
      <c r="CR139" s="1">
        <v>-95487.524495869904</v>
      </c>
      <c r="CS139" s="1">
        <v>-96220.52</v>
      </c>
      <c r="CT139" s="1">
        <v>-94754.53</v>
      </c>
      <c r="CU139" s="1">
        <v>-0.32969999999999999</v>
      </c>
      <c r="CZ139" s="1">
        <v>-95487.52</v>
      </c>
      <c r="DA139" s="1">
        <v>-95487.52</v>
      </c>
      <c r="DB139" s="1">
        <v>-85827.19</v>
      </c>
      <c r="DC139" s="1">
        <v>-9660.34</v>
      </c>
      <c r="DD139" s="2">
        <v>909.89</v>
      </c>
      <c r="DG139" s="1">
        <v>289.79000000000002</v>
      </c>
      <c r="DL139" s="1">
        <v>-29708767.390000001</v>
      </c>
      <c r="DM139" s="1">
        <v>-29046538.609999999</v>
      </c>
      <c r="DN139" s="1">
        <v>-662228.78</v>
      </c>
      <c r="DO139" s="1">
        <v>3.2282000000000002</v>
      </c>
      <c r="DP139" s="1" t="s">
        <v>1164</v>
      </c>
      <c r="DQ139" s="1" t="s">
        <v>1164</v>
      </c>
      <c r="DS139" s="1">
        <v>29613279.870000001</v>
      </c>
      <c r="DT139" s="1">
        <v>28960711.420000002</v>
      </c>
      <c r="DU139" s="1">
        <v>652568.44999999995</v>
      </c>
      <c r="DV139" s="1">
        <v>2.90252</v>
      </c>
      <c r="DW139" s="1" t="s">
        <v>1164</v>
      </c>
      <c r="DX139" s="1" t="s">
        <v>1164</v>
      </c>
      <c r="DY139" s="1" t="s">
        <v>949</v>
      </c>
      <c r="DZ139" s="1">
        <v>-105562</v>
      </c>
      <c r="EA139" s="1">
        <v>-85413</v>
      </c>
      <c r="ED139" s="1" t="s">
        <v>50</v>
      </c>
      <c r="EE139" s="1" t="s">
        <v>1165</v>
      </c>
      <c r="EF139" s="1" t="s">
        <v>53</v>
      </c>
      <c r="EG139" s="1" t="s">
        <v>1165</v>
      </c>
      <c r="EH139" s="1" t="s">
        <v>51</v>
      </c>
      <c r="EJ139" s="1" t="s">
        <v>55</v>
      </c>
      <c r="EL139" s="1" t="s">
        <v>57</v>
      </c>
    </row>
    <row r="140" spans="1:142" x14ac:dyDescent="0.2">
      <c r="A140" s="101">
        <v>73786122001</v>
      </c>
      <c r="B140" s="101">
        <v>73786122</v>
      </c>
      <c r="D140" s="1" t="s">
        <v>63</v>
      </c>
      <c r="E140" s="1" t="s">
        <v>44</v>
      </c>
      <c r="F140" s="1" t="s">
        <v>583</v>
      </c>
      <c r="AI140" s="1" t="s">
        <v>551</v>
      </c>
      <c r="AJ140" s="1" t="s">
        <v>44</v>
      </c>
      <c r="AK140" s="1" t="s">
        <v>584</v>
      </c>
      <c r="AL140" s="1" t="s">
        <v>842</v>
      </c>
      <c r="AR140" s="1" t="s">
        <v>79</v>
      </c>
      <c r="AS140" s="1" t="s">
        <v>71</v>
      </c>
      <c r="AT140" s="1">
        <v>3.4112</v>
      </c>
      <c r="AV140" s="1" t="s">
        <v>667</v>
      </c>
      <c r="AW140" s="1" t="s">
        <v>1110</v>
      </c>
      <c r="AX140" s="1">
        <v>19278760</v>
      </c>
      <c r="BA140" s="1" t="s">
        <v>69</v>
      </c>
      <c r="BB140" s="1" t="s">
        <v>574</v>
      </c>
      <c r="BC140" s="1" t="s">
        <v>456</v>
      </c>
      <c r="BD140" s="1" t="s">
        <v>555</v>
      </c>
      <c r="BG140" s="1" t="s">
        <v>558</v>
      </c>
      <c r="BH140" s="1">
        <v>13</v>
      </c>
      <c r="BI140" s="1" t="s">
        <v>431</v>
      </c>
      <c r="BJ140" s="1" t="s">
        <v>67</v>
      </c>
      <c r="BK140" s="1" t="s">
        <v>440</v>
      </c>
      <c r="BL140" s="1">
        <v>0</v>
      </c>
      <c r="BM140" s="1" t="s">
        <v>667</v>
      </c>
      <c r="BN140" s="1" t="s">
        <v>1110</v>
      </c>
      <c r="BP140" s="1">
        <v>19278760</v>
      </c>
      <c r="BR140" s="1" t="s">
        <v>69</v>
      </c>
      <c r="BS140" s="1" t="s">
        <v>1023</v>
      </c>
      <c r="BT140" s="1" t="s">
        <v>574</v>
      </c>
      <c r="BU140" s="1" t="s">
        <v>456</v>
      </c>
      <c r="BV140" s="1" t="s">
        <v>555</v>
      </c>
      <c r="BY140" s="1" t="s">
        <v>558</v>
      </c>
      <c r="BZ140" s="1">
        <v>13</v>
      </c>
      <c r="CJ140" s="1">
        <v>2.2820399999999998</v>
      </c>
      <c r="CK140" s="1">
        <v>2.2795399999999999</v>
      </c>
      <c r="CL140" s="1">
        <v>2.2845399999999998</v>
      </c>
      <c r="CR140" s="1">
        <v>-66947.340305507198</v>
      </c>
      <c r="CS140" s="1">
        <v>-67432.3</v>
      </c>
      <c r="CT140" s="1">
        <v>-66462.38</v>
      </c>
      <c r="CU140" s="1">
        <v>-0.3473</v>
      </c>
      <c r="CZ140" s="1">
        <v>-66947.34</v>
      </c>
      <c r="DA140" s="1">
        <v>-66947.34</v>
      </c>
      <c r="DB140" s="1">
        <v>-41892.89</v>
      </c>
      <c r="DC140" s="1">
        <v>-25054.45</v>
      </c>
      <c r="DD140" s="2">
        <v>400.72</v>
      </c>
      <c r="DG140" s="1">
        <v>150.94999999999999</v>
      </c>
      <c r="DL140" s="1">
        <v>-19850311.530000001</v>
      </c>
      <c r="DM140" s="1">
        <v>-19320548.34</v>
      </c>
      <c r="DN140" s="1">
        <v>-529763.18999999994</v>
      </c>
      <c r="DO140" s="1">
        <v>3.4112</v>
      </c>
      <c r="DP140" s="1" t="s">
        <v>740</v>
      </c>
      <c r="DQ140" s="1" t="s">
        <v>740</v>
      </c>
      <c r="DS140" s="1">
        <v>19783364.190000001</v>
      </c>
      <c r="DT140" s="1">
        <v>19278655.449999999</v>
      </c>
      <c r="DU140" s="1">
        <v>504708.74</v>
      </c>
      <c r="DV140" s="1">
        <v>3.0660799999999999</v>
      </c>
      <c r="DW140" s="1" t="s">
        <v>740</v>
      </c>
      <c r="DX140" s="1" t="s">
        <v>740</v>
      </c>
      <c r="DY140" s="1" t="s">
        <v>842</v>
      </c>
      <c r="DZ140" s="1">
        <v>-71520</v>
      </c>
      <c r="EA140" s="1">
        <v>-62375</v>
      </c>
      <c r="ED140" s="1" t="s">
        <v>50</v>
      </c>
      <c r="EE140" s="1" t="s">
        <v>1112</v>
      </c>
      <c r="EF140" s="1" t="s">
        <v>53</v>
      </c>
      <c r="EG140" s="1" t="s">
        <v>1112</v>
      </c>
      <c r="EH140" s="1" t="s">
        <v>51</v>
      </c>
      <c r="EJ140" s="1" t="s">
        <v>55</v>
      </c>
      <c r="EL140" s="1" t="s">
        <v>57</v>
      </c>
    </row>
    <row r="141" spans="1:142" x14ac:dyDescent="0.2">
      <c r="A141" s="101">
        <v>74897021001</v>
      </c>
      <c r="B141" s="101">
        <v>74897021</v>
      </c>
      <c r="D141" s="1" t="s">
        <v>43</v>
      </c>
      <c r="E141" s="1" t="s">
        <v>44</v>
      </c>
      <c r="F141" s="1" t="s">
        <v>583</v>
      </c>
      <c r="AI141" s="1" t="s">
        <v>551</v>
      </c>
      <c r="AJ141" s="1" t="s">
        <v>44</v>
      </c>
      <c r="AK141" s="1" t="s">
        <v>584</v>
      </c>
      <c r="AL141" s="1" t="s">
        <v>929</v>
      </c>
      <c r="AR141" s="1" t="s">
        <v>79</v>
      </c>
      <c r="AS141" s="1" t="s">
        <v>71</v>
      </c>
      <c r="AT141" s="1">
        <v>3.3807</v>
      </c>
      <c r="AV141" s="1" t="s">
        <v>868</v>
      </c>
      <c r="AW141" s="1" t="s">
        <v>1148</v>
      </c>
      <c r="AX141" s="1">
        <v>13560221</v>
      </c>
      <c r="BA141" s="1" t="s">
        <v>69</v>
      </c>
      <c r="BB141" s="1" t="s">
        <v>574</v>
      </c>
      <c r="BC141" s="1" t="s">
        <v>456</v>
      </c>
      <c r="BD141" s="1" t="s">
        <v>555</v>
      </c>
      <c r="BG141" s="1" t="s">
        <v>558</v>
      </c>
      <c r="BH141" s="1">
        <v>2</v>
      </c>
      <c r="BI141" s="1" t="s">
        <v>431</v>
      </c>
      <c r="BJ141" s="1" t="s">
        <v>67</v>
      </c>
      <c r="BK141" s="1" t="s">
        <v>440</v>
      </c>
      <c r="BL141" s="1">
        <v>0</v>
      </c>
      <c r="BM141" s="1" t="s">
        <v>868</v>
      </c>
      <c r="BN141" s="1" t="s">
        <v>1148</v>
      </c>
      <c r="BP141" s="1">
        <v>13560221</v>
      </c>
      <c r="BR141" s="1" t="s">
        <v>69</v>
      </c>
      <c r="BS141" s="1" t="s">
        <v>1023</v>
      </c>
      <c r="BT141" s="1" t="s">
        <v>574</v>
      </c>
      <c r="BU141" s="1" t="s">
        <v>456</v>
      </c>
      <c r="BV141" s="1" t="s">
        <v>555</v>
      </c>
      <c r="BY141" s="1" t="s">
        <v>558</v>
      </c>
      <c r="BZ141" s="1">
        <v>2</v>
      </c>
      <c r="CJ141" s="1">
        <v>2.3014999999999999</v>
      </c>
      <c r="CK141" s="1">
        <v>2.2989999999999999</v>
      </c>
      <c r="CL141" s="1">
        <v>2.3039999999999998</v>
      </c>
      <c r="CR141" s="1">
        <v>-41129.963771998897</v>
      </c>
      <c r="CS141" s="1">
        <v>-41442.26</v>
      </c>
      <c r="CT141" s="1">
        <v>-40817.660000000003</v>
      </c>
      <c r="CU141" s="1">
        <v>-0.30330000000000001</v>
      </c>
      <c r="CZ141" s="1">
        <v>-41129.96</v>
      </c>
      <c r="DA141" s="1">
        <v>-41129.96</v>
      </c>
      <c r="DB141" s="1">
        <v>-24029.439999999999</v>
      </c>
      <c r="DC141" s="1">
        <v>-17100.53</v>
      </c>
      <c r="DD141" s="2">
        <v>238.96</v>
      </c>
      <c r="DG141" s="1">
        <v>78.959999999999994</v>
      </c>
      <c r="DL141" s="1">
        <v>-13928050.43</v>
      </c>
      <c r="DM141" s="1">
        <v>-13584227.630000001</v>
      </c>
      <c r="DN141" s="1">
        <v>-343822.79</v>
      </c>
      <c r="DO141" s="1">
        <v>3.3807</v>
      </c>
      <c r="DP141" s="1" t="s">
        <v>1149</v>
      </c>
      <c r="DQ141" s="1" t="s">
        <v>1149</v>
      </c>
      <c r="DS141" s="1">
        <v>13886920.460000001</v>
      </c>
      <c r="DT141" s="1">
        <v>13560198.199999999</v>
      </c>
      <c r="DU141" s="1">
        <v>326722.27</v>
      </c>
      <c r="DV141" s="1">
        <v>3.05145</v>
      </c>
      <c r="DW141" s="1" t="s">
        <v>1149</v>
      </c>
      <c r="DX141" s="1" t="s">
        <v>1149</v>
      </c>
      <c r="DY141" s="1" t="s">
        <v>929</v>
      </c>
      <c r="DZ141" s="1">
        <v>-43880</v>
      </c>
      <c r="EA141" s="1">
        <v>-38380</v>
      </c>
      <c r="ED141" s="1" t="s">
        <v>50</v>
      </c>
      <c r="EE141" s="1" t="s">
        <v>1150</v>
      </c>
      <c r="EF141" s="1" t="s">
        <v>53</v>
      </c>
      <c r="EG141" s="1" t="s">
        <v>1150</v>
      </c>
      <c r="EH141" s="1" t="s">
        <v>51</v>
      </c>
      <c r="EJ141" s="1" t="s">
        <v>55</v>
      </c>
      <c r="EL141" s="1" t="s">
        <v>57</v>
      </c>
    </row>
    <row r="142" spans="1:142" x14ac:dyDescent="0.2">
      <c r="A142" s="101">
        <v>74962238001</v>
      </c>
      <c r="B142" s="101">
        <v>74962238</v>
      </c>
      <c r="D142" s="1" t="s">
        <v>63</v>
      </c>
      <c r="E142" s="1" t="s">
        <v>44</v>
      </c>
      <c r="F142" s="1" t="s">
        <v>583</v>
      </c>
      <c r="AI142" s="1" t="s">
        <v>551</v>
      </c>
      <c r="AJ142" s="1" t="s">
        <v>44</v>
      </c>
      <c r="AK142" s="1" t="s">
        <v>584</v>
      </c>
      <c r="AL142" s="1" t="s">
        <v>867</v>
      </c>
      <c r="AR142" s="1" t="s">
        <v>79</v>
      </c>
      <c r="AS142" s="1" t="s">
        <v>71</v>
      </c>
      <c r="AT142" s="1">
        <v>3.3652000000000002</v>
      </c>
      <c r="AV142" s="1" t="s">
        <v>794</v>
      </c>
      <c r="AW142" s="1" t="s">
        <v>1152</v>
      </c>
      <c r="AX142" s="1">
        <v>28923778</v>
      </c>
      <c r="BA142" s="1" t="s">
        <v>69</v>
      </c>
      <c r="BB142" s="1" t="s">
        <v>574</v>
      </c>
      <c r="BC142" s="1" t="s">
        <v>456</v>
      </c>
      <c r="BD142" s="1" t="s">
        <v>555</v>
      </c>
      <c r="BG142" s="1" t="s">
        <v>558</v>
      </c>
      <c r="BH142" s="1">
        <v>4</v>
      </c>
      <c r="BI142" s="1" t="s">
        <v>431</v>
      </c>
      <c r="BJ142" s="1" t="s">
        <v>67</v>
      </c>
      <c r="BK142" s="1" t="s">
        <v>440</v>
      </c>
      <c r="BL142" s="1">
        <v>0</v>
      </c>
      <c r="BM142" s="1" t="s">
        <v>794</v>
      </c>
      <c r="BN142" s="1" t="s">
        <v>1152</v>
      </c>
      <c r="BP142" s="1">
        <v>28923778</v>
      </c>
      <c r="BR142" s="1" t="s">
        <v>69</v>
      </c>
      <c r="BS142" s="1" t="s">
        <v>1023</v>
      </c>
      <c r="BT142" s="1" t="s">
        <v>574</v>
      </c>
      <c r="BU142" s="1" t="s">
        <v>456</v>
      </c>
      <c r="BV142" s="1" t="s">
        <v>555</v>
      </c>
      <c r="BY142" s="1" t="s">
        <v>558</v>
      </c>
      <c r="BZ142" s="1">
        <v>4</v>
      </c>
      <c r="CJ142" s="1">
        <v>2.2402700000000002</v>
      </c>
      <c r="CK142" s="1">
        <v>2.2377699999999998</v>
      </c>
      <c r="CL142" s="1">
        <v>2.2427700000000002</v>
      </c>
      <c r="CR142" s="1">
        <v>-114174.023918394</v>
      </c>
      <c r="CS142" s="1">
        <v>-114900.72</v>
      </c>
      <c r="CT142" s="1">
        <v>-113447.32</v>
      </c>
      <c r="CU142" s="1">
        <v>-0.3947</v>
      </c>
      <c r="CZ142" s="1">
        <v>-114174.02</v>
      </c>
      <c r="DA142" s="1">
        <v>-114174.02</v>
      </c>
      <c r="DB142" s="1">
        <v>-80751.34</v>
      </c>
      <c r="DC142" s="1">
        <v>-33422.68</v>
      </c>
      <c r="DD142" s="2">
        <v>771.89</v>
      </c>
      <c r="DG142" s="1">
        <v>286.95</v>
      </c>
      <c r="DL142" s="1">
        <v>-29731685.539999999</v>
      </c>
      <c r="DM142" s="1">
        <v>-29004382.039999999</v>
      </c>
      <c r="DN142" s="1">
        <v>-727303.5</v>
      </c>
      <c r="DO142" s="1">
        <v>3.3652000000000002</v>
      </c>
      <c r="DP142" s="1" t="s">
        <v>795</v>
      </c>
      <c r="DQ142" s="1" t="s">
        <v>795</v>
      </c>
      <c r="DS142" s="1">
        <v>29617511.52</v>
      </c>
      <c r="DT142" s="1">
        <v>28923630.699999999</v>
      </c>
      <c r="DU142" s="1">
        <v>693880.82</v>
      </c>
      <c r="DV142" s="1">
        <v>2.9724200000000001</v>
      </c>
      <c r="DW142" s="1" t="s">
        <v>795</v>
      </c>
      <c r="DX142" s="1" t="s">
        <v>795</v>
      </c>
      <c r="DY142" s="1" t="s">
        <v>867</v>
      </c>
      <c r="DZ142" s="1">
        <v>-122820</v>
      </c>
      <c r="EA142" s="1">
        <v>-105528</v>
      </c>
      <c r="ED142" s="1" t="s">
        <v>50</v>
      </c>
      <c r="EE142" s="1" t="s">
        <v>1153</v>
      </c>
      <c r="EF142" s="1" t="s">
        <v>53</v>
      </c>
      <c r="EG142" s="1" t="s">
        <v>1153</v>
      </c>
      <c r="EH142" s="1" t="s">
        <v>51</v>
      </c>
      <c r="EJ142" s="1" t="s">
        <v>55</v>
      </c>
      <c r="EL142" s="1" t="s">
        <v>57</v>
      </c>
    </row>
    <row r="143" spans="1:142" x14ac:dyDescent="0.2">
      <c r="A143" s="101">
        <v>74068495001</v>
      </c>
      <c r="B143" s="101">
        <v>74068495</v>
      </c>
      <c r="D143" s="1" t="s">
        <v>63</v>
      </c>
      <c r="E143" s="1" t="s">
        <v>44</v>
      </c>
      <c r="F143" s="1" t="s">
        <v>583</v>
      </c>
      <c r="AI143" s="1" t="s">
        <v>551</v>
      </c>
      <c r="AJ143" s="1" t="s">
        <v>44</v>
      </c>
      <c r="AK143" s="1" t="s">
        <v>584</v>
      </c>
      <c r="AL143" s="1" t="s">
        <v>671</v>
      </c>
      <c r="AR143" s="1" t="s">
        <v>79</v>
      </c>
      <c r="AS143" s="1" t="s">
        <v>71</v>
      </c>
      <c r="AT143" s="1">
        <v>3.4016999999999999</v>
      </c>
      <c r="AV143" s="1" t="s">
        <v>765</v>
      </c>
      <c r="AW143" s="1" t="s">
        <v>938</v>
      </c>
      <c r="AX143" s="1">
        <v>5870866</v>
      </c>
      <c r="BA143" s="1" t="s">
        <v>69</v>
      </c>
      <c r="BB143" s="1" t="s">
        <v>574</v>
      </c>
      <c r="BC143" s="1" t="s">
        <v>456</v>
      </c>
      <c r="BD143" s="1" t="s">
        <v>555</v>
      </c>
      <c r="BG143" s="1" t="s">
        <v>558</v>
      </c>
      <c r="BH143" s="1">
        <v>28</v>
      </c>
      <c r="BI143" s="1" t="s">
        <v>431</v>
      </c>
      <c r="BJ143" s="1" t="s">
        <v>67</v>
      </c>
      <c r="BK143" s="1" t="s">
        <v>440</v>
      </c>
      <c r="BL143" s="1">
        <v>0</v>
      </c>
      <c r="BM143" s="1" t="s">
        <v>765</v>
      </c>
      <c r="BN143" s="1" t="s">
        <v>938</v>
      </c>
      <c r="BP143" s="1">
        <v>5870866</v>
      </c>
      <c r="BR143" s="1" t="s">
        <v>69</v>
      </c>
      <c r="BS143" s="1" t="s">
        <v>1023</v>
      </c>
      <c r="BT143" s="1" t="s">
        <v>574</v>
      </c>
      <c r="BU143" s="1" t="s">
        <v>456</v>
      </c>
      <c r="BV143" s="1" t="s">
        <v>555</v>
      </c>
      <c r="BY143" s="1" t="s">
        <v>558</v>
      </c>
      <c r="BZ143" s="1">
        <v>28</v>
      </c>
      <c r="CJ143" s="1">
        <v>2.3087900000000001</v>
      </c>
      <c r="CK143" s="1">
        <v>2.3062900000000002</v>
      </c>
      <c r="CL143" s="1">
        <v>2.3112900000000001</v>
      </c>
      <c r="CR143" s="1">
        <v>-17203.5086504174</v>
      </c>
      <c r="CS143" s="1">
        <v>-17342.419999999998</v>
      </c>
      <c r="CT143" s="1">
        <v>-17064.599999999999</v>
      </c>
      <c r="CU143" s="1">
        <v>-0.29299999999999998</v>
      </c>
      <c r="CZ143" s="1">
        <v>-17203.509999999998</v>
      </c>
      <c r="DA143" s="1">
        <v>-17203.509999999998</v>
      </c>
      <c r="DB143" s="1">
        <v>-9675.24</v>
      </c>
      <c r="DC143" s="1">
        <v>-7528.27</v>
      </c>
      <c r="DD143" s="2">
        <v>95.27</v>
      </c>
      <c r="DG143" s="1">
        <v>31.47</v>
      </c>
      <c r="DL143" s="1">
        <v>-6038079.2699999996</v>
      </c>
      <c r="DM143" s="1">
        <v>-5880530.8600000003</v>
      </c>
      <c r="DN143" s="1">
        <v>-157548.41</v>
      </c>
      <c r="DO143" s="1">
        <v>3.4016999999999999</v>
      </c>
      <c r="DP143" s="1" t="s">
        <v>759</v>
      </c>
      <c r="DQ143" s="1" t="s">
        <v>759</v>
      </c>
      <c r="DS143" s="1">
        <v>6020875.7599999998</v>
      </c>
      <c r="DT143" s="1">
        <v>5870855.6200000001</v>
      </c>
      <c r="DU143" s="1">
        <v>150020.14000000001</v>
      </c>
      <c r="DV143" s="1">
        <v>3.0920800000000002</v>
      </c>
      <c r="DW143" s="1" t="s">
        <v>759</v>
      </c>
      <c r="DX143" s="1" t="s">
        <v>759</v>
      </c>
      <c r="DY143" s="1" t="s">
        <v>671</v>
      </c>
      <c r="DZ143" s="1">
        <v>-18303</v>
      </c>
      <c r="EA143" s="1">
        <v>-16104</v>
      </c>
      <c r="ED143" s="1" t="s">
        <v>50</v>
      </c>
      <c r="EE143" s="1" t="s">
        <v>1118</v>
      </c>
      <c r="EF143" s="1" t="s">
        <v>53</v>
      </c>
      <c r="EG143" s="1" t="s">
        <v>1118</v>
      </c>
      <c r="EH143" s="1" t="s">
        <v>51</v>
      </c>
      <c r="EJ143" s="1" t="s">
        <v>55</v>
      </c>
      <c r="EL143" s="1" t="s">
        <v>57</v>
      </c>
    </row>
    <row r="144" spans="1:142" x14ac:dyDescent="0.2">
      <c r="A144" s="101">
        <v>75743471001</v>
      </c>
      <c r="B144" s="101">
        <v>75743471</v>
      </c>
      <c r="D144" s="1" t="s">
        <v>75</v>
      </c>
      <c r="E144" s="1" t="s">
        <v>44</v>
      </c>
      <c r="F144" s="1" t="s">
        <v>583</v>
      </c>
      <c r="AI144" s="1" t="s">
        <v>551</v>
      </c>
      <c r="AJ144" s="1" t="s">
        <v>44</v>
      </c>
      <c r="AK144" s="1" t="s">
        <v>584</v>
      </c>
      <c r="AL144" s="1" t="s">
        <v>949</v>
      </c>
      <c r="AR144" s="1" t="s">
        <v>79</v>
      </c>
      <c r="AS144" s="1" t="s">
        <v>71</v>
      </c>
      <c r="AT144" s="1">
        <v>3.3637000000000001</v>
      </c>
      <c r="AV144" s="1" t="s">
        <v>1032</v>
      </c>
      <c r="AW144" s="1" t="s">
        <v>1016</v>
      </c>
      <c r="AX144" s="1">
        <v>48639585</v>
      </c>
      <c r="BA144" s="1" t="s">
        <v>69</v>
      </c>
      <c r="BB144" s="1" t="s">
        <v>574</v>
      </c>
      <c r="BC144" s="1" t="s">
        <v>456</v>
      </c>
      <c r="BD144" s="1" t="s">
        <v>555</v>
      </c>
      <c r="BG144" s="1" t="s">
        <v>558</v>
      </c>
      <c r="BH144" s="1">
        <v>22</v>
      </c>
      <c r="BI144" s="1" t="s">
        <v>431</v>
      </c>
      <c r="BJ144" s="1" t="s">
        <v>67</v>
      </c>
      <c r="BK144" s="1" t="s">
        <v>440</v>
      </c>
      <c r="BL144" s="1">
        <v>0</v>
      </c>
      <c r="BM144" s="1" t="s">
        <v>1032</v>
      </c>
      <c r="BN144" s="1" t="s">
        <v>1016</v>
      </c>
      <c r="BP144" s="1">
        <v>48639585</v>
      </c>
      <c r="BR144" s="1" t="s">
        <v>69</v>
      </c>
      <c r="BS144" s="1" t="s">
        <v>1023</v>
      </c>
      <c r="BT144" s="1" t="s">
        <v>574</v>
      </c>
      <c r="BU144" s="1" t="s">
        <v>456</v>
      </c>
      <c r="BV144" s="1" t="s">
        <v>555</v>
      </c>
      <c r="BY144" s="1" t="s">
        <v>558</v>
      </c>
      <c r="BZ144" s="1">
        <v>22</v>
      </c>
      <c r="CJ144" s="1">
        <v>2.4192800000000001</v>
      </c>
      <c r="CK144" s="1">
        <v>2.4167800000000002</v>
      </c>
      <c r="CL144" s="1">
        <v>2.42178</v>
      </c>
      <c r="CR144" s="1">
        <v>-89220.903387613595</v>
      </c>
      <c r="CS144" s="1">
        <v>-90155.1</v>
      </c>
      <c r="CT144" s="1">
        <v>-88286.71</v>
      </c>
      <c r="CU144" s="1">
        <v>-0.18340000000000001</v>
      </c>
      <c r="CZ144" s="1">
        <v>-89220.9</v>
      </c>
      <c r="DA144" s="1">
        <v>-89220.9</v>
      </c>
      <c r="DB144" s="1">
        <v>-26312.5</v>
      </c>
      <c r="DC144" s="1">
        <v>-62908.4</v>
      </c>
      <c r="DD144" s="2">
        <v>290.3</v>
      </c>
      <c r="DG144" s="1">
        <v>9.39</v>
      </c>
      <c r="DL144" s="1">
        <v>-49824718.609999999</v>
      </c>
      <c r="DM144" s="1">
        <v>-48665821.719999999</v>
      </c>
      <c r="DN144" s="1">
        <v>-1158896.8899999999</v>
      </c>
      <c r="DO144" s="1">
        <v>3.3637000000000001</v>
      </c>
      <c r="DP144" s="1" t="s">
        <v>1103</v>
      </c>
      <c r="DQ144" s="1" t="s">
        <v>1103</v>
      </c>
      <c r="DS144" s="1">
        <v>49735497.710000001</v>
      </c>
      <c r="DT144" s="1">
        <v>48639509.219999999</v>
      </c>
      <c r="DU144" s="1">
        <v>1095988.49</v>
      </c>
      <c r="DV144" s="1">
        <v>3.1249400000000001</v>
      </c>
      <c r="DW144" s="1" t="s">
        <v>1103</v>
      </c>
      <c r="DX144" s="1" t="s">
        <v>1103</v>
      </c>
      <c r="DY144" s="1" t="s">
        <v>949</v>
      </c>
      <c r="DZ144" s="1">
        <v>-92732</v>
      </c>
      <c r="EA144" s="1">
        <v>-85709</v>
      </c>
      <c r="ED144" s="1" t="s">
        <v>50</v>
      </c>
      <c r="EE144" s="1" t="s">
        <v>1166</v>
      </c>
      <c r="EF144" s="1" t="s">
        <v>53</v>
      </c>
      <c r="EG144" s="1" t="s">
        <v>1166</v>
      </c>
      <c r="EH144" s="1" t="s">
        <v>51</v>
      </c>
      <c r="EJ144" s="1" t="s">
        <v>55</v>
      </c>
      <c r="EL144" s="1" t="s">
        <v>57</v>
      </c>
    </row>
    <row r="145" spans="1:142" x14ac:dyDescent="0.2">
      <c r="A145" s="101">
        <v>75341737001</v>
      </c>
      <c r="B145" s="101">
        <v>75341737</v>
      </c>
      <c r="D145" s="1" t="s">
        <v>63</v>
      </c>
      <c r="E145" s="1" t="s">
        <v>44</v>
      </c>
      <c r="F145" s="1" t="s">
        <v>583</v>
      </c>
      <c r="AI145" s="1" t="s">
        <v>551</v>
      </c>
      <c r="AJ145" s="1" t="s">
        <v>44</v>
      </c>
      <c r="AK145" s="1" t="s">
        <v>584</v>
      </c>
      <c r="AL145" s="1" t="s">
        <v>1157</v>
      </c>
      <c r="AR145" s="1" t="s">
        <v>79</v>
      </c>
      <c r="AS145" s="1" t="s">
        <v>71</v>
      </c>
      <c r="AT145" s="1">
        <v>3.3287</v>
      </c>
      <c r="AV145" s="1" t="s">
        <v>925</v>
      </c>
      <c r="AW145" s="1" t="s">
        <v>1158</v>
      </c>
      <c r="AX145" s="1">
        <v>24103149</v>
      </c>
      <c r="BA145" s="1" t="s">
        <v>69</v>
      </c>
      <c r="BB145" s="1" t="s">
        <v>574</v>
      </c>
      <c r="BC145" s="1" t="s">
        <v>456</v>
      </c>
      <c r="BD145" s="1" t="s">
        <v>555</v>
      </c>
      <c r="BG145" s="1" t="s">
        <v>558</v>
      </c>
      <c r="BH145" s="1">
        <v>11</v>
      </c>
      <c r="BI145" s="1" t="s">
        <v>431</v>
      </c>
      <c r="BJ145" s="1" t="s">
        <v>67</v>
      </c>
      <c r="BK145" s="1" t="s">
        <v>440</v>
      </c>
      <c r="BL145" s="1">
        <v>0</v>
      </c>
      <c r="BM145" s="1" t="s">
        <v>925</v>
      </c>
      <c r="BN145" s="1" t="s">
        <v>1158</v>
      </c>
      <c r="BP145" s="1">
        <v>24103149</v>
      </c>
      <c r="BR145" s="1" t="s">
        <v>69</v>
      </c>
      <c r="BS145" s="1" t="s">
        <v>1023</v>
      </c>
      <c r="BT145" s="1" t="s">
        <v>574</v>
      </c>
      <c r="BU145" s="1" t="s">
        <v>456</v>
      </c>
      <c r="BV145" s="1" t="s">
        <v>555</v>
      </c>
      <c r="BY145" s="1" t="s">
        <v>558</v>
      </c>
      <c r="BZ145" s="1">
        <v>11</v>
      </c>
      <c r="CJ145" s="1">
        <v>2.2285400000000002</v>
      </c>
      <c r="CK145" s="1">
        <v>2.2260399999999998</v>
      </c>
      <c r="CL145" s="1">
        <v>2.2310400000000001</v>
      </c>
      <c r="CR145" s="1">
        <v>-93950.946360964299</v>
      </c>
      <c r="CS145" s="1">
        <v>-94556.29</v>
      </c>
      <c r="CT145" s="1">
        <v>-93345.61</v>
      </c>
      <c r="CU145" s="1">
        <v>-0.38979999999999998</v>
      </c>
      <c r="CZ145" s="1">
        <v>-93950.95</v>
      </c>
      <c r="DA145" s="1">
        <v>-93950.95</v>
      </c>
      <c r="DB145" s="1">
        <v>-70703.86</v>
      </c>
      <c r="DC145" s="1">
        <v>-23247.08</v>
      </c>
      <c r="DD145" s="2">
        <v>690.33</v>
      </c>
      <c r="DG145" s="1">
        <v>237.67</v>
      </c>
      <c r="DL145" s="1">
        <v>-24757643.199999999</v>
      </c>
      <c r="DM145" s="1">
        <v>-24173731.43</v>
      </c>
      <c r="DN145" s="1">
        <v>-583911.77</v>
      </c>
      <c r="DO145" s="1">
        <v>3.3287</v>
      </c>
      <c r="DP145" s="1" t="s">
        <v>1142</v>
      </c>
      <c r="DQ145" s="1" t="s">
        <v>1142</v>
      </c>
      <c r="DS145" s="1">
        <v>24663692.260000002</v>
      </c>
      <c r="DT145" s="1">
        <v>24103027.57</v>
      </c>
      <c r="DU145" s="1">
        <v>560664.68999999994</v>
      </c>
      <c r="DV145" s="1">
        <v>2.94069</v>
      </c>
      <c r="DW145" s="1" t="s">
        <v>1142</v>
      </c>
      <c r="DX145" s="1" t="s">
        <v>1142</v>
      </c>
      <c r="DY145" s="1" t="s">
        <v>1157</v>
      </c>
      <c r="DZ145" s="1">
        <v>-101643</v>
      </c>
      <c r="EA145" s="1">
        <v>-86259</v>
      </c>
      <c r="ED145" s="1" t="s">
        <v>50</v>
      </c>
      <c r="EE145" s="1" t="s">
        <v>1159</v>
      </c>
      <c r="EF145" s="1" t="s">
        <v>53</v>
      </c>
      <c r="EG145" s="1" t="s">
        <v>1159</v>
      </c>
      <c r="EH145" s="1" t="s">
        <v>51</v>
      </c>
      <c r="EJ145" s="1" t="s">
        <v>55</v>
      </c>
      <c r="EL145" s="1" t="s">
        <v>57</v>
      </c>
    </row>
    <row r="146" spans="1:142" x14ac:dyDescent="0.2">
      <c r="A146" s="101">
        <v>75818132001</v>
      </c>
      <c r="B146" s="101">
        <v>75818132</v>
      </c>
      <c r="D146" s="1" t="s">
        <v>824</v>
      </c>
      <c r="E146" s="1" t="s">
        <v>44</v>
      </c>
      <c r="F146" s="1" t="s">
        <v>583</v>
      </c>
      <c r="AI146" s="1" t="s">
        <v>551</v>
      </c>
      <c r="AJ146" s="1" t="s">
        <v>44</v>
      </c>
      <c r="AK146" s="1" t="s">
        <v>584</v>
      </c>
      <c r="AL146" s="1" t="s">
        <v>1040</v>
      </c>
      <c r="AR146" s="1" t="s">
        <v>79</v>
      </c>
      <c r="AS146" s="1" t="s">
        <v>71</v>
      </c>
      <c r="AT146" s="1">
        <v>3.3652000000000002</v>
      </c>
      <c r="AV146" s="1" t="s">
        <v>941</v>
      </c>
      <c r="AW146" s="1" t="s">
        <v>1016</v>
      </c>
      <c r="AX146" s="1">
        <v>9731505</v>
      </c>
      <c r="BA146" s="1" t="s">
        <v>69</v>
      </c>
      <c r="BB146" s="1" t="s">
        <v>574</v>
      </c>
      <c r="BC146" s="1" t="s">
        <v>456</v>
      </c>
      <c r="BD146" s="1" t="s">
        <v>555</v>
      </c>
      <c r="BG146" s="1" t="s">
        <v>558</v>
      </c>
      <c r="BH146" s="1">
        <v>22</v>
      </c>
      <c r="BI146" s="1" t="s">
        <v>431</v>
      </c>
      <c r="BJ146" s="1" t="s">
        <v>67</v>
      </c>
      <c r="BK146" s="1" t="s">
        <v>440</v>
      </c>
      <c r="BL146" s="1">
        <v>0</v>
      </c>
      <c r="BM146" s="1" t="s">
        <v>941</v>
      </c>
      <c r="BN146" s="1" t="s">
        <v>1016</v>
      </c>
      <c r="BP146" s="1">
        <v>9731505</v>
      </c>
      <c r="BR146" s="1" t="s">
        <v>69</v>
      </c>
      <c r="BS146" s="1" t="s">
        <v>1023</v>
      </c>
      <c r="BT146" s="1" t="s">
        <v>574</v>
      </c>
      <c r="BU146" s="1" t="s">
        <v>456</v>
      </c>
      <c r="BV146" s="1" t="s">
        <v>555</v>
      </c>
      <c r="BY146" s="1" t="s">
        <v>558</v>
      </c>
      <c r="BZ146" s="1">
        <v>22</v>
      </c>
      <c r="CJ146" s="1">
        <v>2.4192800000000001</v>
      </c>
      <c r="CK146" s="1">
        <v>2.4167800000000002</v>
      </c>
      <c r="CL146" s="1">
        <v>2.42178</v>
      </c>
      <c r="CR146" s="1">
        <v>-18274.426362922401</v>
      </c>
      <c r="CS146" s="1">
        <v>-18459.310000000001</v>
      </c>
      <c r="CT146" s="1">
        <v>-18089.54</v>
      </c>
      <c r="CU146" s="1">
        <v>-0.18779999999999999</v>
      </c>
      <c r="CZ146" s="1">
        <v>-18274.43</v>
      </c>
      <c r="DA146" s="1">
        <v>-18274.43</v>
      </c>
      <c r="DB146" s="1">
        <v>-5277.2</v>
      </c>
      <c r="DC146" s="1">
        <v>-12997.23</v>
      </c>
      <c r="DD146" s="2">
        <v>58.07</v>
      </c>
      <c r="DG146" s="1">
        <v>1.85</v>
      </c>
      <c r="DL146" s="1">
        <v>-9966006.4600000009</v>
      </c>
      <c r="DM146" s="1">
        <v>-9736767.2400000002</v>
      </c>
      <c r="DN146" s="1">
        <v>-229239.22</v>
      </c>
      <c r="DO146" s="1">
        <v>3.3652000000000002</v>
      </c>
      <c r="DP146" s="1" t="s">
        <v>1103</v>
      </c>
      <c r="DQ146" s="1" t="s">
        <v>1103</v>
      </c>
      <c r="DS146" s="1">
        <v>9947732.0399999991</v>
      </c>
      <c r="DT146" s="1">
        <v>9731490.0399999991</v>
      </c>
      <c r="DU146" s="1">
        <v>216242</v>
      </c>
      <c r="DV146" s="1">
        <v>3.11809</v>
      </c>
      <c r="DW146" s="1" t="s">
        <v>1103</v>
      </c>
      <c r="DX146" s="1" t="s">
        <v>1103</v>
      </c>
      <c r="DY146" s="1" t="s">
        <v>1040</v>
      </c>
      <c r="DZ146" s="1">
        <v>-18977</v>
      </c>
      <c r="EA146" s="1">
        <v>-17572</v>
      </c>
      <c r="ED146" s="1" t="s">
        <v>50</v>
      </c>
      <c r="EE146" s="1" t="s">
        <v>1167</v>
      </c>
      <c r="EF146" s="1" t="s">
        <v>53</v>
      </c>
      <c r="EG146" s="1" t="s">
        <v>1167</v>
      </c>
      <c r="EH146" s="1" t="s">
        <v>51</v>
      </c>
      <c r="EJ146" s="1" t="s">
        <v>55</v>
      </c>
      <c r="EL146" s="1" t="s">
        <v>57</v>
      </c>
    </row>
    <row r="147" spans="1:142" x14ac:dyDescent="0.2">
      <c r="A147" s="101">
        <v>75818167001</v>
      </c>
      <c r="B147" s="101">
        <v>75818167</v>
      </c>
      <c r="D147" s="1" t="s">
        <v>824</v>
      </c>
      <c r="E147" s="1" t="s">
        <v>44</v>
      </c>
      <c r="F147" s="1" t="s">
        <v>583</v>
      </c>
      <c r="AI147" s="1" t="s">
        <v>551</v>
      </c>
      <c r="AJ147" s="1" t="s">
        <v>44</v>
      </c>
      <c r="AK147" s="1" t="s">
        <v>584</v>
      </c>
      <c r="AL147" s="1" t="s">
        <v>1040</v>
      </c>
      <c r="AR147" s="1" t="s">
        <v>79</v>
      </c>
      <c r="AS147" s="1" t="s">
        <v>71</v>
      </c>
      <c r="AT147" s="1">
        <v>3.1511999999999998</v>
      </c>
      <c r="AV147" s="1" t="s">
        <v>941</v>
      </c>
      <c r="AW147" s="1" t="s">
        <v>979</v>
      </c>
      <c r="AX147" s="1">
        <v>4081875</v>
      </c>
      <c r="BA147" s="1" t="s">
        <v>69</v>
      </c>
      <c r="BB147" s="1" t="s">
        <v>574</v>
      </c>
      <c r="BC147" s="1" t="s">
        <v>456</v>
      </c>
      <c r="BD147" s="1" t="s">
        <v>555</v>
      </c>
      <c r="BG147" s="1" t="s">
        <v>558</v>
      </c>
      <c r="BH147" s="1">
        <v>10</v>
      </c>
      <c r="BI147" s="1" t="s">
        <v>431</v>
      </c>
      <c r="BJ147" s="1" t="s">
        <v>67</v>
      </c>
      <c r="BK147" s="1" t="s">
        <v>440</v>
      </c>
      <c r="BL147" s="1">
        <v>0</v>
      </c>
      <c r="BM147" s="1" t="s">
        <v>941</v>
      </c>
      <c r="BN147" s="1" t="s">
        <v>979</v>
      </c>
      <c r="BP147" s="1">
        <v>4081875</v>
      </c>
      <c r="BR147" s="1" t="s">
        <v>69</v>
      </c>
      <c r="BS147" s="1" t="s">
        <v>69</v>
      </c>
      <c r="BT147" s="1" t="s">
        <v>574</v>
      </c>
      <c r="BU147" s="1" t="s">
        <v>456</v>
      </c>
      <c r="BV147" s="1" t="s">
        <v>555</v>
      </c>
      <c r="BY147" s="1" t="s">
        <v>558</v>
      </c>
      <c r="BZ147" s="1">
        <v>10</v>
      </c>
      <c r="CJ147" s="1">
        <v>2.1531400000000001</v>
      </c>
      <c r="CK147" s="1">
        <v>2.1506400000000001</v>
      </c>
      <c r="CL147" s="1">
        <v>2.15564</v>
      </c>
      <c r="CR147" s="1">
        <v>-20147.909712007298</v>
      </c>
      <c r="CS147" s="1">
        <v>-20250.37</v>
      </c>
      <c r="CT147" s="1">
        <v>-20045.45</v>
      </c>
      <c r="CU147" s="1">
        <v>-0.49359999999999998</v>
      </c>
      <c r="CZ147" s="1">
        <v>-20147.91</v>
      </c>
      <c r="DA147" s="1">
        <v>-20147.91</v>
      </c>
      <c r="DB147" s="1">
        <v>-17504.240000000002</v>
      </c>
      <c r="DC147" s="1">
        <v>-2643.67</v>
      </c>
      <c r="DD147" s="2">
        <v>185.93</v>
      </c>
      <c r="DG147" s="1">
        <v>51.62</v>
      </c>
      <c r="DL147" s="1">
        <v>-4171548.08</v>
      </c>
      <c r="DM147" s="1">
        <v>-4099373.46</v>
      </c>
      <c r="DN147" s="1">
        <v>-72174.63</v>
      </c>
      <c r="DO147" s="1">
        <v>3.1511999999999998</v>
      </c>
      <c r="DP147" s="1" t="s">
        <v>980</v>
      </c>
      <c r="DQ147" s="1" t="s">
        <v>980</v>
      </c>
      <c r="DS147" s="1">
        <v>4151400.17</v>
      </c>
      <c r="DT147" s="1">
        <v>4081869.22</v>
      </c>
      <c r="DU147" s="1">
        <v>69530.960000000006</v>
      </c>
      <c r="DV147" s="1">
        <v>2.6595900000000001</v>
      </c>
      <c r="DW147" s="1" t="s">
        <v>980</v>
      </c>
      <c r="DX147" s="1" t="s">
        <v>980</v>
      </c>
      <c r="DY147" s="1" t="s">
        <v>981</v>
      </c>
      <c r="DZ147" s="1">
        <v>-22150</v>
      </c>
      <c r="EA147" s="1">
        <v>-18146</v>
      </c>
      <c r="ED147" s="1" t="s">
        <v>50</v>
      </c>
      <c r="EE147" s="1" t="s">
        <v>1169</v>
      </c>
      <c r="EF147" s="1" t="s">
        <v>53</v>
      </c>
      <c r="EG147" s="1" t="s">
        <v>1169</v>
      </c>
      <c r="EH147" s="1" t="s">
        <v>51</v>
      </c>
      <c r="EJ147" s="1" t="s">
        <v>55</v>
      </c>
      <c r="EL147" s="1" t="s">
        <v>57</v>
      </c>
    </row>
    <row r="148" spans="1:142" x14ac:dyDescent="0.2">
      <c r="A148" s="101">
        <v>75818173001</v>
      </c>
      <c r="B148" s="101">
        <v>75818173</v>
      </c>
      <c r="D148" s="1" t="s">
        <v>824</v>
      </c>
      <c r="E148" s="1" t="s">
        <v>44</v>
      </c>
      <c r="F148" s="1" t="s">
        <v>583</v>
      </c>
      <c r="AI148" s="1" t="s">
        <v>551</v>
      </c>
      <c r="AJ148" s="1" t="s">
        <v>44</v>
      </c>
      <c r="AK148" s="1" t="s">
        <v>584</v>
      </c>
      <c r="AL148" s="1" t="s">
        <v>1040</v>
      </c>
      <c r="AR148" s="1" t="s">
        <v>79</v>
      </c>
      <c r="AS148" s="1" t="s">
        <v>71</v>
      </c>
      <c r="AT148" s="1">
        <v>3.1126999999999998</v>
      </c>
      <c r="AV148" s="1" t="s">
        <v>941</v>
      </c>
      <c r="AW148" s="1" t="s">
        <v>1170</v>
      </c>
      <c r="AX148" s="1">
        <v>4309893</v>
      </c>
      <c r="BA148" s="1" t="s">
        <v>69</v>
      </c>
      <c r="BB148" s="1" t="s">
        <v>574</v>
      </c>
      <c r="BC148" s="1" t="s">
        <v>456</v>
      </c>
      <c r="BD148" s="1" t="s">
        <v>555</v>
      </c>
      <c r="BG148" s="1" t="s">
        <v>558</v>
      </c>
      <c r="BH148" s="1">
        <v>7</v>
      </c>
      <c r="BI148" s="1" t="s">
        <v>431</v>
      </c>
      <c r="BJ148" s="1" t="s">
        <v>67</v>
      </c>
      <c r="BK148" s="1" t="s">
        <v>440</v>
      </c>
      <c r="BL148" s="1">
        <v>0</v>
      </c>
      <c r="BM148" s="1" t="s">
        <v>941</v>
      </c>
      <c r="BN148" s="1" t="s">
        <v>1170</v>
      </c>
      <c r="BP148" s="1">
        <v>4309893</v>
      </c>
      <c r="BR148" s="1" t="s">
        <v>69</v>
      </c>
      <c r="BS148" s="1" t="s">
        <v>69</v>
      </c>
      <c r="BT148" s="1" t="s">
        <v>574</v>
      </c>
      <c r="BU148" s="1" t="s">
        <v>456</v>
      </c>
      <c r="BV148" s="1" t="s">
        <v>555</v>
      </c>
      <c r="BY148" s="1" t="s">
        <v>558</v>
      </c>
      <c r="BZ148" s="1">
        <v>7</v>
      </c>
      <c r="CJ148" s="1">
        <v>2.12588</v>
      </c>
      <c r="CK148" s="1">
        <v>2.12338</v>
      </c>
      <c r="CL148" s="1">
        <v>2.1283799999999999</v>
      </c>
      <c r="CR148" s="1">
        <v>-24644.291885135699</v>
      </c>
      <c r="CS148" s="1">
        <v>-24752.32</v>
      </c>
      <c r="CT148" s="1">
        <v>-24536.27</v>
      </c>
      <c r="CU148" s="1">
        <v>-0.57179999999999997</v>
      </c>
      <c r="CZ148" s="1">
        <v>-24644.29</v>
      </c>
      <c r="DA148" s="1">
        <v>-24644.29</v>
      </c>
      <c r="DB148" s="1">
        <v>-21396.31</v>
      </c>
      <c r="DC148" s="1">
        <v>-3247.99</v>
      </c>
      <c r="DD148" s="2">
        <v>228.29</v>
      </c>
      <c r="DG148" s="1">
        <v>58.36</v>
      </c>
      <c r="DL148" s="1">
        <v>-4396497.3600000003</v>
      </c>
      <c r="DM148" s="1">
        <v>-4331283.59</v>
      </c>
      <c r="DN148" s="1">
        <v>-65213.77</v>
      </c>
      <c r="DO148" s="1">
        <v>3.1126999999999998</v>
      </c>
      <c r="DP148" s="1" t="s">
        <v>1172</v>
      </c>
      <c r="DQ148" s="1" t="s">
        <v>1172</v>
      </c>
      <c r="DS148" s="1">
        <v>4371853.07</v>
      </c>
      <c r="DT148" s="1">
        <v>4309887.28</v>
      </c>
      <c r="DU148" s="1">
        <v>61965.78</v>
      </c>
      <c r="DV148" s="1">
        <v>2.54236</v>
      </c>
      <c r="DW148" s="1" t="s">
        <v>1172</v>
      </c>
      <c r="DX148" s="1" t="s">
        <v>1172</v>
      </c>
      <c r="DY148" s="1" t="s">
        <v>1139</v>
      </c>
      <c r="DZ148" s="1">
        <v>-27071</v>
      </c>
      <c r="EA148" s="1">
        <v>-22218</v>
      </c>
      <c r="ED148" s="1" t="s">
        <v>50</v>
      </c>
      <c r="EE148" s="1" t="s">
        <v>1173</v>
      </c>
      <c r="EF148" s="1" t="s">
        <v>53</v>
      </c>
      <c r="EG148" s="1" t="s">
        <v>1173</v>
      </c>
      <c r="EH148" s="1" t="s">
        <v>51</v>
      </c>
      <c r="EJ148" s="1" t="s">
        <v>55</v>
      </c>
      <c r="EL148" s="1" t="s">
        <v>57</v>
      </c>
    </row>
    <row r="149" spans="1:142" x14ac:dyDescent="0.2">
      <c r="A149" s="101">
        <v>76195107001</v>
      </c>
      <c r="B149" s="101">
        <v>76195107</v>
      </c>
      <c r="D149" s="1" t="s">
        <v>220</v>
      </c>
      <c r="E149" s="1" t="s">
        <v>44</v>
      </c>
      <c r="F149" s="1" t="s">
        <v>583</v>
      </c>
      <c r="AI149" s="1" t="s">
        <v>551</v>
      </c>
      <c r="AJ149" s="1" t="s">
        <v>44</v>
      </c>
      <c r="AK149" s="1" t="s">
        <v>584</v>
      </c>
      <c r="AL149" s="1" t="s">
        <v>695</v>
      </c>
      <c r="AR149" s="1" t="s">
        <v>79</v>
      </c>
      <c r="AS149" s="1" t="s">
        <v>71</v>
      </c>
      <c r="AT149" s="1">
        <v>3.1316999999999999</v>
      </c>
      <c r="AV149" s="1" t="s">
        <v>849</v>
      </c>
      <c r="AW149" s="1" t="s">
        <v>1177</v>
      </c>
      <c r="AX149" s="1">
        <v>9660138</v>
      </c>
      <c r="BA149" s="1" t="s">
        <v>69</v>
      </c>
      <c r="BB149" s="1" t="s">
        <v>574</v>
      </c>
      <c r="BC149" s="1" t="s">
        <v>456</v>
      </c>
      <c r="BD149" s="1" t="s">
        <v>555</v>
      </c>
      <c r="BG149" s="1" t="s">
        <v>558</v>
      </c>
      <c r="BH149" s="1">
        <v>29</v>
      </c>
      <c r="BI149" s="1" t="s">
        <v>431</v>
      </c>
      <c r="BJ149" s="1" t="s">
        <v>67</v>
      </c>
      <c r="BK149" s="1" t="s">
        <v>440</v>
      </c>
      <c r="BL149" s="1">
        <v>0</v>
      </c>
      <c r="BM149" s="1" t="s">
        <v>849</v>
      </c>
      <c r="BN149" s="1" t="s">
        <v>1177</v>
      </c>
      <c r="BP149" s="1">
        <v>9660138</v>
      </c>
      <c r="BR149" s="1" t="s">
        <v>69</v>
      </c>
      <c r="BS149" s="1" t="s">
        <v>69</v>
      </c>
      <c r="BT149" s="1" t="s">
        <v>574</v>
      </c>
      <c r="BU149" s="1" t="s">
        <v>456</v>
      </c>
      <c r="BV149" s="1" t="s">
        <v>555</v>
      </c>
      <c r="BY149" s="1" t="s">
        <v>558</v>
      </c>
      <c r="BZ149" s="1">
        <v>29</v>
      </c>
      <c r="CJ149" s="1">
        <v>2.2043300000000001</v>
      </c>
      <c r="CK149" s="1">
        <v>2.2018300000000002</v>
      </c>
      <c r="CL149" s="1">
        <v>2.2068300000000001</v>
      </c>
      <c r="CR149" s="1">
        <v>-26277.310774171699</v>
      </c>
      <c r="CS149" s="1">
        <v>-26520.37</v>
      </c>
      <c r="CT149" s="1">
        <v>-26034.26</v>
      </c>
      <c r="CU149" s="1">
        <v>-0.27200000000000002</v>
      </c>
      <c r="CZ149" s="1">
        <v>-26277.31</v>
      </c>
      <c r="DA149" s="1">
        <v>-26277.31</v>
      </c>
      <c r="DB149" s="1">
        <v>-28015.279999999999</v>
      </c>
      <c r="DC149" s="1">
        <v>1737.97</v>
      </c>
      <c r="DD149" s="2">
        <v>324.70999999999998</v>
      </c>
      <c r="DG149" s="1">
        <v>99.4</v>
      </c>
      <c r="DL149" s="1">
        <v>-9894023.9299999997</v>
      </c>
      <c r="DM149" s="1">
        <v>-9688137.8100000005</v>
      </c>
      <c r="DN149" s="1">
        <v>-205886.12</v>
      </c>
      <c r="DO149" s="1">
        <v>3.1316999999999999</v>
      </c>
      <c r="DP149" s="1" t="s">
        <v>1178</v>
      </c>
      <c r="DQ149" s="1" t="s">
        <v>1178</v>
      </c>
      <c r="DS149" s="1">
        <v>9867746.6199999992</v>
      </c>
      <c r="DT149" s="1">
        <v>9660122.5299999993</v>
      </c>
      <c r="DU149" s="1">
        <v>207624.09</v>
      </c>
      <c r="DV149" s="1">
        <v>2.8614199999999999</v>
      </c>
      <c r="DW149" s="1" t="s">
        <v>1178</v>
      </c>
      <c r="DX149" s="1" t="s">
        <v>1178</v>
      </c>
      <c r="DY149" s="1" t="s">
        <v>695</v>
      </c>
      <c r="DZ149" s="1">
        <v>-29856</v>
      </c>
      <c r="EA149" s="1">
        <v>-22698</v>
      </c>
      <c r="ED149" s="1" t="s">
        <v>50</v>
      </c>
      <c r="EE149" s="1" t="s">
        <v>1179</v>
      </c>
      <c r="EF149" s="1" t="s">
        <v>53</v>
      </c>
      <c r="EG149" s="1" t="s">
        <v>1179</v>
      </c>
      <c r="EH149" s="1" t="s">
        <v>51</v>
      </c>
      <c r="EJ149" s="1" t="s">
        <v>55</v>
      </c>
      <c r="EL149" s="1" t="s">
        <v>57</v>
      </c>
    </row>
    <row r="150" spans="1:142" x14ac:dyDescent="0.2">
      <c r="A150" s="101">
        <v>76417122001</v>
      </c>
      <c r="B150" s="101">
        <v>76417122</v>
      </c>
      <c r="D150" s="1" t="s">
        <v>824</v>
      </c>
      <c r="E150" s="1" t="s">
        <v>44</v>
      </c>
      <c r="F150" s="1" t="s">
        <v>583</v>
      </c>
      <c r="AI150" s="1" t="s">
        <v>551</v>
      </c>
      <c r="AJ150" s="1" t="s">
        <v>44</v>
      </c>
      <c r="AK150" s="1" t="s">
        <v>584</v>
      </c>
      <c r="AL150" s="1" t="s">
        <v>850</v>
      </c>
      <c r="AR150" s="1" t="s">
        <v>79</v>
      </c>
      <c r="AS150" s="1" t="s">
        <v>71</v>
      </c>
      <c r="AT150" s="1">
        <v>3.2881999999999998</v>
      </c>
      <c r="AV150" s="1" t="s">
        <v>798</v>
      </c>
      <c r="AW150" s="1" t="s">
        <v>1038</v>
      </c>
      <c r="AX150" s="1">
        <v>63372504</v>
      </c>
      <c r="BA150" s="1" t="s">
        <v>69</v>
      </c>
      <c r="BB150" s="1" t="s">
        <v>574</v>
      </c>
      <c r="BC150" s="1" t="s">
        <v>456</v>
      </c>
      <c r="BD150" s="1" t="s">
        <v>555</v>
      </c>
      <c r="BG150" s="1" t="s">
        <v>558</v>
      </c>
      <c r="BH150" s="1">
        <v>16</v>
      </c>
      <c r="BI150" s="1" t="s">
        <v>431</v>
      </c>
      <c r="BJ150" s="1" t="s">
        <v>67</v>
      </c>
      <c r="BK150" s="1" t="s">
        <v>440</v>
      </c>
      <c r="BL150" s="1">
        <v>0</v>
      </c>
      <c r="BM150" s="1" t="s">
        <v>798</v>
      </c>
      <c r="BN150" s="1" t="s">
        <v>1038</v>
      </c>
      <c r="BP150" s="1">
        <v>63372504</v>
      </c>
      <c r="BR150" s="1" t="s">
        <v>69</v>
      </c>
      <c r="BS150" s="1" t="s">
        <v>1023</v>
      </c>
      <c r="BT150" s="1" t="s">
        <v>574</v>
      </c>
      <c r="BU150" s="1" t="s">
        <v>456</v>
      </c>
      <c r="BV150" s="1" t="s">
        <v>555</v>
      </c>
      <c r="BY150" s="1" t="s">
        <v>558</v>
      </c>
      <c r="BZ150" s="1">
        <v>16</v>
      </c>
      <c r="CJ150" s="1">
        <v>2.4180000000000001</v>
      </c>
      <c r="CK150" s="1">
        <v>2.4155000000000002</v>
      </c>
      <c r="CL150" s="1">
        <v>2.4205000000000001</v>
      </c>
      <c r="CR150" s="1">
        <v>-80658.041151612997</v>
      </c>
      <c r="CS150" s="1">
        <v>-81796.570000000007</v>
      </c>
      <c r="CT150" s="1">
        <v>-79519.520000000004</v>
      </c>
      <c r="CU150" s="1">
        <v>-0.1273</v>
      </c>
      <c r="CZ150" s="1">
        <v>-80658.039999999994</v>
      </c>
      <c r="DA150" s="1">
        <v>-80658.039999999994</v>
      </c>
      <c r="DB150" s="1">
        <v>-22965.05</v>
      </c>
      <c r="DC150" s="1">
        <v>-57692.99</v>
      </c>
      <c r="DD150" s="2">
        <v>269.8</v>
      </c>
      <c r="DG150" s="1">
        <v>-7.99</v>
      </c>
      <c r="DL150" s="1">
        <v>-64801950.920000002</v>
      </c>
      <c r="DM150" s="1">
        <v>-63395376.009999998</v>
      </c>
      <c r="DN150" s="1">
        <v>-1406574.91</v>
      </c>
      <c r="DO150" s="1">
        <v>3.2881999999999998</v>
      </c>
      <c r="DP150" s="1" t="s">
        <v>1119</v>
      </c>
      <c r="DQ150" s="1" t="s">
        <v>1119</v>
      </c>
      <c r="DS150" s="1">
        <v>64721292.880000003</v>
      </c>
      <c r="DT150" s="1">
        <v>63372410.960000001</v>
      </c>
      <c r="DU150" s="1">
        <v>1348881.92</v>
      </c>
      <c r="DV150" s="1">
        <v>3.1110899999999999</v>
      </c>
      <c r="DW150" s="1" t="s">
        <v>1119</v>
      </c>
      <c r="DX150" s="1" t="s">
        <v>1119</v>
      </c>
      <c r="DY150" s="1" t="s">
        <v>849</v>
      </c>
      <c r="DZ150" s="1">
        <v>-83920</v>
      </c>
      <c r="EA150" s="1">
        <v>-77396</v>
      </c>
      <c r="ED150" s="1" t="s">
        <v>50</v>
      </c>
      <c r="EE150" s="1" t="s">
        <v>1182</v>
      </c>
      <c r="EF150" s="1" t="s">
        <v>53</v>
      </c>
      <c r="EG150" s="1" t="s">
        <v>1182</v>
      </c>
      <c r="EH150" s="1" t="s">
        <v>51</v>
      </c>
      <c r="EJ150" s="1" t="s">
        <v>55</v>
      </c>
      <c r="EL150" s="1" t="s">
        <v>57</v>
      </c>
    </row>
    <row r="151" spans="1:142" x14ac:dyDescent="0.2">
      <c r="A151" s="101">
        <v>76417108001</v>
      </c>
      <c r="B151" s="101">
        <v>76417108</v>
      </c>
      <c r="D151" s="1" t="s">
        <v>77</v>
      </c>
      <c r="E151" s="1" t="s">
        <v>44</v>
      </c>
      <c r="F151" s="1" t="s">
        <v>583</v>
      </c>
      <c r="AI151" s="1" t="s">
        <v>551</v>
      </c>
      <c r="AJ151" s="1" t="s">
        <v>44</v>
      </c>
      <c r="AK151" s="1" t="s">
        <v>584</v>
      </c>
      <c r="AL151" s="1" t="s">
        <v>850</v>
      </c>
      <c r="AR151" s="1" t="s">
        <v>79</v>
      </c>
      <c r="AS151" s="1" t="s">
        <v>71</v>
      </c>
      <c r="AT151" s="1">
        <v>3.1677</v>
      </c>
      <c r="AV151" s="1" t="s">
        <v>799</v>
      </c>
      <c r="AW151" s="1" t="s">
        <v>770</v>
      </c>
      <c r="AX151" s="1">
        <v>96870340</v>
      </c>
      <c r="BA151" s="1" t="s">
        <v>69</v>
      </c>
      <c r="BB151" s="1" t="s">
        <v>574</v>
      </c>
      <c r="BC151" s="1" t="s">
        <v>456</v>
      </c>
      <c r="BD151" s="1" t="s">
        <v>555</v>
      </c>
      <c r="BG151" s="1" t="s">
        <v>558</v>
      </c>
      <c r="BH151" s="1">
        <v>1</v>
      </c>
      <c r="BI151" s="1" t="s">
        <v>431</v>
      </c>
      <c r="BJ151" s="1" t="s">
        <v>67</v>
      </c>
      <c r="BK151" s="1" t="s">
        <v>440</v>
      </c>
      <c r="BL151" s="1">
        <v>0</v>
      </c>
      <c r="BM151" s="1" t="s">
        <v>799</v>
      </c>
      <c r="BN151" s="1" t="s">
        <v>770</v>
      </c>
      <c r="BP151" s="1">
        <v>96870340</v>
      </c>
      <c r="BR151" s="1" t="s">
        <v>69</v>
      </c>
      <c r="BS151" s="1" t="s">
        <v>1023</v>
      </c>
      <c r="BT151" s="1" t="s">
        <v>574</v>
      </c>
      <c r="BU151" s="1" t="s">
        <v>456</v>
      </c>
      <c r="BV151" s="1" t="s">
        <v>555</v>
      </c>
      <c r="BY151" s="1" t="s">
        <v>558</v>
      </c>
      <c r="BZ151" s="1">
        <v>1</v>
      </c>
      <c r="CJ151" s="1">
        <v>2.24593</v>
      </c>
      <c r="CK151" s="1">
        <v>2.24343</v>
      </c>
      <c r="CL151" s="1">
        <v>2.2484299999999999</v>
      </c>
      <c r="CR151" s="1">
        <v>-225007.45200167599</v>
      </c>
      <c r="CS151" s="1">
        <v>-227241.33</v>
      </c>
      <c r="CT151" s="1">
        <v>-222773.57</v>
      </c>
      <c r="CU151" s="1">
        <v>-0.23230000000000001</v>
      </c>
      <c r="CZ151" s="1">
        <v>-225007.45</v>
      </c>
      <c r="DA151" s="1">
        <v>-225007.45</v>
      </c>
      <c r="DB151" s="1">
        <v>-214096.58</v>
      </c>
      <c r="DC151" s="1">
        <v>-10910.87</v>
      </c>
      <c r="DD151" s="2">
        <v>2492.31</v>
      </c>
      <c r="DG151" s="1">
        <v>960.6</v>
      </c>
      <c r="DL151" s="1">
        <v>-99147046.370000005</v>
      </c>
      <c r="DM151" s="1">
        <v>-97084290.969999999</v>
      </c>
      <c r="DN151" s="1">
        <v>-2062755.41</v>
      </c>
      <c r="DO151" s="1">
        <v>3.1677</v>
      </c>
      <c r="DP151" s="1" t="s">
        <v>1180</v>
      </c>
      <c r="DQ151" s="1" t="s">
        <v>1180</v>
      </c>
      <c r="DS151" s="1">
        <v>98922038.920000002</v>
      </c>
      <c r="DT151" s="1">
        <v>96870194.379999995</v>
      </c>
      <c r="DU151" s="1">
        <v>2051844.54</v>
      </c>
      <c r="DV151" s="1">
        <v>2.9158900000000001</v>
      </c>
      <c r="DW151" s="1" t="s">
        <v>1180</v>
      </c>
      <c r="DX151" s="1" t="s">
        <v>1180</v>
      </c>
      <c r="DY151" s="1" t="s">
        <v>850</v>
      </c>
      <c r="DZ151" s="1">
        <v>-252995</v>
      </c>
      <c r="EA151" s="1">
        <v>-197020</v>
      </c>
      <c r="ED151" s="1" t="s">
        <v>50</v>
      </c>
      <c r="EE151" s="1" t="s">
        <v>1181</v>
      </c>
      <c r="EF151" s="1" t="s">
        <v>53</v>
      </c>
      <c r="EG151" s="1" t="s">
        <v>1181</v>
      </c>
      <c r="EH151" s="1" t="s">
        <v>51</v>
      </c>
      <c r="EJ151" s="1" t="s">
        <v>55</v>
      </c>
      <c r="EL151" s="1" t="s">
        <v>57</v>
      </c>
    </row>
    <row r="152" spans="1:142" x14ac:dyDescent="0.2">
      <c r="A152" s="101">
        <v>77036222001</v>
      </c>
      <c r="B152" s="101">
        <v>77036222</v>
      </c>
      <c r="D152" s="1" t="s">
        <v>77</v>
      </c>
      <c r="E152" s="1" t="s">
        <v>44</v>
      </c>
      <c r="F152" s="1" t="s">
        <v>583</v>
      </c>
      <c r="AI152" s="1" t="s">
        <v>551</v>
      </c>
      <c r="AJ152" s="1" t="s">
        <v>44</v>
      </c>
      <c r="AK152" s="1" t="s">
        <v>584</v>
      </c>
      <c r="AL152" s="1" t="s">
        <v>802</v>
      </c>
      <c r="AR152" s="1" t="s">
        <v>79</v>
      </c>
      <c r="AS152" s="1" t="s">
        <v>71</v>
      </c>
      <c r="AT152" s="1">
        <v>2.8967000000000001</v>
      </c>
      <c r="AV152" s="1" t="s">
        <v>800</v>
      </c>
      <c r="AW152" s="1" t="s">
        <v>963</v>
      </c>
      <c r="AX152" s="1">
        <v>58096750</v>
      </c>
      <c r="BA152" s="1" t="s">
        <v>69</v>
      </c>
      <c r="BB152" s="1" t="s">
        <v>574</v>
      </c>
      <c r="BC152" s="1" t="s">
        <v>456</v>
      </c>
      <c r="BD152" s="1" t="s">
        <v>555</v>
      </c>
      <c r="BG152" s="1" t="s">
        <v>558</v>
      </c>
      <c r="BH152" s="1">
        <v>11</v>
      </c>
      <c r="BI152" s="1" t="s">
        <v>431</v>
      </c>
      <c r="BJ152" s="1" t="s">
        <v>67</v>
      </c>
      <c r="BK152" s="1" t="s">
        <v>440</v>
      </c>
      <c r="BL152" s="1">
        <v>0</v>
      </c>
      <c r="BM152" s="1" t="s">
        <v>800</v>
      </c>
      <c r="BN152" s="1" t="s">
        <v>963</v>
      </c>
      <c r="BP152" s="1">
        <v>58096750</v>
      </c>
      <c r="BR152" s="1" t="s">
        <v>69</v>
      </c>
      <c r="BS152" s="1" t="s">
        <v>1023</v>
      </c>
      <c r="BT152" s="1" t="s">
        <v>574</v>
      </c>
      <c r="BU152" s="1" t="s">
        <v>456</v>
      </c>
      <c r="BV152" s="1" t="s">
        <v>555</v>
      </c>
      <c r="BY152" s="1" t="s">
        <v>558</v>
      </c>
      <c r="BZ152" s="1">
        <v>11</v>
      </c>
      <c r="CJ152" s="1">
        <v>2.1888299999999998</v>
      </c>
      <c r="CK152" s="1">
        <v>2.1863299999999999</v>
      </c>
      <c r="CL152" s="1">
        <v>2.1913300000000002</v>
      </c>
      <c r="CR152" s="1">
        <v>-56896.968515321598</v>
      </c>
      <c r="CS152" s="1">
        <v>-58353.64</v>
      </c>
      <c r="CT152" s="1">
        <v>-55440.29</v>
      </c>
      <c r="CU152" s="1">
        <v>-9.7900000000000001E-2</v>
      </c>
      <c r="CZ152" s="1">
        <v>-56896.97</v>
      </c>
      <c r="DA152" s="1">
        <v>-56896.97</v>
      </c>
      <c r="DB152" s="1">
        <v>-141241.63</v>
      </c>
      <c r="DC152" s="1">
        <v>84344.66</v>
      </c>
      <c r="DD152" s="2">
        <v>2157.77</v>
      </c>
      <c r="DG152" s="1">
        <v>655.57</v>
      </c>
      <c r="DL152" s="1">
        <v>-59317755.990000002</v>
      </c>
      <c r="DM152" s="1">
        <v>-58237902.5</v>
      </c>
      <c r="DN152" s="1">
        <v>-1079853.49</v>
      </c>
      <c r="DO152" s="1">
        <v>2.8967000000000001</v>
      </c>
      <c r="DP152" s="1" t="s">
        <v>964</v>
      </c>
      <c r="DQ152" s="1" t="s">
        <v>964</v>
      </c>
      <c r="DS152" s="1">
        <v>59260859.020000003</v>
      </c>
      <c r="DT152" s="1">
        <v>58096660.869999997</v>
      </c>
      <c r="DU152" s="1">
        <v>1164198.1499999999</v>
      </c>
      <c r="DV152" s="1">
        <v>2.7990499999999998</v>
      </c>
      <c r="DW152" s="1" t="s">
        <v>964</v>
      </c>
      <c r="DX152" s="1" t="s">
        <v>964</v>
      </c>
      <c r="DY152" s="1" t="s">
        <v>802</v>
      </c>
      <c r="DZ152" s="1">
        <v>-80512</v>
      </c>
      <c r="EA152" s="1">
        <v>-33282</v>
      </c>
      <c r="ED152" s="1" t="s">
        <v>50</v>
      </c>
      <c r="EE152" s="1" t="s">
        <v>1188</v>
      </c>
      <c r="EF152" s="1" t="s">
        <v>53</v>
      </c>
      <c r="EG152" s="1" t="s">
        <v>1188</v>
      </c>
      <c r="EH152" s="1" t="s">
        <v>51</v>
      </c>
      <c r="EJ152" s="1" t="s">
        <v>55</v>
      </c>
      <c r="EL152" s="1" t="s">
        <v>57</v>
      </c>
    </row>
    <row r="153" spans="1:142" x14ac:dyDescent="0.2">
      <c r="A153" s="101">
        <v>77207504001</v>
      </c>
      <c r="B153" s="101">
        <v>77207504</v>
      </c>
      <c r="D153" s="1" t="s">
        <v>77</v>
      </c>
      <c r="E153" s="1" t="s">
        <v>44</v>
      </c>
      <c r="F153" s="1" t="s">
        <v>583</v>
      </c>
      <c r="AI153" s="1" t="s">
        <v>551</v>
      </c>
      <c r="AJ153" s="1" t="s">
        <v>44</v>
      </c>
      <c r="AK153" s="1" t="s">
        <v>584</v>
      </c>
      <c r="AL153" s="1" t="s">
        <v>800</v>
      </c>
      <c r="AR153" s="1" t="s">
        <v>79</v>
      </c>
      <c r="AS153" s="1" t="s">
        <v>71</v>
      </c>
      <c r="AT153" s="1">
        <v>2.9321999999999999</v>
      </c>
      <c r="AV153" s="1" t="s">
        <v>1061</v>
      </c>
      <c r="AW153" s="1" t="s">
        <v>1184</v>
      </c>
      <c r="AX153" s="1">
        <v>77462333</v>
      </c>
      <c r="BA153" s="1" t="s">
        <v>69</v>
      </c>
      <c r="BB153" s="1" t="s">
        <v>574</v>
      </c>
      <c r="BC153" s="1" t="s">
        <v>456</v>
      </c>
      <c r="BD153" s="1" t="s">
        <v>555</v>
      </c>
      <c r="BG153" s="1" t="s">
        <v>558</v>
      </c>
      <c r="BH153" s="1">
        <v>13</v>
      </c>
      <c r="BI153" s="1" t="s">
        <v>431</v>
      </c>
      <c r="BJ153" s="1" t="s">
        <v>67</v>
      </c>
      <c r="BK153" s="1" t="s">
        <v>440</v>
      </c>
      <c r="BL153" s="1">
        <v>0</v>
      </c>
      <c r="BM153" s="1" t="s">
        <v>1061</v>
      </c>
      <c r="BN153" s="1" t="s">
        <v>1184</v>
      </c>
      <c r="BP153" s="1">
        <v>77462333</v>
      </c>
      <c r="BR153" s="1" t="s">
        <v>69</v>
      </c>
      <c r="BS153" s="1" t="s">
        <v>1023</v>
      </c>
      <c r="BT153" s="1" t="s">
        <v>574</v>
      </c>
      <c r="BU153" s="1" t="s">
        <v>456</v>
      </c>
      <c r="BV153" s="1" t="s">
        <v>555</v>
      </c>
      <c r="BY153" s="1" t="s">
        <v>558</v>
      </c>
      <c r="BZ153" s="1">
        <v>13</v>
      </c>
      <c r="CJ153" s="1">
        <v>2.1863999999999999</v>
      </c>
      <c r="CK153" s="1">
        <v>2.1839</v>
      </c>
      <c r="CL153" s="1">
        <v>2.1888999999999998</v>
      </c>
      <c r="CR153" s="1">
        <v>-110684.233971849</v>
      </c>
      <c r="CS153" s="1">
        <v>-112626.25</v>
      </c>
      <c r="CT153" s="1">
        <v>-108742.22</v>
      </c>
      <c r="CU153" s="1">
        <v>-0.1429</v>
      </c>
      <c r="CZ153" s="1">
        <v>-110684.23</v>
      </c>
      <c r="DA153" s="1">
        <v>-110684.23</v>
      </c>
      <c r="DB153" s="1">
        <v>-202035.72</v>
      </c>
      <c r="DC153" s="1">
        <v>91351.48</v>
      </c>
      <c r="DD153" s="2">
        <v>2921</v>
      </c>
      <c r="DG153" s="1">
        <v>884.85</v>
      </c>
      <c r="DL153" s="1">
        <v>-79109081.950000003</v>
      </c>
      <c r="DM153" s="1">
        <v>-77664250.640000001</v>
      </c>
      <c r="DN153" s="1">
        <v>-1444831.31</v>
      </c>
      <c r="DO153" s="1">
        <v>2.9321999999999999</v>
      </c>
      <c r="DP153" s="1" t="s">
        <v>1185</v>
      </c>
      <c r="DQ153" s="1" t="s">
        <v>1185</v>
      </c>
      <c r="DS153" s="1">
        <v>78998397.709999993</v>
      </c>
      <c r="DT153" s="1">
        <v>77462214.920000002</v>
      </c>
      <c r="DU153" s="1">
        <v>1536182.79</v>
      </c>
      <c r="DV153" s="1">
        <v>2.7897099999999999</v>
      </c>
      <c r="DW153" s="1" t="s">
        <v>1185</v>
      </c>
      <c r="DX153" s="1" t="s">
        <v>1185</v>
      </c>
      <c r="DY153" s="1" t="s">
        <v>800</v>
      </c>
      <c r="DZ153" s="1">
        <v>-142617</v>
      </c>
      <c r="EA153" s="1">
        <v>-78752</v>
      </c>
      <c r="ED153" s="1" t="s">
        <v>50</v>
      </c>
      <c r="EE153" s="1" t="s">
        <v>1186</v>
      </c>
      <c r="EF153" s="1" t="s">
        <v>53</v>
      </c>
      <c r="EG153" s="1" t="s">
        <v>1186</v>
      </c>
      <c r="EH153" s="1" t="s">
        <v>51</v>
      </c>
      <c r="EJ153" s="1" t="s">
        <v>55</v>
      </c>
      <c r="EL153" s="1" t="s">
        <v>57</v>
      </c>
    </row>
    <row r="154" spans="1:142" x14ac:dyDescent="0.2">
      <c r="A154" s="101">
        <v>77406671001</v>
      </c>
      <c r="B154" s="101">
        <v>77406671</v>
      </c>
      <c r="D154" s="1" t="s">
        <v>63</v>
      </c>
      <c r="E154" s="1" t="s">
        <v>44</v>
      </c>
      <c r="F154" s="1" t="s">
        <v>583</v>
      </c>
      <c r="AI154" s="1" t="s">
        <v>551</v>
      </c>
      <c r="AJ154" s="1" t="s">
        <v>44</v>
      </c>
      <c r="AK154" s="1" t="s">
        <v>584</v>
      </c>
      <c r="AL154" s="1" t="s">
        <v>1061</v>
      </c>
      <c r="AR154" s="1" t="s">
        <v>79</v>
      </c>
      <c r="AS154" s="1" t="s">
        <v>71</v>
      </c>
      <c r="AT154" s="1">
        <v>2.8847</v>
      </c>
      <c r="AV154" s="1" t="s">
        <v>801</v>
      </c>
      <c r="AW154" s="1" t="s">
        <v>1146</v>
      </c>
      <c r="AX154" s="1">
        <v>38742546</v>
      </c>
      <c r="BA154" s="1" t="s">
        <v>69</v>
      </c>
      <c r="BB154" s="1" t="s">
        <v>574</v>
      </c>
      <c r="BC154" s="1" t="s">
        <v>456</v>
      </c>
      <c r="BD154" s="1" t="s">
        <v>555</v>
      </c>
      <c r="BG154" s="1" t="s">
        <v>558</v>
      </c>
      <c r="BH154" s="1">
        <v>15</v>
      </c>
      <c r="BI154" s="1" t="s">
        <v>431</v>
      </c>
      <c r="BJ154" s="1" t="s">
        <v>67</v>
      </c>
      <c r="BK154" s="1" t="s">
        <v>440</v>
      </c>
      <c r="BL154" s="1">
        <v>0</v>
      </c>
      <c r="BM154" s="1" t="s">
        <v>801</v>
      </c>
      <c r="BN154" s="1" t="s">
        <v>1146</v>
      </c>
      <c r="BP154" s="1">
        <v>38742546</v>
      </c>
      <c r="BR154" s="1" t="s">
        <v>69</v>
      </c>
      <c r="BS154" s="1" t="s">
        <v>1023</v>
      </c>
      <c r="BT154" s="1" t="s">
        <v>574</v>
      </c>
      <c r="BU154" s="1" t="s">
        <v>456</v>
      </c>
      <c r="BV154" s="1" t="s">
        <v>555</v>
      </c>
      <c r="BY154" s="1" t="s">
        <v>558</v>
      </c>
      <c r="BZ154" s="1">
        <v>15</v>
      </c>
      <c r="CJ154" s="1">
        <v>2.1839599999999999</v>
      </c>
      <c r="CK154" s="1">
        <v>2.18146</v>
      </c>
      <c r="CL154" s="1">
        <v>2.1864599999999998</v>
      </c>
      <c r="CR154" s="1">
        <v>-40530.293231703297</v>
      </c>
      <c r="CS154" s="1">
        <v>-41501.370000000003</v>
      </c>
      <c r="CT154" s="1">
        <v>-39559.22</v>
      </c>
      <c r="CU154" s="1">
        <v>-0.1046</v>
      </c>
      <c r="CZ154" s="1">
        <v>-40530.29</v>
      </c>
      <c r="DA154" s="1">
        <v>-40530.29</v>
      </c>
      <c r="DB154" s="1">
        <v>-96097.51</v>
      </c>
      <c r="DC154" s="1">
        <v>55567.21</v>
      </c>
      <c r="DD154" s="2">
        <v>1481.56</v>
      </c>
      <c r="DG154" s="1">
        <v>449.41</v>
      </c>
      <c r="DL154" s="1">
        <v>-39543177.789999999</v>
      </c>
      <c r="DM154" s="1">
        <v>-38838464.979999997</v>
      </c>
      <c r="DN154" s="1">
        <v>-704712.81</v>
      </c>
      <c r="DO154" s="1">
        <v>2.8847</v>
      </c>
      <c r="DP154" s="1" t="s">
        <v>1189</v>
      </c>
      <c r="DQ154" s="1" t="s">
        <v>1189</v>
      </c>
      <c r="DS154" s="1">
        <v>39502647.5</v>
      </c>
      <c r="DT154" s="1">
        <v>38742367.469999999</v>
      </c>
      <c r="DU154" s="1">
        <v>760280.03</v>
      </c>
      <c r="DV154" s="1">
        <v>2.7803599999999999</v>
      </c>
      <c r="DW154" s="1" t="s">
        <v>1189</v>
      </c>
      <c r="DX154" s="1" t="s">
        <v>1189</v>
      </c>
      <c r="DY154" s="1" t="s">
        <v>1061</v>
      </c>
      <c r="DZ154" s="1">
        <v>-56709</v>
      </c>
      <c r="EA154" s="1">
        <v>-24352</v>
      </c>
      <c r="ED154" s="1" t="s">
        <v>50</v>
      </c>
      <c r="EE154" s="1" t="s">
        <v>1190</v>
      </c>
      <c r="EF154" s="1" t="s">
        <v>53</v>
      </c>
      <c r="EG154" s="1" t="s">
        <v>1190</v>
      </c>
      <c r="EH154" s="1" t="s">
        <v>51</v>
      </c>
      <c r="EJ154" s="1" t="s">
        <v>55</v>
      </c>
      <c r="EL154" s="1" t="s">
        <v>57</v>
      </c>
    </row>
    <row r="155" spans="1:142" x14ac:dyDescent="0.2">
      <c r="A155" s="101">
        <v>77406891001</v>
      </c>
      <c r="B155" s="101">
        <v>77406891</v>
      </c>
      <c r="D155" s="1" t="s">
        <v>43</v>
      </c>
      <c r="E155" s="1" t="s">
        <v>44</v>
      </c>
      <c r="F155" s="1" t="s">
        <v>583</v>
      </c>
      <c r="AI155" s="1" t="s">
        <v>551</v>
      </c>
      <c r="AJ155" s="1" t="s">
        <v>44</v>
      </c>
      <c r="AK155" s="1" t="s">
        <v>584</v>
      </c>
      <c r="AL155" s="1" t="s">
        <v>801</v>
      </c>
      <c r="AR155" s="1" t="s">
        <v>79</v>
      </c>
      <c r="AS155" s="1" t="s">
        <v>71</v>
      </c>
      <c r="AT155" s="1">
        <v>2.3327</v>
      </c>
      <c r="AV155" s="1" t="s">
        <v>801</v>
      </c>
      <c r="AW155" s="1" t="s">
        <v>1191</v>
      </c>
      <c r="AX155" s="1">
        <v>20000000</v>
      </c>
      <c r="BA155" s="1" t="s">
        <v>69</v>
      </c>
      <c r="BB155" s="1" t="s">
        <v>574</v>
      </c>
      <c r="BC155" s="1" t="s">
        <v>456</v>
      </c>
      <c r="BD155" s="1" t="s">
        <v>555</v>
      </c>
      <c r="BG155" s="1" t="s">
        <v>558</v>
      </c>
      <c r="BH155" s="1">
        <v>9</v>
      </c>
      <c r="BI155" s="1" t="s">
        <v>431</v>
      </c>
      <c r="BJ155" s="1" t="s">
        <v>67</v>
      </c>
      <c r="BK155" s="1" t="s">
        <v>440</v>
      </c>
      <c r="BL155" s="1">
        <v>0</v>
      </c>
      <c r="BM155" s="1" t="s">
        <v>801</v>
      </c>
      <c r="BN155" s="1" t="s">
        <v>1191</v>
      </c>
      <c r="BP155" s="1">
        <v>20000000</v>
      </c>
      <c r="BR155" s="1" t="s">
        <v>69</v>
      </c>
      <c r="BS155" s="1" t="s">
        <v>69</v>
      </c>
      <c r="BT155" s="1" t="s">
        <v>574</v>
      </c>
      <c r="BU155" s="1" t="s">
        <v>456</v>
      </c>
      <c r="BV155" s="1" t="s">
        <v>555</v>
      </c>
      <c r="BY155" s="1" t="s">
        <v>558</v>
      </c>
      <c r="BZ155" s="1">
        <v>9</v>
      </c>
      <c r="CJ155" s="1">
        <v>1.97746</v>
      </c>
      <c r="CK155" s="1">
        <v>1.97496</v>
      </c>
      <c r="CL155" s="1">
        <v>1.9799599999999999</v>
      </c>
      <c r="CR155" s="1">
        <v>-63342.456813018798</v>
      </c>
      <c r="CS155" s="1">
        <v>-64812.88</v>
      </c>
      <c r="CT155" s="1">
        <v>-61872.03</v>
      </c>
      <c r="CU155" s="1">
        <v>-0.31669999999999998</v>
      </c>
      <c r="CZ155" s="1">
        <v>-63342.46</v>
      </c>
      <c r="DA155" s="1">
        <v>-63342.46</v>
      </c>
      <c r="DB155" s="1">
        <v>-161641.16</v>
      </c>
      <c r="DC155" s="1">
        <v>98298.7</v>
      </c>
      <c r="DD155" s="2">
        <v>4644.24</v>
      </c>
      <c r="DG155" s="1">
        <v>168.86</v>
      </c>
      <c r="DL155" s="1">
        <v>-20455748.59</v>
      </c>
      <c r="DM155" s="1">
        <v>-20161569.199999999</v>
      </c>
      <c r="DN155" s="1">
        <v>-294179.39</v>
      </c>
      <c r="DO155" s="1">
        <v>2.3327</v>
      </c>
      <c r="DP155" s="1" t="s">
        <v>964</v>
      </c>
      <c r="DQ155" s="1" t="s">
        <v>1192</v>
      </c>
      <c r="DS155" s="1">
        <v>20392406.129999999</v>
      </c>
      <c r="DT155" s="1">
        <v>19999928.039999999</v>
      </c>
      <c r="DU155" s="1">
        <v>392478.09</v>
      </c>
      <c r="DV155" s="1">
        <v>2.7883100000000001</v>
      </c>
      <c r="DW155" s="1" t="s">
        <v>964</v>
      </c>
      <c r="DX155" s="1" t="s">
        <v>1192</v>
      </c>
      <c r="DY155" s="1" t="s">
        <v>1193</v>
      </c>
      <c r="DZ155" s="1">
        <v>-109261</v>
      </c>
      <c r="EA155" s="1">
        <v>-17423</v>
      </c>
      <c r="ED155" s="1" t="s">
        <v>50</v>
      </c>
      <c r="EE155" s="1" t="s">
        <v>1194</v>
      </c>
      <c r="EF155" s="1" t="s">
        <v>53</v>
      </c>
      <c r="EG155" s="1" t="s">
        <v>1194</v>
      </c>
      <c r="EH155" s="1" t="s">
        <v>51</v>
      </c>
      <c r="EJ155" s="1" t="s">
        <v>55</v>
      </c>
      <c r="EL155" s="1" t="s">
        <v>57</v>
      </c>
    </row>
    <row r="156" spans="1:142" x14ac:dyDescent="0.2">
      <c r="A156" s="101">
        <v>77698707001</v>
      </c>
      <c r="B156" s="101">
        <v>77698707</v>
      </c>
      <c r="D156" s="1" t="s">
        <v>75</v>
      </c>
      <c r="E156" s="1" t="s">
        <v>44</v>
      </c>
      <c r="F156" s="1" t="s">
        <v>583</v>
      </c>
      <c r="AI156" s="1" t="s">
        <v>551</v>
      </c>
      <c r="AJ156" s="1" t="s">
        <v>44</v>
      </c>
      <c r="AK156" s="1" t="s">
        <v>584</v>
      </c>
      <c r="AL156" s="1" t="s">
        <v>803</v>
      </c>
      <c r="AR156" s="1" t="s">
        <v>79</v>
      </c>
      <c r="AS156" s="1" t="s">
        <v>71</v>
      </c>
      <c r="AT156" s="1">
        <v>2.9146999999999998</v>
      </c>
      <c r="AV156" s="1" t="s">
        <v>805</v>
      </c>
      <c r="AW156" s="1" t="s">
        <v>1195</v>
      </c>
      <c r="AX156" s="1">
        <v>29042688</v>
      </c>
      <c r="BA156" s="1" t="s">
        <v>69</v>
      </c>
      <c r="BB156" s="1" t="s">
        <v>574</v>
      </c>
      <c r="BC156" s="1" t="s">
        <v>456</v>
      </c>
      <c r="BD156" s="1" t="s">
        <v>555</v>
      </c>
      <c r="BG156" s="1" t="s">
        <v>558</v>
      </c>
      <c r="BH156" s="1">
        <v>21</v>
      </c>
      <c r="BI156" s="1" t="s">
        <v>431</v>
      </c>
      <c r="BJ156" s="1" t="s">
        <v>67</v>
      </c>
      <c r="BK156" s="1" t="s">
        <v>440</v>
      </c>
      <c r="BL156" s="1">
        <v>0</v>
      </c>
      <c r="BM156" s="1" t="s">
        <v>805</v>
      </c>
      <c r="BN156" s="1" t="s">
        <v>1195</v>
      </c>
      <c r="BP156" s="1">
        <v>29042688</v>
      </c>
      <c r="BR156" s="1" t="s">
        <v>69</v>
      </c>
      <c r="BS156" s="1" t="s">
        <v>1023</v>
      </c>
      <c r="BT156" s="1" t="s">
        <v>574</v>
      </c>
      <c r="BU156" s="1" t="s">
        <v>456</v>
      </c>
      <c r="BV156" s="1" t="s">
        <v>555</v>
      </c>
      <c r="BY156" s="1" t="s">
        <v>558</v>
      </c>
      <c r="BZ156" s="1">
        <v>21</v>
      </c>
      <c r="CJ156" s="1">
        <v>2.1766299999999998</v>
      </c>
      <c r="CK156" s="1">
        <v>2.1741299999999999</v>
      </c>
      <c r="CL156" s="1">
        <v>2.1791299999999998</v>
      </c>
      <c r="CR156" s="1">
        <v>-47340.231459926799</v>
      </c>
      <c r="CS156" s="1">
        <v>-48068.02</v>
      </c>
      <c r="CT156" s="1">
        <v>-46612.44</v>
      </c>
      <c r="CU156" s="1">
        <v>-0.16300000000000001</v>
      </c>
      <c r="CZ156" s="1">
        <v>-47340.23</v>
      </c>
      <c r="DA156" s="1">
        <v>-47340.23</v>
      </c>
      <c r="DB156" s="1">
        <v>-79534.53</v>
      </c>
      <c r="DC156" s="1">
        <v>32194.3</v>
      </c>
      <c r="DD156" s="2">
        <v>1159.31</v>
      </c>
      <c r="DG156" s="1">
        <v>348.36</v>
      </c>
      <c r="DL156" s="1">
        <v>-29641840.719999999</v>
      </c>
      <c r="DM156" s="1">
        <v>-29122179.34</v>
      </c>
      <c r="DN156" s="1">
        <v>-519661.38</v>
      </c>
      <c r="DO156" s="1">
        <v>2.9146999999999998</v>
      </c>
      <c r="DP156" s="1" t="s">
        <v>1196</v>
      </c>
      <c r="DQ156" s="1" t="s">
        <v>1196</v>
      </c>
      <c r="DS156" s="1">
        <v>29594500.489999998</v>
      </c>
      <c r="DT156" s="1">
        <v>29042644.809999999</v>
      </c>
      <c r="DU156" s="1">
        <v>551855.68000000005</v>
      </c>
      <c r="DV156" s="1">
        <v>2.7520799999999999</v>
      </c>
      <c r="DW156" s="1" t="s">
        <v>1196</v>
      </c>
      <c r="DX156" s="1" t="s">
        <v>1196</v>
      </c>
      <c r="DY156" s="1" t="s">
        <v>803</v>
      </c>
      <c r="DZ156" s="1">
        <v>-59957</v>
      </c>
      <c r="EA156" s="1">
        <v>-34723</v>
      </c>
      <c r="ED156" s="1" t="s">
        <v>50</v>
      </c>
      <c r="EE156" s="1" t="s">
        <v>1197</v>
      </c>
      <c r="EF156" s="1" t="s">
        <v>53</v>
      </c>
      <c r="EG156" s="1" t="s">
        <v>1197</v>
      </c>
      <c r="EH156" s="1" t="s">
        <v>51</v>
      </c>
      <c r="EJ156" s="1" t="s">
        <v>55</v>
      </c>
      <c r="EL156" s="1" t="s">
        <v>57</v>
      </c>
    </row>
    <row r="157" spans="1:142" x14ac:dyDescent="0.2">
      <c r="A157" s="101">
        <v>77764077001</v>
      </c>
      <c r="B157" s="101">
        <v>77764077</v>
      </c>
      <c r="D157" s="1" t="s">
        <v>43</v>
      </c>
      <c r="E157" s="1" t="s">
        <v>44</v>
      </c>
      <c r="F157" s="1" t="s">
        <v>583</v>
      </c>
      <c r="AI157" s="1" t="s">
        <v>551</v>
      </c>
      <c r="AJ157" s="1" t="s">
        <v>44</v>
      </c>
      <c r="AK157" s="1" t="s">
        <v>584</v>
      </c>
      <c r="AL157" s="1" t="s">
        <v>804</v>
      </c>
      <c r="AR157" s="1" t="s">
        <v>79</v>
      </c>
      <c r="AS157" s="1" t="s">
        <v>71</v>
      </c>
      <c r="AT157" s="1">
        <v>3.0886999999999998</v>
      </c>
      <c r="AV157" s="1" t="s">
        <v>806</v>
      </c>
      <c r="AW157" s="1" t="s">
        <v>1198</v>
      </c>
      <c r="AX157" s="1">
        <v>6240648</v>
      </c>
      <c r="BA157" s="1" t="s">
        <v>69</v>
      </c>
      <c r="BB157" s="1" t="s">
        <v>574</v>
      </c>
      <c r="BC157" s="1" t="s">
        <v>456</v>
      </c>
      <c r="BD157" s="1" t="s">
        <v>555</v>
      </c>
      <c r="BG157" s="1" t="s">
        <v>558</v>
      </c>
      <c r="BH157" s="1">
        <v>9</v>
      </c>
      <c r="BI157" s="1" t="s">
        <v>431</v>
      </c>
      <c r="BJ157" s="1" t="s">
        <v>67</v>
      </c>
      <c r="BK157" s="1" t="s">
        <v>440</v>
      </c>
      <c r="BL157" s="1">
        <v>0</v>
      </c>
      <c r="BM157" s="1" t="s">
        <v>806</v>
      </c>
      <c r="BN157" s="1" t="s">
        <v>1198</v>
      </c>
      <c r="BP157" s="1">
        <v>6240648</v>
      </c>
      <c r="BR157" s="1" t="s">
        <v>69</v>
      </c>
      <c r="BS157" s="1" t="s">
        <v>1023</v>
      </c>
      <c r="BT157" s="1" t="s">
        <v>574</v>
      </c>
      <c r="BU157" s="1" t="s">
        <v>456</v>
      </c>
      <c r="BV157" s="1" t="s">
        <v>555</v>
      </c>
      <c r="BY157" s="1" t="s">
        <v>558</v>
      </c>
      <c r="BZ157" s="1">
        <v>9</v>
      </c>
      <c r="CJ157" s="1">
        <v>2.3421400000000001</v>
      </c>
      <c r="CK157" s="1">
        <v>2.3396400000000002</v>
      </c>
      <c r="CL157" s="1">
        <v>2.3446400000000001</v>
      </c>
      <c r="CR157" s="1">
        <v>-4567.1746591311003</v>
      </c>
      <c r="CS157" s="1">
        <v>-4679.1099999999997</v>
      </c>
      <c r="CT157" s="1">
        <v>-4455.24</v>
      </c>
      <c r="CU157" s="1">
        <v>-7.3200000000000001E-2</v>
      </c>
      <c r="CZ157" s="1">
        <v>-4567.17</v>
      </c>
      <c r="DA157" s="1">
        <v>-4567.17</v>
      </c>
      <c r="DB157" s="1">
        <v>-4707.25</v>
      </c>
      <c r="DC157" s="1">
        <v>140.08000000000001</v>
      </c>
      <c r="DD157" s="2">
        <v>67</v>
      </c>
      <c r="DG157" s="1">
        <v>30.14</v>
      </c>
      <c r="DL157" s="1">
        <v>-6363125.1200000001</v>
      </c>
      <c r="DM157" s="1">
        <v>-6245330.46</v>
      </c>
      <c r="DN157" s="1">
        <v>-117794.66</v>
      </c>
      <c r="DO157" s="1">
        <v>3.0886999999999998</v>
      </c>
      <c r="DP157" s="1" t="s">
        <v>1019</v>
      </c>
      <c r="DQ157" s="1" t="s">
        <v>1019</v>
      </c>
      <c r="DS157" s="1">
        <v>6358557.9400000004</v>
      </c>
      <c r="DT157" s="1">
        <v>6240623.21</v>
      </c>
      <c r="DU157" s="1">
        <v>117934.74</v>
      </c>
      <c r="DV157" s="1">
        <v>2.9866999999999999</v>
      </c>
      <c r="DW157" s="1" t="s">
        <v>1019</v>
      </c>
      <c r="DX157" s="1" t="s">
        <v>1019</v>
      </c>
      <c r="DY157" s="1" t="s">
        <v>804</v>
      </c>
      <c r="DZ157" s="1">
        <v>-5352</v>
      </c>
      <c r="EA157" s="1">
        <v>-3783</v>
      </c>
      <c r="ED157" s="1" t="s">
        <v>50</v>
      </c>
      <c r="EE157" s="1" t="s">
        <v>1199</v>
      </c>
      <c r="EF157" s="1" t="s">
        <v>53</v>
      </c>
      <c r="EG157" s="1" t="s">
        <v>1199</v>
      </c>
      <c r="EH157" s="1" t="s">
        <v>51</v>
      </c>
      <c r="EJ157" s="1" t="s">
        <v>55</v>
      </c>
      <c r="EL157" s="1" t="s">
        <v>57</v>
      </c>
    </row>
    <row r="158" spans="1:142" x14ac:dyDescent="0.2">
      <c r="A158" s="101">
        <v>77854107001</v>
      </c>
      <c r="B158" s="101">
        <v>77854107</v>
      </c>
      <c r="D158" s="1" t="s">
        <v>77</v>
      </c>
      <c r="E158" s="1" t="s">
        <v>44</v>
      </c>
      <c r="F158" s="1" t="s">
        <v>583</v>
      </c>
      <c r="AI158" s="1" t="s">
        <v>551</v>
      </c>
      <c r="AJ158" s="1" t="s">
        <v>44</v>
      </c>
      <c r="AK158" s="1" t="s">
        <v>584</v>
      </c>
      <c r="AL158" s="1" t="s">
        <v>805</v>
      </c>
      <c r="AR158" s="1" t="s">
        <v>79</v>
      </c>
      <c r="AS158" s="1" t="s">
        <v>71</v>
      </c>
      <c r="AT158" s="1">
        <v>2.6791999999999998</v>
      </c>
      <c r="AV158" s="1" t="s">
        <v>807</v>
      </c>
      <c r="AW158" s="1" t="s">
        <v>960</v>
      </c>
      <c r="AX158" s="1">
        <v>15136276</v>
      </c>
      <c r="BA158" s="1" t="s">
        <v>69</v>
      </c>
      <c r="BB158" s="1" t="s">
        <v>574</v>
      </c>
      <c r="BC158" s="1" t="s">
        <v>456</v>
      </c>
      <c r="BD158" s="1" t="s">
        <v>555</v>
      </c>
      <c r="BG158" s="1" t="s">
        <v>558</v>
      </c>
      <c r="BH158" s="1">
        <v>5</v>
      </c>
      <c r="BI158" s="1" t="s">
        <v>431</v>
      </c>
      <c r="BJ158" s="1" t="s">
        <v>67</v>
      </c>
      <c r="BK158" s="1" t="s">
        <v>440</v>
      </c>
      <c r="BL158" s="1">
        <v>0</v>
      </c>
      <c r="BM158" s="1" t="s">
        <v>807</v>
      </c>
      <c r="BN158" s="1" t="s">
        <v>960</v>
      </c>
      <c r="BP158" s="1">
        <v>15136276</v>
      </c>
      <c r="BR158" s="1" t="s">
        <v>69</v>
      </c>
      <c r="BS158" s="1" t="s">
        <v>69</v>
      </c>
      <c r="BT158" s="1" t="s">
        <v>574</v>
      </c>
      <c r="BU158" s="1" t="s">
        <v>456</v>
      </c>
      <c r="BV158" s="1" t="s">
        <v>555</v>
      </c>
      <c r="BY158" s="1" t="s">
        <v>558</v>
      </c>
      <c r="BZ158" s="1">
        <v>5</v>
      </c>
      <c r="CJ158" s="1">
        <v>2.0550999999999999</v>
      </c>
      <c r="CK158" s="1">
        <v>2.0526</v>
      </c>
      <c r="CL158" s="1">
        <v>2.0575999999999999</v>
      </c>
      <c r="CR158" s="1">
        <v>-69484.872094929204</v>
      </c>
      <c r="CS158" s="1">
        <v>-69861.440000000002</v>
      </c>
      <c r="CT158" s="1">
        <v>-69108.31</v>
      </c>
      <c r="CU158" s="1">
        <v>-0.45910000000000001</v>
      </c>
      <c r="CZ158" s="1">
        <v>-69484.87</v>
      </c>
      <c r="DA158" s="1">
        <v>-69484.87</v>
      </c>
      <c r="DB158" s="1">
        <v>-70490.539999999994</v>
      </c>
      <c r="DC158" s="1">
        <v>1005.67</v>
      </c>
      <c r="DD158" s="2">
        <v>1167.29</v>
      </c>
      <c r="DG158" s="1">
        <v>235.92</v>
      </c>
      <c r="DL158" s="1">
        <v>-15301373.85</v>
      </c>
      <c r="DM158" s="1">
        <v>-15206749.92</v>
      </c>
      <c r="DN158" s="1">
        <v>-94623.92</v>
      </c>
      <c r="DO158" s="1">
        <v>2.6791999999999998</v>
      </c>
      <c r="DP158" s="1" t="s">
        <v>961</v>
      </c>
      <c r="DQ158" s="1" t="s">
        <v>961</v>
      </c>
      <c r="DS158" s="1">
        <v>15231888.970000001</v>
      </c>
      <c r="DT158" s="1">
        <v>15136259.380000001</v>
      </c>
      <c r="DU158" s="1">
        <v>95629.6</v>
      </c>
      <c r="DV158" s="1">
        <v>2.2178900000000001</v>
      </c>
      <c r="DW158" s="1" t="s">
        <v>961</v>
      </c>
      <c r="DX158" s="1" t="s">
        <v>961</v>
      </c>
      <c r="DY158" s="1" t="s">
        <v>725</v>
      </c>
      <c r="DZ158" s="1">
        <v>-81479</v>
      </c>
      <c r="EA158" s="1">
        <v>-57490</v>
      </c>
      <c r="ED158" s="1" t="s">
        <v>50</v>
      </c>
      <c r="EE158" s="1" t="s">
        <v>1202</v>
      </c>
      <c r="EF158" s="1" t="s">
        <v>53</v>
      </c>
      <c r="EG158" s="1" t="s">
        <v>1202</v>
      </c>
      <c r="EH158" s="1" t="s">
        <v>51</v>
      </c>
      <c r="EJ158" s="1" t="s">
        <v>55</v>
      </c>
      <c r="EL158" s="1" t="s">
        <v>57</v>
      </c>
    </row>
    <row r="159" spans="1:142" x14ac:dyDescent="0.2">
      <c r="A159" s="101">
        <v>78035332001</v>
      </c>
      <c r="B159" s="101">
        <v>78035332</v>
      </c>
      <c r="D159" s="1" t="s">
        <v>75</v>
      </c>
      <c r="E159" s="1" t="s">
        <v>44</v>
      </c>
      <c r="F159" s="1" t="s">
        <v>583</v>
      </c>
      <c r="AI159" s="1" t="s">
        <v>551</v>
      </c>
      <c r="AJ159" s="1" t="s">
        <v>44</v>
      </c>
      <c r="AK159" s="1" t="s">
        <v>584</v>
      </c>
      <c r="AL159" s="1" t="s">
        <v>806</v>
      </c>
      <c r="AR159" s="1" t="s">
        <v>79</v>
      </c>
      <c r="AS159" s="1" t="s">
        <v>71</v>
      </c>
      <c r="AT159" s="1">
        <v>2.8921999999999999</v>
      </c>
      <c r="AV159" s="1" t="s">
        <v>790</v>
      </c>
      <c r="AW159" s="1" t="s">
        <v>1203</v>
      </c>
      <c r="AX159" s="1">
        <v>38746810</v>
      </c>
      <c r="BA159" s="1" t="s">
        <v>69</v>
      </c>
      <c r="BB159" s="1" t="s">
        <v>574</v>
      </c>
      <c r="BC159" s="1" t="s">
        <v>456</v>
      </c>
      <c r="BD159" s="1" t="s">
        <v>555</v>
      </c>
      <c r="BG159" s="1" t="s">
        <v>558</v>
      </c>
      <c r="BH159" s="1">
        <v>27</v>
      </c>
      <c r="BI159" s="1" t="s">
        <v>431</v>
      </c>
      <c r="BJ159" s="1" t="s">
        <v>67</v>
      </c>
      <c r="BK159" s="1" t="s">
        <v>440</v>
      </c>
      <c r="BL159" s="1">
        <v>0</v>
      </c>
      <c r="BM159" s="1" t="s">
        <v>790</v>
      </c>
      <c r="BN159" s="1" t="s">
        <v>1203</v>
      </c>
      <c r="BP159" s="1">
        <v>38746810</v>
      </c>
      <c r="BR159" s="1" t="s">
        <v>69</v>
      </c>
      <c r="BS159" s="1" t="s">
        <v>69</v>
      </c>
      <c r="BT159" s="1" t="s">
        <v>574</v>
      </c>
      <c r="BU159" s="1" t="s">
        <v>456</v>
      </c>
      <c r="BV159" s="1" t="s">
        <v>555</v>
      </c>
      <c r="BY159" s="1" t="s">
        <v>558</v>
      </c>
      <c r="BZ159" s="1">
        <v>27</v>
      </c>
      <c r="CJ159" s="1">
        <v>2.1693500000000001</v>
      </c>
      <c r="CK159" s="1">
        <v>2.1668500000000002</v>
      </c>
      <c r="CL159" s="1">
        <v>2.1718500000000001</v>
      </c>
      <c r="CR159" s="1">
        <v>-64538.5572201908</v>
      </c>
      <c r="CS159" s="1">
        <v>-65511.87</v>
      </c>
      <c r="CT159" s="1">
        <v>-63565.24</v>
      </c>
      <c r="CU159" s="1">
        <v>-0.1666</v>
      </c>
      <c r="CZ159" s="1">
        <v>-64538.559999999998</v>
      </c>
      <c r="DA159" s="1">
        <v>-64538.559999999998</v>
      </c>
      <c r="DB159" s="1">
        <v>-108320.09</v>
      </c>
      <c r="DC159" s="1">
        <v>43781.53</v>
      </c>
      <c r="DD159" s="2">
        <v>1610.73</v>
      </c>
      <c r="DG159" s="1">
        <v>478.7</v>
      </c>
      <c r="DL159" s="1">
        <v>-39527454.399999999</v>
      </c>
      <c r="DM159" s="1">
        <v>-38855073.25</v>
      </c>
      <c r="DN159" s="1">
        <v>-672381.14</v>
      </c>
      <c r="DO159" s="1">
        <v>2.8921999999999999</v>
      </c>
      <c r="DP159" s="1" t="s">
        <v>1204</v>
      </c>
      <c r="DQ159" s="1" t="s">
        <v>1204</v>
      </c>
      <c r="DS159" s="1">
        <v>39462915.840000004</v>
      </c>
      <c r="DT159" s="1">
        <v>38746753.159999996</v>
      </c>
      <c r="DU159" s="1">
        <v>716162.68</v>
      </c>
      <c r="DV159" s="1">
        <v>2.7264300000000001</v>
      </c>
      <c r="DW159" s="1" t="s">
        <v>1204</v>
      </c>
      <c r="DX159" s="1" t="s">
        <v>1204</v>
      </c>
      <c r="DY159" s="1" t="s">
        <v>806</v>
      </c>
      <c r="DZ159" s="1">
        <v>-82010</v>
      </c>
      <c r="EA159" s="1">
        <v>-47067</v>
      </c>
      <c r="ED159" s="1" t="s">
        <v>50</v>
      </c>
      <c r="EE159" s="1" t="s">
        <v>1205</v>
      </c>
      <c r="EF159" s="1" t="s">
        <v>53</v>
      </c>
      <c r="EG159" s="1" t="s">
        <v>1205</v>
      </c>
      <c r="EH159" s="1" t="s">
        <v>51</v>
      </c>
      <c r="EJ159" s="1" t="s">
        <v>55</v>
      </c>
      <c r="EL159" s="1" t="s">
        <v>57</v>
      </c>
    </row>
    <row r="160" spans="1:142" x14ac:dyDescent="0.2">
      <c r="A160" s="101">
        <v>78035333001</v>
      </c>
      <c r="B160" s="101">
        <v>78035333</v>
      </c>
      <c r="D160" s="1" t="s">
        <v>43</v>
      </c>
      <c r="E160" s="1" t="s">
        <v>44</v>
      </c>
      <c r="F160" s="1" t="s">
        <v>583</v>
      </c>
      <c r="AI160" s="1" t="s">
        <v>551</v>
      </c>
      <c r="AJ160" s="1" t="s">
        <v>44</v>
      </c>
      <c r="AK160" s="1" t="s">
        <v>584</v>
      </c>
      <c r="AL160" s="1" t="s">
        <v>806</v>
      </c>
      <c r="AR160" s="1" t="s">
        <v>79</v>
      </c>
      <c r="AS160" s="1" t="s">
        <v>71</v>
      </c>
      <c r="AT160" s="1">
        <v>2.7551999999999999</v>
      </c>
      <c r="AV160" s="1" t="s">
        <v>790</v>
      </c>
      <c r="AW160" s="1" t="s">
        <v>857</v>
      </c>
      <c r="AX160" s="1">
        <v>9795600</v>
      </c>
      <c r="BA160" s="1" t="s">
        <v>69</v>
      </c>
      <c r="BB160" s="1" t="s">
        <v>574</v>
      </c>
      <c r="BC160" s="1" t="s">
        <v>456</v>
      </c>
      <c r="BD160" s="1" t="s">
        <v>555</v>
      </c>
      <c r="BG160" s="1" t="s">
        <v>558</v>
      </c>
      <c r="BH160" s="1">
        <v>17</v>
      </c>
      <c r="BI160" s="1" t="s">
        <v>431</v>
      </c>
      <c r="BJ160" s="1" t="s">
        <v>67</v>
      </c>
      <c r="BK160" s="1" t="s">
        <v>440</v>
      </c>
      <c r="BL160" s="1">
        <v>0</v>
      </c>
      <c r="BM160" s="1" t="s">
        <v>790</v>
      </c>
      <c r="BN160" s="1" t="s">
        <v>857</v>
      </c>
      <c r="BP160" s="1">
        <v>9795600</v>
      </c>
      <c r="BR160" s="1" t="s">
        <v>69</v>
      </c>
      <c r="BS160" s="1" t="s">
        <v>69</v>
      </c>
      <c r="BT160" s="1" t="s">
        <v>574</v>
      </c>
      <c r="BU160" s="1" t="s">
        <v>456</v>
      </c>
      <c r="BV160" s="1" t="s">
        <v>555</v>
      </c>
      <c r="BY160" s="1" t="s">
        <v>558</v>
      </c>
      <c r="BZ160" s="1">
        <v>17</v>
      </c>
      <c r="CJ160" s="1">
        <v>2.0889700000000002</v>
      </c>
      <c r="CK160" s="1">
        <v>2.0864699999999998</v>
      </c>
      <c r="CL160" s="1">
        <v>2.0914700000000002</v>
      </c>
      <c r="CR160" s="1">
        <v>-36380.655203612499</v>
      </c>
      <c r="CS160" s="1">
        <v>-36624.97</v>
      </c>
      <c r="CT160" s="1">
        <v>-36136.339999999997</v>
      </c>
      <c r="CU160" s="1">
        <v>-0.37140000000000001</v>
      </c>
      <c r="CZ160" s="1">
        <v>-36380.660000000003</v>
      </c>
      <c r="DA160" s="1">
        <v>-36380.660000000003</v>
      </c>
      <c r="DB160" s="1">
        <v>-39805.360000000001</v>
      </c>
      <c r="DC160" s="1">
        <v>3424.7</v>
      </c>
      <c r="DD160" s="2">
        <v>626.4</v>
      </c>
      <c r="DG160" s="1">
        <v>144.88999999999999</v>
      </c>
      <c r="DL160" s="1">
        <v>-9935102.2899999991</v>
      </c>
      <c r="DM160" s="1">
        <v>-9835393.5299999993</v>
      </c>
      <c r="DN160" s="1">
        <v>-99708.76</v>
      </c>
      <c r="DO160" s="1">
        <v>2.7551999999999999</v>
      </c>
      <c r="DP160" s="1" t="s">
        <v>983</v>
      </c>
      <c r="DQ160" s="1" t="s">
        <v>983</v>
      </c>
      <c r="DS160" s="1">
        <v>9898721.6300000008</v>
      </c>
      <c r="DT160" s="1">
        <v>9795588.1699999999</v>
      </c>
      <c r="DU160" s="1">
        <v>103133.46</v>
      </c>
      <c r="DV160" s="1">
        <v>2.38293</v>
      </c>
      <c r="DW160" s="1" t="s">
        <v>983</v>
      </c>
      <c r="DX160" s="1" t="s">
        <v>983</v>
      </c>
      <c r="DY160" s="1" t="s">
        <v>860</v>
      </c>
      <c r="DZ160" s="1">
        <v>-42923</v>
      </c>
      <c r="EA160" s="1">
        <v>-29838</v>
      </c>
      <c r="ED160" s="1" t="s">
        <v>50</v>
      </c>
      <c r="EE160" s="1" t="s">
        <v>1206</v>
      </c>
      <c r="EF160" s="1" t="s">
        <v>53</v>
      </c>
      <c r="EG160" s="1" t="s">
        <v>1206</v>
      </c>
      <c r="EH160" s="1" t="s">
        <v>51</v>
      </c>
      <c r="EJ160" s="1" t="s">
        <v>55</v>
      </c>
      <c r="EL160" s="1" t="s">
        <v>57</v>
      </c>
    </row>
    <row r="161" spans="1:142" x14ac:dyDescent="0.2">
      <c r="A161" s="101">
        <v>78035594001</v>
      </c>
      <c r="B161" s="101">
        <v>78035594</v>
      </c>
      <c r="D161" s="1" t="s">
        <v>220</v>
      </c>
      <c r="E161" s="1" t="s">
        <v>44</v>
      </c>
      <c r="F161" s="1" t="s">
        <v>583</v>
      </c>
      <c r="AI161" s="1" t="s">
        <v>551</v>
      </c>
      <c r="AJ161" s="1" t="s">
        <v>44</v>
      </c>
      <c r="AK161" s="1" t="s">
        <v>584</v>
      </c>
      <c r="AL161" s="1" t="s">
        <v>806</v>
      </c>
      <c r="AR161" s="1" t="s">
        <v>79</v>
      </c>
      <c r="AS161" s="1" t="s">
        <v>71</v>
      </c>
      <c r="AT161" s="1">
        <v>2.6932</v>
      </c>
      <c r="AV161" s="1" t="s">
        <v>790</v>
      </c>
      <c r="AW161" s="1" t="s">
        <v>960</v>
      </c>
      <c r="AX161" s="1">
        <v>9750000</v>
      </c>
      <c r="BA161" s="1" t="s">
        <v>69</v>
      </c>
      <c r="BB161" s="1" t="s">
        <v>574</v>
      </c>
      <c r="BC161" s="1" t="s">
        <v>456</v>
      </c>
      <c r="BD161" s="1" t="s">
        <v>555</v>
      </c>
      <c r="BG161" s="1" t="s">
        <v>558</v>
      </c>
      <c r="BH161" s="1">
        <v>5</v>
      </c>
      <c r="BI161" s="1" t="s">
        <v>431</v>
      </c>
      <c r="BJ161" s="1" t="s">
        <v>67</v>
      </c>
      <c r="BK161" s="1" t="s">
        <v>440</v>
      </c>
      <c r="BL161" s="1">
        <v>0</v>
      </c>
      <c r="BM161" s="1" t="s">
        <v>790</v>
      </c>
      <c r="BN161" s="1" t="s">
        <v>960</v>
      </c>
      <c r="BP161" s="1">
        <v>9750000</v>
      </c>
      <c r="BR161" s="1" t="s">
        <v>69</v>
      </c>
      <c r="BS161" s="1" t="s">
        <v>69</v>
      </c>
      <c r="BT161" s="1" t="s">
        <v>574</v>
      </c>
      <c r="BU161" s="1" t="s">
        <v>456</v>
      </c>
      <c r="BV161" s="1" t="s">
        <v>555</v>
      </c>
      <c r="BY161" s="1" t="s">
        <v>558</v>
      </c>
      <c r="BZ161" s="1">
        <v>5</v>
      </c>
      <c r="CJ161" s="1">
        <v>2.0550999999999999</v>
      </c>
      <c r="CK161" s="1">
        <v>2.0526</v>
      </c>
      <c r="CL161" s="1">
        <v>2.0575999999999999</v>
      </c>
      <c r="CR161" s="1">
        <v>-46116.886245224603</v>
      </c>
      <c r="CS161" s="1">
        <v>-46359.45</v>
      </c>
      <c r="CT161" s="1">
        <v>-45874.32</v>
      </c>
      <c r="CU161" s="1">
        <v>-0.47299999999999998</v>
      </c>
      <c r="CZ161" s="1">
        <v>-46116.89</v>
      </c>
      <c r="DA161" s="1">
        <v>-46116.89</v>
      </c>
      <c r="DB161" s="1">
        <v>-46446.19</v>
      </c>
      <c r="DC161" s="1">
        <v>329.3</v>
      </c>
      <c r="DD161" s="2">
        <v>752.01</v>
      </c>
      <c r="DG161" s="1">
        <v>151.9</v>
      </c>
      <c r="DL161" s="1">
        <v>-9857705.7799999993</v>
      </c>
      <c r="DM161" s="1">
        <v>-9796435.4800000004</v>
      </c>
      <c r="DN161" s="1">
        <v>-61270.3</v>
      </c>
      <c r="DO161" s="1">
        <v>2.6932</v>
      </c>
      <c r="DP161" s="1" t="s">
        <v>961</v>
      </c>
      <c r="DQ161" s="1" t="s">
        <v>961</v>
      </c>
      <c r="DS161" s="1">
        <v>9811588.8900000006</v>
      </c>
      <c r="DT161" s="1">
        <v>9749989.2899999991</v>
      </c>
      <c r="DU161" s="1">
        <v>61599.6</v>
      </c>
      <c r="DV161" s="1">
        <v>2.2178900000000001</v>
      </c>
      <c r="DW161" s="1" t="s">
        <v>961</v>
      </c>
      <c r="DX161" s="1" t="s">
        <v>961</v>
      </c>
      <c r="DY161" s="1" t="s">
        <v>725</v>
      </c>
      <c r="DZ161" s="1">
        <v>-53844</v>
      </c>
      <c r="EA161" s="1">
        <v>-38390</v>
      </c>
      <c r="ED161" s="1" t="s">
        <v>50</v>
      </c>
      <c r="EE161" s="1" t="s">
        <v>1207</v>
      </c>
      <c r="EF161" s="1" t="s">
        <v>53</v>
      </c>
      <c r="EG161" s="1" t="s">
        <v>1207</v>
      </c>
      <c r="EH161" s="1" t="s">
        <v>51</v>
      </c>
      <c r="EJ161" s="1" t="s">
        <v>55</v>
      </c>
      <c r="EL161" s="1" t="s">
        <v>57</v>
      </c>
    </row>
    <row r="162" spans="1:142" x14ac:dyDescent="0.2">
      <c r="A162" s="101">
        <v>78035635001</v>
      </c>
      <c r="B162" s="101">
        <v>78035635</v>
      </c>
      <c r="D162" s="1" t="s">
        <v>75</v>
      </c>
      <c r="E162" s="1" t="s">
        <v>44</v>
      </c>
      <c r="F162" s="1" t="s">
        <v>583</v>
      </c>
      <c r="AI162" s="1" t="s">
        <v>551</v>
      </c>
      <c r="AJ162" s="1" t="s">
        <v>44</v>
      </c>
      <c r="AK162" s="1" t="s">
        <v>584</v>
      </c>
      <c r="AL162" s="1" t="s">
        <v>806</v>
      </c>
      <c r="AR162" s="1" t="s">
        <v>79</v>
      </c>
      <c r="AS162" s="1" t="s">
        <v>71</v>
      </c>
      <c r="AT162" s="1">
        <v>2.6572</v>
      </c>
      <c r="AV162" s="1" t="s">
        <v>790</v>
      </c>
      <c r="AW162" s="1" t="s">
        <v>1077</v>
      </c>
      <c r="AX162" s="1">
        <v>8340901</v>
      </c>
      <c r="BA162" s="1" t="s">
        <v>69</v>
      </c>
      <c r="BB162" s="1" t="s">
        <v>574</v>
      </c>
      <c r="BC162" s="1" t="s">
        <v>456</v>
      </c>
      <c r="BD162" s="1" t="s">
        <v>555</v>
      </c>
      <c r="BG162" s="1" t="s">
        <v>558</v>
      </c>
      <c r="BH162" s="1">
        <v>16</v>
      </c>
      <c r="BI162" s="1" t="s">
        <v>431</v>
      </c>
      <c r="BJ162" s="1" t="s">
        <v>67</v>
      </c>
      <c r="BK162" s="1" t="s">
        <v>440</v>
      </c>
      <c r="BL162" s="1">
        <v>0</v>
      </c>
      <c r="BM162" s="1" t="s">
        <v>790</v>
      </c>
      <c r="BN162" s="1" t="s">
        <v>1077</v>
      </c>
      <c r="BP162" s="1">
        <v>8340901</v>
      </c>
      <c r="BR162" s="1" t="s">
        <v>69</v>
      </c>
      <c r="BS162" s="1" t="s">
        <v>69</v>
      </c>
      <c r="BT162" s="1" t="s">
        <v>574</v>
      </c>
      <c r="BU162" s="1" t="s">
        <v>456</v>
      </c>
      <c r="BV162" s="1" t="s">
        <v>555</v>
      </c>
      <c r="BY162" s="1" t="s">
        <v>558</v>
      </c>
      <c r="BZ162" s="1">
        <v>16</v>
      </c>
      <c r="CJ162" s="1">
        <v>2.0480299999999998</v>
      </c>
      <c r="CK162" s="1">
        <v>2.0455299999999998</v>
      </c>
      <c r="CL162" s="1">
        <v>2.0505300000000002</v>
      </c>
      <c r="CR162" s="1">
        <v>-39128.151058918796</v>
      </c>
      <c r="CS162" s="1">
        <v>-39336.089999999997</v>
      </c>
      <c r="CT162" s="1">
        <v>-38920.21</v>
      </c>
      <c r="CU162" s="1">
        <v>-0.46910000000000002</v>
      </c>
      <c r="CZ162" s="1">
        <v>-39128.15</v>
      </c>
      <c r="DA162" s="1">
        <v>-39128.15</v>
      </c>
      <c r="DB162" s="1">
        <v>-39466.730000000003</v>
      </c>
      <c r="DC162" s="1">
        <v>338.58</v>
      </c>
      <c r="DD162" s="2">
        <v>667.7</v>
      </c>
      <c r="DG162" s="1">
        <v>133.82</v>
      </c>
      <c r="DL162" s="1">
        <v>-8425898.4600000009</v>
      </c>
      <c r="DM162" s="1">
        <v>-8380340.2699999996</v>
      </c>
      <c r="DN162" s="1">
        <v>-45558.19</v>
      </c>
      <c r="DO162" s="1">
        <v>2.6572</v>
      </c>
      <c r="DP162" s="1" t="s">
        <v>1208</v>
      </c>
      <c r="DQ162" s="1" t="s">
        <v>1208</v>
      </c>
      <c r="DS162" s="1">
        <v>8386770.2999999998</v>
      </c>
      <c r="DT162" s="1">
        <v>8340873.54</v>
      </c>
      <c r="DU162" s="1">
        <v>45896.76</v>
      </c>
      <c r="DV162" s="1">
        <v>2.1867700000000001</v>
      </c>
      <c r="DW162" s="1" t="s">
        <v>1208</v>
      </c>
      <c r="DX162" s="1" t="s">
        <v>1208</v>
      </c>
      <c r="DY162" s="1" t="s">
        <v>934</v>
      </c>
      <c r="DZ162" s="1">
        <v>-45965</v>
      </c>
      <c r="EA162" s="1">
        <v>-32291</v>
      </c>
      <c r="ED162" s="1" t="s">
        <v>50</v>
      </c>
      <c r="EE162" s="1" t="s">
        <v>1209</v>
      </c>
      <c r="EF162" s="1" t="s">
        <v>53</v>
      </c>
      <c r="EG162" s="1" t="s">
        <v>1209</v>
      </c>
      <c r="EH162" s="1" t="s">
        <v>51</v>
      </c>
      <c r="EJ162" s="1" t="s">
        <v>55</v>
      </c>
      <c r="EL162" s="1" t="s">
        <v>57</v>
      </c>
    </row>
    <row r="163" spans="1:142" x14ac:dyDescent="0.2">
      <c r="A163" s="101">
        <v>78113143001</v>
      </c>
      <c r="B163" s="101">
        <v>78113143</v>
      </c>
      <c r="D163" s="1" t="s">
        <v>43</v>
      </c>
      <c r="E163" s="1" t="s">
        <v>44</v>
      </c>
      <c r="F163" s="1" t="s">
        <v>583</v>
      </c>
      <c r="AI163" s="1" t="s">
        <v>551</v>
      </c>
      <c r="AJ163" s="1" t="s">
        <v>44</v>
      </c>
      <c r="AK163" s="1" t="s">
        <v>584</v>
      </c>
      <c r="AL163" s="1" t="s">
        <v>790</v>
      </c>
      <c r="AR163" s="1" t="s">
        <v>79</v>
      </c>
      <c r="AS163" s="1" t="s">
        <v>71</v>
      </c>
      <c r="AT163" s="1">
        <v>2.8852000000000002</v>
      </c>
      <c r="AV163" s="1" t="s">
        <v>810</v>
      </c>
      <c r="AW163" s="1" t="s">
        <v>1204</v>
      </c>
      <c r="AX163" s="1">
        <v>101709144</v>
      </c>
      <c r="BA163" s="1" t="s">
        <v>69</v>
      </c>
      <c r="BB163" s="1" t="s">
        <v>574</v>
      </c>
      <c r="BC163" s="1" t="s">
        <v>456</v>
      </c>
      <c r="BD163" s="1" t="s">
        <v>555</v>
      </c>
      <c r="BG163" s="1" t="s">
        <v>558</v>
      </c>
      <c r="BH163" s="1">
        <v>28</v>
      </c>
      <c r="BI163" s="1" t="s">
        <v>431</v>
      </c>
      <c r="BJ163" s="1" t="s">
        <v>67</v>
      </c>
      <c r="BK163" s="1" t="s">
        <v>440</v>
      </c>
      <c r="BL163" s="1">
        <v>0</v>
      </c>
      <c r="BM163" s="1" t="s">
        <v>810</v>
      </c>
      <c r="BN163" s="1" t="s">
        <v>1204</v>
      </c>
      <c r="BP163" s="1">
        <v>101709144</v>
      </c>
      <c r="BR163" s="1" t="s">
        <v>69</v>
      </c>
      <c r="BS163" s="1" t="s">
        <v>69</v>
      </c>
      <c r="BT163" s="1" t="s">
        <v>574</v>
      </c>
      <c r="BU163" s="1" t="s">
        <v>456</v>
      </c>
      <c r="BV163" s="1" t="s">
        <v>555</v>
      </c>
      <c r="BY163" s="1" t="s">
        <v>558</v>
      </c>
      <c r="BZ163" s="1">
        <v>28</v>
      </c>
      <c r="CJ163" s="1">
        <v>2.1681400000000002</v>
      </c>
      <c r="CK163" s="1">
        <v>2.1656399999999998</v>
      </c>
      <c r="CL163" s="1">
        <v>2.1706400000000001</v>
      </c>
      <c r="CR163" s="1">
        <v>-169582.32847943899</v>
      </c>
      <c r="CS163" s="1">
        <v>-172130.11</v>
      </c>
      <c r="CT163" s="1">
        <v>-167034.54</v>
      </c>
      <c r="CU163" s="1">
        <v>-0.16669999999999999</v>
      </c>
      <c r="CZ163" s="1">
        <v>-169582.33</v>
      </c>
      <c r="DA163" s="1">
        <v>-169582.33</v>
      </c>
      <c r="DB163" s="1">
        <v>-283990.56</v>
      </c>
      <c r="DC163" s="1">
        <v>114408.23</v>
      </c>
      <c r="DD163" s="2">
        <v>4255.6000000000004</v>
      </c>
      <c r="DG163" s="1">
        <v>1261.8800000000001</v>
      </c>
      <c r="DL163" s="1">
        <v>-103737390.84</v>
      </c>
      <c r="DM163" s="1">
        <v>-101992986.34999999</v>
      </c>
      <c r="DN163" s="1">
        <v>-1744404.49</v>
      </c>
      <c r="DO163" s="1">
        <v>2.8852000000000002</v>
      </c>
      <c r="DP163" s="1" t="s">
        <v>1210</v>
      </c>
      <c r="DQ163" s="1" t="s">
        <v>1210</v>
      </c>
      <c r="DS163" s="1">
        <v>103567808.51000001</v>
      </c>
      <c r="DT163" s="1">
        <v>101708995.8</v>
      </c>
      <c r="DU163" s="1">
        <v>1858812.72</v>
      </c>
      <c r="DV163" s="1">
        <v>2.7187999999999999</v>
      </c>
      <c r="DW163" s="1" t="s">
        <v>1210</v>
      </c>
      <c r="DX163" s="1" t="s">
        <v>1210</v>
      </c>
      <c r="DY163" s="1" t="s">
        <v>790</v>
      </c>
      <c r="DZ163" s="1">
        <v>-215716</v>
      </c>
      <c r="EA163" s="1">
        <v>-123449</v>
      </c>
      <c r="ED163" s="1" t="s">
        <v>50</v>
      </c>
      <c r="EE163" s="1" t="s">
        <v>1211</v>
      </c>
      <c r="EF163" s="1" t="s">
        <v>53</v>
      </c>
      <c r="EG163" s="1" t="s">
        <v>1211</v>
      </c>
      <c r="EH163" s="1" t="s">
        <v>51</v>
      </c>
      <c r="EJ163" s="1" t="s">
        <v>55</v>
      </c>
      <c r="EL163" s="1" t="s">
        <v>57</v>
      </c>
    </row>
    <row r="164" spans="1:142" x14ac:dyDescent="0.2">
      <c r="A164" s="101">
        <v>78113145001</v>
      </c>
      <c r="B164" s="101">
        <v>78113145</v>
      </c>
      <c r="D164" s="1" t="s">
        <v>824</v>
      </c>
      <c r="E164" s="1" t="s">
        <v>44</v>
      </c>
      <c r="F164" s="1" t="s">
        <v>583</v>
      </c>
      <c r="AI164" s="1" t="s">
        <v>551</v>
      </c>
      <c r="AJ164" s="1" t="s">
        <v>44</v>
      </c>
      <c r="AK164" s="1" t="s">
        <v>584</v>
      </c>
      <c r="AL164" s="1" t="s">
        <v>790</v>
      </c>
      <c r="AR164" s="1" t="s">
        <v>79</v>
      </c>
      <c r="AS164" s="1" t="s">
        <v>71</v>
      </c>
      <c r="AT164" s="1">
        <v>2.6922000000000001</v>
      </c>
      <c r="AV164" s="1" t="s">
        <v>810</v>
      </c>
      <c r="AW164" s="1" t="s">
        <v>1077</v>
      </c>
      <c r="AX164" s="1">
        <v>10302436</v>
      </c>
      <c r="BA164" s="1" t="s">
        <v>69</v>
      </c>
      <c r="BB164" s="1" t="s">
        <v>574</v>
      </c>
      <c r="BC164" s="1" t="s">
        <v>456</v>
      </c>
      <c r="BD164" s="1" t="s">
        <v>555</v>
      </c>
      <c r="BG164" s="1" t="s">
        <v>558</v>
      </c>
      <c r="BH164" s="1">
        <v>16</v>
      </c>
      <c r="BI164" s="1" t="s">
        <v>431</v>
      </c>
      <c r="BJ164" s="1" t="s">
        <v>67</v>
      </c>
      <c r="BK164" s="1" t="s">
        <v>440</v>
      </c>
      <c r="BL164" s="1">
        <v>0</v>
      </c>
      <c r="BM164" s="1" t="s">
        <v>810</v>
      </c>
      <c r="BN164" s="1" t="s">
        <v>1077</v>
      </c>
      <c r="BP164" s="1">
        <v>10302436</v>
      </c>
      <c r="BR164" s="1" t="s">
        <v>69</v>
      </c>
      <c r="BS164" s="1" t="s">
        <v>69</v>
      </c>
      <c r="BT164" s="1" t="s">
        <v>574</v>
      </c>
      <c r="BU164" s="1" t="s">
        <v>456</v>
      </c>
      <c r="BV164" s="1" t="s">
        <v>555</v>
      </c>
      <c r="BY164" s="1" t="s">
        <v>558</v>
      </c>
      <c r="BZ164" s="1">
        <v>16</v>
      </c>
      <c r="CJ164" s="1">
        <v>2.0480299999999998</v>
      </c>
      <c r="CK164" s="1">
        <v>2.0455299999999998</v>
      </c>
      <c r="CL164" s="1">
        <v>2.0505300000000002</v>
      </c>
      <c r="CR164" s="1">
        <v>-51925.710414376103</v>
      </c>
      <c r="CS164" s="1">
        <v>-52182.55</v>
      </c>
      <c r="CT164" s="1">
        <v>-51668.87</v>
      </c>
      <c r="CU164" s="1">
        <v>-0.504</v>
      </c>
      <c r="CZ164" s="1">
        <v>-51925.71</v>
      </c>
      <c r="DA164" s="1">
        <v>-51925.71</v>
      </c>
      <c r="DB164" s="1">
        <v>-51602.71</v>
      </c>
      <c r="DC164" s="1">
        <v>-323</v>
      </c>
      <c r="DD164" s="2">
        <v>825.02</v>
      </c>
      <c r="DG164" s="1">
        <v>165.11</v>
      </c>
      <c r="DL164" s="1">
        <v>-10411018.130000001</v>
      </c>
      <c r="DM164" s="1">
        <v>-10354004.789999999</v>
      </c>
      <c r="DN164" s="1">
        <v>-57013.34</v>
      </c>
      <c r="DO164" s="1">
        <v>2.6922000000000001</v>
      </c>
      <c r="DP164" s="1" t="s">
        <v>1208</v>
      </c>
      <c r="DQ164" s="1" t="s">
        <v>1208</v>
      </c>
      <c r="DS164" s="1">
        <v>10359092.42</v>
      </c>
      <c r="DT164" s="1">
        <v>10302402.08</v>
      </c>
      <c r="DU164" s="1">
        <v>56690.33</v>
      </c>
      <c r="DV164" s="1">
        <v>2.1867700000000001</v>
      </c>
      <c r="DW164" s="1" t="s">
        <v>1208</v>
      </c>
      <c r="DX164" s="1" t="s">
        <v>1208</v>
      </c>
      <c r="DY164" s="1" t="s">
        <v>934</v>
      </c>
      <c r="DZ164" s="1">
        <v>-60374</v>
      </c>
      <c r="EA164" s="1">
        <v>-43477</v>
      </c>
      <c r="ED164" s="1" t="s">
        <v>50</v>
      </c>
      <c r="EE164" s="1" t="s">
        <v>1213</v>
      </c>
      <c r="EF164" s="1" t="s">
        <v>53</v>
      </c>
      <c r="EG164" s="1" t="s">
        <v>1213</v>
      </c>
      <c r="EH164" s="1" t="s">
        <v>51</v>
      </c>
      <c r="EJ164" s="1" t="s">
        <v>55</v>
      </c>
      <c r="EL164" s="1" t="s">
        <v>57</v>
      </c>
    </row>
    <row r="165" spans="1:142" x14ac:dyDescent="0.2">
      <c r="A165" s="101">
        <v>78211554001</v>
      </c>
      <c r="B165" s="101">
        <v>78211554</v>
      </c>
      <c r="D165" s="1" t="s">
        <v>63</v>
      </c>
      <c r="E165" s="1" t="s">
        <v>44</v>
      </c>
      <c r="F165" s="1" t="s">
        <v>583</v>
      </c>
      <c r="AI165" s="1" t="s">
        <v>551</v>
      </c>
      <c r="AJ165" s="1" t="s">
        <v>44</v>
      </c>
      <c r="AK165" s="1" t="s">
        <v>584</v>
      </c>
      <c r="AL165" s="1" t="s">
        <v>809</v>
      </c>
      <c r="AR165" s="1" t="s">
        <v>79</v>
      </c>
      <c r="AS165" s="1" t="s">
        <v>71</v>
      </c>
      <c r="AT165" s="1">
        <v>2.8672</v>
      </c>
      <c r="AV165" s="1" t="s">
        <v>848</v>
      </c>
      <c r="AW165" s="1" t="s">
        <v>1204</v>
      </c>
      <c r="AX165" s="1">
        <v>2941080</v>
      </c>
      <c r="BA165" s="1" t="s">
        <v>69</v>
      </c>
      <c r="BB165" s="1" t="s">
        <v>574</v>
      </c>
      <c r="BC165" s="1" t="s">
        <v>456</v>
      </c>
      <c r="BD165" s="1" t="s">
        <v>555</v>
      </c>
      <c r="BG165" s="1" t="s">
        <v>558</v>
      </c>
      <c r="BH165" s="1">
        <v>28</v>
      </c>
      <c r="BI165" s="1" t="s">
        <v>431</v>
      </c>
      <c r="BJ165" s="1" t="s">
        <v>67</v>
      </c>
      <c r="BK165" s="1" t="s">
        <v>440</v>
      </c>
      <c r="BL165" s="1">
        <v>0</v>
      </c>
      <c r="BM165" s="1" t="s">
        <v>848</v>
      </c>
      <c r="BN165" s="1" t="s">
        <v>1204</v>
      </c>
      <c r="BP165" s="1">
        <v>2941080</v>
      </c>
      <c r="BR165" s="1" t="s">
        <v>69</v>
      </c>
      <c r="BS165" s="1" t="s">
        <v>69</v>
      </c>
      <c r="BT165" s="1" t="s">
        <v>574</v>
      </c>
      <c r="BU165" s="1" t="s">
        <v>456</v>
      </c>
      <c r="BV165" s="1" t="s">
        <v>555</v>
      </c>
      <c r="BY165" s="1" t="s">
        <v>558</v>
      </c>
      <c r="BZ165" s="1">
        <v>28</v>
      </c>
      <c r="CJ165" s="1">
        <v>2.1681400000000002</v>
      </c>
      <c r="CK165" s="1">
        <v>2.1656399999999998</v>
      </c>
      <c r="CL165" s="1">
        <v>2.1706400000000001</v>
      </c>
      <c r="CR165" s="1">
        <v>-4445.9248224561998</v>
      </c>
      <c r="CS165" s="1">
        <v>-4519.3999999999996</v>
      </c>
      <c r="CT165" s="1">
        <v>-4372.45</v>
      </c>
      <c r="CU165" s="1">
        <v>-0.1512</v>
      </c>
      <c r="CZ165" s="1">
        <v>-4445.92</v>
      </c>
      <c r="DA165" s="1">
        <v>-4445.92</v>
      </c>
      <c r="DB165" s="1">
        <v>-7998.38</v>
      </c>
      <c r="DC165" s="1">
        <v>3552.45</v>
      </c>
      <c r="DD165" s="2">
        <v>123.03</v>
      </c>
      <c r="DG165" s="1">
        <v>36.51</v>
      </c>
      <c r="DL165" s="1">
        <v>-2998967.38</v>
      </c>
      <c r="DM165" s="1">
        <v>-2949074.11</v>
      </c>
      <c r="DN165" s="1">
        <v>-49893.27</v>
      </c>
      <c r="DO165" s="1">
        <v>2.8672</v>
      </c>
      <c r="DP165" s="1" t="s">
        <v>1210</v>
      </c>
      <c r="DQ165" s="1" t="s">
        <v>1210</v>
      </c>
      <c r="DS165" s="1">
        <v>2994521.45</v>
      </c>
      <c r="DT165" s="1">
        <v>2941075.73</v>
      </c>
      <c r="DU165" s="1">
        <v>53445.72</v>
      </c>
      <c r="DV165" s="1">
        <v>2.7159200000000001</v>
      </c>
      <c r="DW165" s="1" t="s">
        <v>1210</v>
      </c>
      <c r="DX165" s="1" t="s">
        <v>1210</v>
      </c>
      <c r="DY165" s="1" t="s">
        <v>809</v>
      </c>
      <c r="DZ165" s="1">
        <v>-5780</v>
      </c>
      <c r="EA165" s="1">
        <v>-3112</v>
      </c>
      <c r="ED165" s="1" t="s">
        <v>50</v>
      </c>
      <c r="EE165" s="1" t="s">
        <v>1212</v>
      </c>
      <c r="EF165" s="1" t="s">
        <v>53</v>
      </c>
      <c r="EG165" s="1" t="s">
        <v>1212</v>
      </c>
      <c r="EH165" s="1" t="s">
        <v>51</v>
      </c>
      <c r="EJ165" s="1" t="s">
        <v>55</v>
      </c>
      <c r="EL165" s="1" t="s">
        <v>57</v>
      </c>
    </row>
    <row r="166" spans="1:142" x14ac:dyDescent="0.2">
      <c r="A166" s="101">
        <v>78211671001</v>
      </c>
      <c r="B166" s="101">
        <v>78211671</v>
      </c>
      <c r="D166" s="1" t="s">
        <v>824</v>
      </c>
      <c r="E166" s="1" t="s">
        <v>44</v>
      </c>
      <c r="F166" s="1" t="s">
        <v>583</v>
      </c>
      <c r="AI166" s="1" t="s">
        <v>551</v>
      </c>
      <c r="AJ166" s="1" t="s">
        <v>44</v>
      </c>
      <c r="AK166" s="1" t="s">
        <v>584</v>
      </c>
      <c r="AL166" s="1" t="s">
        <v>809</v>
      </c>
      <c r="AR166" s="1" t="s">
        <v>79</v>
      </c>
      <c r="AS166" s="1" t="s">
        <v>71</v>
      </c>
      <c r="AT166" s="1">
        <v>2.7957000000000001</v>
      </c>
      <c r="AV166" s="1" t="s">
        <v>848</v>
      </c>
      <c r="AW166" s="1" t="s">
        <v>1170</v>
      </c>
      <c r="AX166" s="1">
        <v>4883500</v>
      </c>
      <c r="BA166" s="1" t="s">
        <v>69</v>
      </c>
      <c r="BB166" s="1" t="s">
        <v>574</v>
      </c>
      <c r="BC166" s="1" t="s">
        <v>456</v>
      </c>
      <c r="BD166" s="1" t="s">
        <v>555</v>
      </c>
      <c r="BG166" s="1" t="s">
        <v>558</v>
      </c>
      <c r="BH166" s="1">
        <v>7</v>
      </c>
      <c r="BI166" s="1" t="s">
        <v>431</v>
      </c>
      <c r="BJ166" s="1" t="s">
        <v>67</v>
      </c>
      <c r="BK166" s="1" t="s">
        <v>440</v>
      </c>
      <c r="BL166" s="1">
        <v>0</v>
      </c>
      <c r="BM166" s="1" t="s">
        <v>848</v>
      </c>
      <c r="BN166" s="1" t="s">
        <v>1170</v>
      </c>
      <c r="BP166" s="1">
        <v>4883500</v>
      </c>
      <c r="BR166" s="1" t="s">
        <v>69</v>
      </c>
      <c r="BS166" s="1" t="s">
        <v>69</v>
      </c>
      <c r="BT166" s="1" t="s">
        <v>574</v>
      </c>
      <c r="BU166" s="1" t="s">
        <v>456</v>
      </c>
      <c r="BV166" s="1" t="s">
        <v>555</v>
      </c>
      <c r="BY166" s="1" t="s">
        <v>558</v>
      </c>
      <c r="BZ166" s="1">
        <v>7</v>
      </c>
      <c r="CJ166" s="1">
        <v>2.12588</v>
      </c>
      <c r="CK166" s="1">
        <v>2.12338</v>
      </c>
      <c r="CL166" s="1">
        <v>2.1283799999999999</v>
      </c>
      <c r="CR166" s="1">
        <v>-12403.7644895371</v>
      </c>
      <c r="CS166" s="1">
        <v>-12526.17</v>
      </c>
      <c r="CT166" s="1">
        <v>-12281.36</v>
      </c>
      <c r="CU166" s="1">
        <v>-0.254</v>
      </c>
      <c r="CZ166" s="1">
        <v>-12403.76</v>
      </c>
      <c r="DA166" s="1">
        <v>-12403.76</v>
      </c>
      <c r="DB166" s="1">
        <v>-16248.84</v>
      </c>
      <c r="DC166" s="1">
        <v>3845.07</v>
      </c>
      <c r="DD166" s="2">
        <v>257.85000000000002</v>
      </c>
      <c r="DG166" s="1">
        <v>66.959999999999994</v>
      </c>
      <c r="DL166" s="1">
        <v>-4966110.1500000004</v>
      </c>
      <c r="DM166" s="1">
        <v>-4899742.3600000003</v>
      </c>
      <c r="DN166" s="1">
        <v>-66367.78</v>
      </c>
      <c r="DO166" s="1">
        <v>2.7957000000000001</v>
      </c>
      <c r="DP166" s="1" t="s">
        <v>1172</v>
      </c>
      <c r="DQ166" s="1" t="s">
        <v>1172</v>
      </c>
      <c r="DS166" s="1">
        <v>4953706.38</v>
      </c>
      <c r="DT166" s="1">
        <v>4883493.5199999996</v>
      </c>
      <c r="DU166" s="1">
        <v>70212.86</v>
      </c>
      <c r="DV166" s="1">
        <v>2.54236</v>
      </c>
      <c r="DW166" s="1" t="s">
        <v>1172</v>
      </c>
      <c r="DX166" s="1" t="s">
        <v>1172</v>
      </c>
      <c r="DY166" s="1" t="s">
        <v>1139</v>
      </c>
      <c r="DZ166" s="1">
        <v>-15145</v>
      </c>
      <c r="EA166" s="1">
        <v>-9663</v>
      </c>
      <c r="ED166" s="1" t="s">
        <v>50</v>
      </c>
      <c r="EE166" s="1" t="s">
        <v>1214</v>
      </c>
      <c r="EF166" s="1" t="s">
        <v>53</v>
      </c>
      <c r="EG166" s="1" t="s">
        <v>1214</v>
      </c>
      <c r="EH166" s="1" t="s">
        <v>51</v>
      </c>
      <c r="EJ166" s="1" t="s">
        <v>55</v>
      </c>
      <c r="EL166" s="1" t="s">
        <v>57</v>
      </c>
    </row>
    <row r="167" spans="1:142" x14ac:dyDescent="0.2">
      <c r="A167" s="101">
        <v>78211676001</v>
      </c>
      <c r="B167" s="101">
        <v>78211676</v>
      </c>
      <c r="D167" s="1" t="s">
        <v>43</v>
      </c>
      <c r="E167" s="1" t="s">
        <v>44</v>
      </c>
      <c r="F167" s="1" t="s">
        <v>583</v>
      </c>
      <c r="AI167" s="1" t="s">
        <v>551</v>
      </c>
      <c r="AJ167" s="1" t="s">
        <v>44</v>
      </c>
      <c r="AK167" s="1" t="s">
        <v>584</v>
      </c>
      <c r="AL167" s="1" t="s">
        <v>809</v>
      </c>
      <c r="AR167" s="1" t="s">
        <v>79</v>
      </c>
      <c r="AS167" s="1" t="s">
        <v>71</v>
      </c>
      <c r="AT167" s="1">
        <v>2.8816999999999999</v>
      </c>
      <c r="AV167" s="1" t="s">
        <v>848</v>
      </c>
      <c r="AW167" s="1" t="s">
        <v>1146</v>
      </c>
      <c r="AX167" s="1">
        <v>7873982</v>
      </c>
      <c r="BA167" s="1" t="s">
        <v>69</v>
      </c>
      <c r="BB167" s="1" t="s">
        <v>574</v>
      </c>
      <c r="BC167" s="1" t="s">
        <v>456</v>
      </c>
      <c r="BD167" s="1" t="s">
        <v>555</v>
      </c>
      <c r="BG167" s="1" t="s">
        <v>558</v>
      </c>
      <c r="BH167" s="1">
        <v>15</v>
      </c>
      <c r="BI167" s="1" t="s">
        <v>431</v>
      </c>
      <c r="BJ167" s="1" t="s">
        <v>67</v>
      </c>
      <c r="BK167" s="1" t="s">
        <v>440</v>
      </c>
      <c r="BL167" s="1">
        <v>0</v>
      </c>
      <c r="BM167" s="1" t="s">
        <v>848</v>
      </c>
      <c r="BN167" s="1" t="s">
        <v>1146</v>
      </c>
      <c r="BP167" s="1">
        <v>7873982</v>
      </c>
      <c r="BR167" s="1" t="s">
        <v>69</v>
      </c>
      <c r="BS167" s="1" t="s">
        <v>69</v>
      </c>
      <c r="BT167" s="1" t="s">
        <v>574</v>
      </c>
      <c r="BU167" s="1" t="s">
        <v>456</v>
      </c>
      <c r="BV167" s="1" t="s">
        <v>555</v>
      </c>
      <c r="BY167" s="1" t="s">
        <v>558</v>
      </c>
      <c r="BZ167" s="1">
        <v>15</v>
      </c>
      <c r="CJ167" s="1">
        <v>2.1839599999999999</v>
      </c>
      <c r="CK167" s="1">
        <v>2.18146</v>
      </c>
      <c r="CL167" s="1">
        <v>2.1864599999999998</v>
      </c>
      <c r="CR167" s="1">
        <v>-10679.995805087499</v>
      </c>
      <c r="CS167" s="1">
        <v>-10869.77</v>
      </c>
      <c r="CT167" s="1">
        <v>-10490.23</v>
      </c>
      <c r="CU167" s="1">
        <v>-0.1356</v>
      </c>
      <c r="CZ167" s="1">
        <v>-10680</v>
      </c>
      <c r="DA167" s="1">
        <v>-10680</v>
      </c>
      <c r="DB167" s="1">
        <v>-19515.25</v>
      </c>
      <c r="DC167" s="1">
        <v>8835.26</v>
      </c>
      <c r="DD167" s="2">
        <v>300.77999999999997</v>
      </c>
      <c r="DG167" s="1">
        <v>91.07</v>
      </c>
      <c r="DL167" s="1">
        <v>-8027714.7199999997</v>
      </c>
      <c r="DM167" s="1">
        <v>-7893462.8700000001</v>
      </c>
      <c r="DN167" s="1">
        <v>-134251.85</v>
      </c>
      <c r="DO167" s="1">
        <v>2.8816999999999999</v>
      </c>
      <c r="DP167" s="1" t="s">
        <v>1189</v>
      </c>
      <c r="DQ167" s="1" t="s">
        <v>1189</v>
      </c>
      <c r="DS167" s="1">
        <v>8017034.7300000004</v>
      </c>
      <c r="DT167" s="1">
        <v>7873947.6200000001</v>
      </c>
      <c r="DU167" s="1">
        <v>143087.10999999999</v>
      </c>
      <c r="DV167" s="1">
        <v>2.7410000000000001</v>
      </c>
      <c r="DW167" s="1" t="s">
        <v>1189</v>
      </c>
      <c r="DX167" s="1" t="s">
        <v>1189</v>
      </c>
      <c r="DY167" s="1" t="s">
        <v>809</v>
      </c>
      <c r="DZ167" s="1">
        <v>-13964</v>
      </c>
      <c r="EA167" s="1">
        <v>-7396</v>
      </c>
      <c r="ED167" s="1" t="s">
        <v>50</v>
      </c>
      <c r="EE167" s="1" t="s">
        <v>1215</v>
      </c>
      <c r="EF167" s="1" t="s">
        <v>53</v>
      </c>
      <c r="EG167" s="1" t="s">
        <v>1215</v>
      </c>
      <c r="EH167" s="1" t="s">
        <v>51</v>
      </c>
      <c r="EJ167" s="1" t="s">
        <v>55</v>
      </c>
      <c r="EL167" s="1" t="s">
        <v>57</v>
      </c>
    </row>
    <row r="168" spans="1:142" x14ac:dyDescent="0.2">
      <c r="A168" s="101">
        <v>78397282001</v>
      </c>
      <c r="B168" s="101">
        <v>78397282</v>
      </c>
      <c r="D168" s="1" t="s">
        <v>43</v>
      </c>
      <c r="E168" s="1" t="s">
        <v>44</v>
      </c>
      <c r="F168" s="1" t="s">
        <v>583</v>
      </c>
      <c r="AI168" s="1" t="s">
        <v>551</v>
      </c>
      <c r="AJ168" s="1" t="s">
        <v>44</v>
      </c>
      <c r="AK168" s="1" t="s">
        <v>584</v>
      </c>
      <c r="AL168" s="1" t="s">
        <v>810</v>
      </c>
      <c r="AR168" s="1" t="s">
        <v>79</v>
      </c>
      <c r="AS168" s="1" t="s">
        <v>71</v>
      </c>
      <c r="AT168" s="1">
        <v>2.7006999999999999</v>
      </c>
      <c r="AV168" s="1" t="s">
        <v>811</v>
      </c>
      <c r="AW168" s="1" t="s">
        <v>857</v>
      </c>
      <c r="AX168" s="1">
        <v>100000000</v>
      </c>
      <c r="BA168" s="1" t="s">
        <v>69</v>
      </c>
      <c r="BB168" s="1" t="s">
        <v>574</v>
      </c>
      <c r="BC168" s="1" t="s">
        <v>456</v>
      </c>
      <c r="BD168" s="1" t="s">
        <v>555</v>
      </c>
      <c r="BG168" s="1" t="s">
        <v>558</v>
      </c>
      <c r="BH168" s="1">
        <v>17</v>
      </c>
      <c r="BI168" s="1" t="s">
        <v>431</v>
      </c>
      <c r="BJ168" s="1" t="s">
        <v>67</v>
      </c>
      <c r="BK168" s="1" t="s">
        <v>440</v>
      </c>
      <c r="BL168" s="1">
        <v>0</v>
      </c>
      <c r="BM168" s="1" t="s">
        <v>811</v>
      </c>
      <c r="BN168" s="1" t="s">
        <v>857</v>
      </c>
      <c r="BP168" s="1">
        <v>100000000</v>
      </c>
      <c r="BR168" s="1" t="s">
        <v>69</v>
      </c>
      <c r="BS168" s="1" t="s">
        <v>69</v>
      </c>
      <c r="BT168" s="1" t="s">
        <v>574</v>
      </c>
      <c r="BU168" s="1" t="s">
        <v>456</v>
      </c>
      <c r="BV168" s="1" t="s">
        <v>555</v>
      </c>
      <c r="BY168" s="1" t="s">
        <v>558</v>
      </c>
      <c r="BZ168" s="1">
        <v>17</v>
      </c>
      <c r="CJ168" s="1">
        <v>2.0889700000000002</v>
      </c>
      <c r="CK168" s="1">
        <v>2.0864699999999998</v>
      </c>
      <c r="CL168" s="1">
        <v>2.0914700000000002</v>
      </c>
      <c r="CR168" s="1">
        <v>-317025.15956833999</v>
      </c>
      <c r="CS168" s="1">
        <v>-319519.32</v>
      </c>
      <c r="CT168" s="1">
        <v>-314531</v>
      </c>
      <c r="CU168" s="1">
        <v>-0.317</v>
      </c>
      <c r="CZ168" s="1">
        <v>-317025.15999999997</v>
      </c>
      <c r="DA168" s="1">
        <v>-317025.15999999997</v>
      </c>
      <c r="DB168" s="1">
        <v>-372121.53</v>
      </c>
      <c r="DC168" s="1">
        <v>55096.37</v>
      </c>
      <c r="DD168" s="2">
        <v>6391.29</v>
      </c>
      <c r="DG168" s="1">
        <v>1481.98</v>
      </c>
      <c r="DL168" s="1">
        <v>-101369759.38</v>
      </c>
      <c r="DM168" s="1">
        <v>-100372000.77</v>
      </c>
      <c r="DN168" s="1">
        <v>-997758.61</v>
      </c>
      <c r="DO168" s="1">
        <v>2.7006999999999999</v>
      </c>
      <c r="DP168" s="1" t="s">
        <v>983</v>
      </c>
      <c r="DQ168" s="1" t="s">
        <v>983</v>
      </c>
      <c r="DS168" s="1">
        <v>101052734.22</v>
      </c>
      <c r="DT168" s="1">
        <v>99999879.239999995</v>
      </c>
      <c r="DU168" s="1">
        <v>1052854.98</v>
      </c>
      <c r="DV168" s="1">
        <v>2.38293</v>
      </c>
      <c r="DW168" s="1" t="s">
        <v>983</v>
      </c>
      <c r="DX168" s="1" t="s">
        <v>983</v>
      </c>
      <c r="DY168" s="1" t="s">
        <v>860</v>
      </c>
      <c r="DZ168" s="1">
        <v>-383781</v>
      </c>
      <c r="EA168" s="1">
        <v>-250269</v>
      </c>
      <c r="ED168" s="1" t="s">
        <v>50</v>
      </c>
      <c r="EE168" s="1" t="s">
        <v>1217</v>
      </c>
      <c r="EF168" s="1" t="s">
        <v>53</v>
      </c>
      <c r="EG168" s="1" t="s">
        <v>1217</v>
      </c>
      <c r="EH168" s="1" t="s">
        <v>51</v>
      </c>
      <c r="EJ168" s="1" t="s">
        <v>55</v>
      </c>
      <c r="EL168" s="1" t="s">
        <v>57</v>
      </c>
    </row>
    <row r="169" spans="1:142" x14ac:dyDescent="0.2">
      <c r="A169" s="101">
        <v>78397284001</v>
      </c>
      <c r="B169" s="101">
        <v>78397284</v>
      </c>
      <c r="D169" s="1" t="s">
        <v>43</v>
      </c>
      <c r="E169" s="1" t="s">
        <v>44</v>
      </c>
      <c r="F169" s="1" t="s">
        <v>583</v>
      </c>
      <c r="AI169" s="1" t="s">
        <v>551</v>
      </c>
      <c r="AJ169" s="1" t="s">
        <v>44</v>
      </c>
      <c r="AK169" s="1" t="s">
        <v>584</v>
      </c>
      <c r="AL169" s="1" t="s">
        <v>810</v>
      </c>
      <c r="AR169" s="1" t="s">
        <v>79</v>
      </c>
      <c r="AS169" s="1" t="s">
        <v>71</v>
      </c>
      <c r="AT169" s="1">
        <v>2.8801999999999999</v>
      </c>
      <c r="AV169" s="1" t="s">
        <v>811</v>
      </c>
      <c r="AW169" s="1" t="s">
        <v>1219</v>
      </c>
      <c r="AX169" s="1">
        <v>7991873</v>
      </c>
      <c r="BA169" s="1" t="s">
        <v>69</v>
      </c>
      <c r="BB169" s="1" t="s">
        <v>574</v>
      </c>
      <c r="BC169" s="1" t="s">
        <v>456</v>
      </c>
      <c r="BD169" s="1" t="s">
        <v>555</v>
      </c>
      <c r="BG169" s="1" t="s">
        <v>558</v>
      </c>
      <c r="BH169" s="1">
        <v>4</v>
      </c>
      <c r="BI169" s="1" t="s">
        <v>431</v>
      </c>
      <c r="BJ169" s="1" t="s">
        <v>67</v>
      </c>
      <c r="BK169" s="1" t="s">
        <v>440</v>
      </c>
      <c r="BL169" s="1">
        <v>0</v>
      </c>
      <c r="BM169" s="1" t="s">
        <v>811</v>
      </c>
      <c r="BN169" s="1" t="s">
        <v>1219</v>
      </c>
      <c r="BP169" s="1">
        <v>7991873</v>
      </c>
      <c r="BR169" s="1" t="s">
        <v>69</v>
      </c>
      <c r="BS169" s="1" t="s">
        <v>69</v>
      </c>
      <c r="BT169" s="1" t="s">
        <v>574</v>
      </c>
      <c r="BU169" s="1" t="s">
        <v>456</v>
      </c>
      <c r="BV169" s="1" t="s">
        <v>555</v>
      </c>
      <c r="BY169" s="1" t="s">
        <v>558</v>
      </c>
      <c r="BZ169" s="1">
        <v>4</v>
      </c>
      <c r="CJ169" s="1">
        <v>2.1972</v>
      </c>
      <c r="CK169" s="1">
        <v>2.1947000000000001</v>
      </c>
      <c r="CL169" s="1">
        <v>2.1997</v>
      </c>
      <c r="CR169" s="1">
        <v>-9347.1955650048003</v>
      </c>
      <c r="CS169" s="1">
        <v>-9532.24</v>
      </c>
      <c r="CT169" s="1">
        <v>-9162.15</v>
      </c>
      <c r="CU169" s="1">
        <v>-0.11700000000000001</v>
      </c>
      <c r="CZ169" s="1">
        <v>-9347.2000000000007</v>
      </c>
      <c r="DA169" s="1">
        <v>-9347.2000000000007</v>
      </c>
      <c r="DB169" s="1">
        <v>-17826.849999999999</v>
      </c>
      <c r="DC169" s="1">
        <v>8479.66</v>
      </c>
      <c r="DD169" s="2">
        <v>280.64999999999998</v>
      </c>
      <c r="DG169" s="1">
        <v>84.97</v>
      </c>
      <c r="DL169" s="1">
        <v>-8143961.4000000004</v>
      </c>
      <c r="DM169" s="1">
        <v>-8009688.6100000003</v>
      </c>
      <c r="DN169" s="1">
        <v>-134272.79</v>
      </c>
      <c r="DO169" s="1">
        <v>2.8801999999999999</v>
      </c>
      <c r="DP169" s="1" t="s">
        <v>1220</v>
      </c>
      <c r="DQ169" s="1" t="s">
        <v>1220</v>
      </c>
      <c r="DS169" s="1">
        <v>8134614.21</v>
      </c>
      <c r="DT169" s="1">
        <v>7991861.7599999998</v>
      </c>
      <c r="DU169" s="1">
        <v>142752.45000000001</v>
      </c>
      <c r="DV169" s="1">
        <v>2.7539099999999999</v>
      </c>
      <c r="DW169" s="1" t="s">
        <v>1220</v>
      </c>
      <c r="DX169" s="1" t="s">
        <v>1220</v>
      </c>
      <c r="DY169" s="1" t="s">
        <v>810</v>
      </c>
      <c r="DZ169" s="1">
        <v>-12430</v>
      </c>
      <c r="EA169" s="1">
        <v>-6264</v>
      </c>
      <c r="ED169" s="1" t="s">
        <v>50</v>
      </c>
      <c r="EE169" s="1" t="s">
        <v>1221</v>
      </c>
      <c r="EF169" s="1" t="s">
        <v>53</v>
      </c>
      <c r="EG169" s="1" t="s">
        <v>1221</v>
      </c>
      <c r="EH169" s="1" t="s">
        <v>51</v>
      </c>
      <c r="EJ169" s="1" t="s">
        <v>55</v>
      </c>
      <c r="EL169" s="1" t="s">
        <v>57</v>
      </c>
    </row>
    <row r="170" spans="1:142" x14ac:dyDescent="0.2">
      <c r="A170" s="101">
        <v>78397286001</v>
      </c>
      <c r="B170" s="101">
        <v>78397286</v>
      </c>
      <c r="D170" s="1" t="s">
        <v>77</v>
      </c>
      <c r="E170" s="1" t="s">
        <v>44</v>
      </c>
      <c r="F170" s="1" t="s">
        <v>583</v>
      </c>
      <c r="AI170" s="1" t="s">
        <v>551</v>
      </c>
      <c r="AJ170" s="1" t="s">
        <v>44</v>
      </c>
      <c r="AK170" s="1" t="s">
        <v>584</v>
      </c>
      <c r="AL170" s="1" t="s">
        <v>810</v>
      </c>
      <c r="AR170" s="1" t="s">
        <v>79</v>
      </c>
      <c r="AS170" s="1" t="s">
        <v>71</v>
      </c>
      <c r="AT170" s="1">
        <v>2.6472000000000002</v>
      </c>
      <c r="AV170" s="1" t="s">
        <v>811</v>
      </c>
      <c r="AW170" s="1" t="s">
        <v>960</v>
      </c>
      <c r="AX170" s="1">
        <v>12808301</v>
      </c>
      <c r="BA170" s="1" t="s">
        <v>69</v>
      </c>
      <c r="BB170" s="1" t="s">
        <v>574</v>
      </c>
      <c r="BC170" s="1" t="s">
        <v>456</v>
      </c>
      <c r="BD170" s="1" t="s">
        <v>555</v>
      </c>
      <c r="BG170" s="1" t="s">
        <v>558</v>
      </c>
      <c r="BH170" s="1">
        <v>5</v>
      </c>
      <c r="BI170" s="1" t="s">
        <v>431</v>
      </c>
      <c r="BJ170" s="1" t="s">
        <v>67</v>
      </c>
      <c r="BK170" s="1" t="s">
        <v>440</v>
      </c>
      <c r="BL170" s="1">
        <v>0</v>
      </c>
      <c r="BM170" s="1" t="s">
        <v>811</v>
      </c>
      <c r="BN170" s="1" t="s">
        <v>960</v>
      </c>
      <c r="BP170" s="1">
        <v>12808301</v>
      </c>
      <c r="BR170" s="1" t="s">
        <v>69</v>
      </c>
      <c r="BS170" s="1" t="s">
        <v>69</v>
      </c>
      <c r="BT170" s="1" t="s">
        <v>574</v>
      </c>
      <c r="BU170" s="1" t="s">
        <v>456</v>
      </c>
      <c r="BV170" s="1" t="s">
        <v>555</v>
      </c>
      <c r="BY170" s="1" t="s">
        <v>558</v>
      </c>
      <c r="BZ170" s="1">
        <v>5</v>
      </c>
      <c r="CJ170" s="1">
        <v>2.0550999999999999</v>
      </c>
      <c r="CK170" s="1">
        <v>2.0526</v>
      </c>
      <c r="CL170" s="1">
        <v>2.0575999999999999</v>
      </c>
      <c r="CR170" s="1">
        <v>-54719.327033549598</v>
      </c>
      <c r="CS170" s="1">
        <v>-55037.98</v>
      </c>
      <c r="CT170" s="1">
        <v>-54400.68</v>
      </c>
      <c r="CU170" s="1">
        <v>-0.42720000000000002</v>
      </c>
      <c r="CZ170" s="1">
        <v>-54719.33</v>
      </c>
      <c r="DA170" s="1">
        <v>-54719.33</v>
      </c>
      <c r="DB170" s="1">
        <v>-56526.68</v>
      </c>
      <c r="DC170" s="1">
        <v>1807.35</v>
      </c>
      <c r="DD170" s="2">
        <v>987.44</v>
      </c>
      <c r="DG170" s="1">
        <v>199.84</v>
      </c>
      <c r="DL170" s="1">
        <v>-12943927.93</v>
      </c>
      <c r="DM170" s="1">
        <v>-12864813.609999999</v>
      </c>
      <c r="DN170" s="1">
        <v>-79114.31</v>
      </c>
      <c r="DO170" s="1">
        <v>2.6472000000000002</v>
      </c>
      <c r="DP170" s="1" t="s">
        <v>961</v>
      </c>
      <c r="DQ170" s="1" t="s">
        <v>961</v>
      </c>
      <c r="DS170" s="1">
        <v>12889208.6</v>
      </c>
      <c r="DT170" s="1">
        <v>12808286.93</v>
      </c>
      <c r="DU170" s="1">
        <v>80921.66</v>
      </c>
      <c r="DV170" s="1">
        <v>2.2178900000000001</v>
      </c>
      <c r="DW170" s="1" t="s">
        <v>961</v>
      </c>
      <c r="DX170" s="1" t="s">
        <v>961</v>
      </c>
      <c r="DY170" s="1" t="s">
        <v>725</v>
      </c>
      <c r="DZ170" s="1">
        <v>-64866</v>
      </c>
      <c r="EA170" s="1">
        <v>-44573</v>
      </c>
      <c r="ED170" s="1" t="s">
        <v>50</v>
      </c>
      <c r="EE170" s="1" t="s">
        <v>1216</v>
      </c>
      <c r="EF170" s="1" t="s">
        <v>53</v>
      </c>
      <c r="EG170" s="1" t="s">
        <v>1216</v>
      </c>
      <c r="EH170" s="1" t="s">
        <v>51</v>
      </c>
      <c r="EJ170" s="1" t="s">
        <v>55</v>
      </c>
      <c r="EL170" s="1" t="s">
        <v>57</v>
      </c>
    </row>
    <row r="171" spans="1:142" x14ac:dyDescent="0.2">
      <c r="A171" s="101">
        <v>78397373001</v>
      </c>
      <c r="B171" s="101">
        <v>78397373</v>
      </c>
      <c r="D171" s="1" t="s">
        <v>43</v>
      </c>
      <c r="E171" s="1" t="s">
        <v>44</v>
      </c>
      <c r="F171" s="1" t="s">
        <v>583</v>
      </c>
      <c r="AI171" s="1" t="s">
        <v>551</v>
      </c>
      <c r="AJ171" s="1" t="s">
        <v>44</v>
      </c>
      <c r="AK171" s="1" t="s">
        <v>584</v>
      </c>
      <c r="AL171" s="1" t="s">
        <v>810</v>
      </c>
      <c r="AR171" s="1" t="s">
        <v>79</v>
      </c>
      <c r="AS171" s="1" t="s">
        <v>71</v>
      </c>
      <c r="AT171" s="1">
        <v>2.7077</v>
      </c>
      <c r="AV171" s="1" t="s">
        <v>811</v>
      </c>
      <c r="AW171" s="1" t="s">
        <v>857</v>
      </c>
      <c r="AX171" s="1">
        <v>12808301</v>
      </c>
      <c r="BA171" s="1" t="s">
        <v>69</v>
      </c>
      <c r="BB171" s="1" t="s">
        <v>574</v>
      </c>
      <c r="BC171" s="1" t="s">
        <v>456</v>
      </c>
      <c r="BD171" s="1" t="s">
        <v>555</v>
      </c>
      <c r="BG171" s="1" t="s">
        <v>558</v>
      </c>
      <c r="BH171" s="1">
        <v>17</v>
      </c>
      <c r="BI171" s="1" t="s">
        <v>431</v>
      </c>
      <c r="BJ171" s="1" t="s">
        <v>67</v>
      </c>
      <c r="BK171" s="1" t="s">
        <v>440</v>
      </c>
      <c r="BL171" s="1">
        <v>0</v>
      </c>
      <c r="BM171" s="1" t="s">
        <v>811</v>
      </c>
      <c r="BN171" s="1" t="s">
        <v>857</v>
      </c>
      <c r="BP171" s="1">
        <v>12808301</v>
      </c>
      <c r="BR171" s="1" t="s">
        <v>69</v>
      </c>
      <c r="BS171" s="1" t="s">
        <v>69</v>
      </c>
      <c r="BT171" s="1" t="s">
        <v>574</v>
      </c>
      <c r="BU171" s="1" t="s">
        <v>456</v>
      </c>
      <c r="BV171" s="1" t="s">
        <v>555</v>
      </c>
      <c r="BY171" s="1" t="s">
        <v>558</v>
      </c>
      <c r="BZ171" s="1">
        <v>17</v>
      </c>
      <c r="CJ171" s="1">
        <v>2.0889700000000002</v>
      </c>
      <c r="CK171" s="1">
        <v>2.0864699999999998</v>
      </c>
      <c r="CL171" s="1">
        <v>2.0914700000000002</v>
      </c>
      <c r="CR171" s="1">
        <v>-41500.024624157697</v>
      </c>
      <c r="CS171" s="1">
        <v>-41819.480000000003</v>
      </c>
      <c r="CT171" s="1">
        <v>-41180.559999999998</v>
      </c>
      <c r="CU171" s="1">
        <v>-0.32400000000000001</v>
      </c>
      <c r="CZ171" s="1">
        <v>-41500.019999999997</v>
      </c>
      <c r="DA171" s="1">
        <v>-41500.019999999997</v>
      </c>
      <c r="DB171" s="1">
        <v>-48225.7</v>
      </c>
      <c r="DC171" s="1">
        <v>6725.67</v>
      </c>
      <c r="DD171" s="2">
        <v>818.67</v>
      </c>
      <c r="DG171" s="1">
        <v>189.77</v>
      </c>
      <c r="DL171" s="1">
        <v>-12984638.390000001</v>
      </c>
      <c r="DM171" s="1">
        <v>-12856511.23</v>
      </c>
      <c r="DN171" s="1">
        <v>-128127.16</v>
      </c>
      <c r="DO171" s="1">
        <v>2.7077</v>
      </c>
      <c r="DP171" s="1" t="s">
        <v>983</v>
      </c>
      <c r="DQ171" s="1" t="s">
        <v>983</v>
      </c>
      <c r="DS171" s="1">
        <v>12943138.369999999</v>
      </c>
      <c r="DT171" s="1">
        <v>12808285.529999999</v>
      </c>
      <c r="DU171" s="1">
        <v>134852.84</v>
      </c>
      <c r="DV171" s="1">
        <v>2.38293</v>
      </c>
      <c r="DW171" s="1" t="s">
        <v>983</v>
      </c>
      <c r="DX171" s="1" t="s">
        <v>983</v>
      </c>
      <c r="DY171" s="1" t="s">
        <v>860</v>
      </c>
      <c r="DZ171" s="1">
        <v>-50051</v>
      </c>
      <c r="EA171" s="1">
        <v>-32949</v>
      </c>
      <c r="ED171" s="1" t="s">
        <v>50</v>
      </c>
      <c r="EE171" s="1" t="s">
        <v>1218</v>
      </c>
      <c r="EF171" s="1" t="s">
        <v>53</v>
      </c>
      <c r="EG171" s="1" t="s">
        <v>1218</v>
      </c>
      <c r="EH171" s="1" t="s">
        <v>51</v>
      </c>
      <c r="EJ171" s="1" t="s">
        <v>55</v>
      </c>
      <c r="EL171" s="1" t="s">
        <v>57</v>
      </c>
    </row>
    <row r="172" spans="1:142" x14ac:dyDescent="0.2">
      <c r="A172" s="101">
        <v>78397377001</v>
      </c>
      <c r="B172" s="101">
        <v>78397377</v>
      </c>
      <c r="D172" s="1" t="s">
        <v>77</v>
      </c>
      <c r="E172" s="1" t="s">
        <v>44</v>
      </c>
      <c r="F172" s="1" t="s">
        <v>583</v>
      </c>
      <c r="AI172" s="1" t="s">
        <v>551</v>
      </c>
      <c r="AJ172" s="1" t="s">
        <v>44</v>
      </c>
      <c r="AK172" s="1" t="s">
        <v>584</v>
      </c>
      <c r="AL172" s="1" t="s">
        <v>810</v>
      </c>
      <c r="AR172" s="1" t="s">
        <v>79</v>
      </c>
      <c r="AS172" s="1" t="s">
        <v>71</v>
      </c>
      <c r="AT172" s="1">
        <v>2.6772</v>
      </c>
      <c r="AV172" s="1" t="s">
        <v>811</v>
      </c>
      <c r="AW172" s="1" t="s">
        <v>1222</v>
      </c>
      <c r="AX172" s="1">
        <v>491925</v>
      </c>
      <c r="BA172" s="1" t="s">
        <v>69</v>
      </c>
      <c r="BB172" s="1" t="s">
        <v>574</v>
      </c>
      <c r="BC172" s="1" t="s">
        <v>456</v>
      </c>
      <c r="BD172" s="1" t="s">
        <v>555</v>
      </c>
      <c r="BG172" s="1" t="s">
        <v>558</v>
      </c>
      <c r="BH172" s="1">
        <v>5</v>
      </c>
      <c r="BI172" s="1" t="s">
        <v>431</v>
      </c>
      <c r="BJ172" s="1" t="s">
        <v>67</v>
      </c>
      <c r="BK172" s="1" t="s">
        <v>440</v>
      </c>
      <c r="BL172" s="1">
        <v>0</v>
      </c>
      <c r="BM172" s="1" t="s">
        <v>811</v>
      </c>
      <c r="BN172" s="1" t="s">
        <v>1222</v>
      </c>
      <c r="BP172" s="1">
        <v>491925</v>
      </c>
      <c r="BR172" s="1" t="s">
        <v>69</v>
      </c>
      <c r="BS172" s="1" t="s">
        <v>69</v>
      </c>
      <c r="BT172" s="1" t="s">
        <v>574</v>
      </c>
      <c r="BU172" s="1" t="s">
        <v>456</v>
      </c>
      <c r="BV172" s="1" t="s">
        <v>555</v>
      </c>
      <c r="BY172" s="1" t="s">
        <v>558</v>
      </c>
      <c r="BZ172" s="1">
        <v>5</v>
      </c>
      <c r="CJ172" s="1">
        <v>2.0754600000000001</v>
      </c>
      <c r="CK172" s="1">
        <v>2.0729600000000001</v>
      </c>
      <c r="CL172" s="1">
        <v>2.07796</v>
      </c>
      <c r="CR172" s="1">
        <v>-1754.6885609748001</v>
      </c>
      <c r="CS172" s="1">
        <v>-1766.98</v>
      </c>
      <c r="CT172" s="1">
        <v>-1742.4</v>
      </c>
      <c r="CU172" s="1">
        <v>-0.35670000000000002</v>
      </c>
      <c r="CZ172" s="1">
        <v>-1754.69</v>
      </c>
      <c r="DA172" s="1">
        <v>-1754.69</v>
      </c>
      <c r="DB172" s="1">
        <v>-1947.87</v>
      </c>
      <c r="DC172" s="1">
        <v>193.19</v>
      </c>
      <c r="DD172" s="2">
        <v>33.83</v>
      </c>
      <c r="DG172" s="1">
        <v>7.37</v>
      </c>
      <c r="DL172" s="1">
        <v>-498114.72</v>
      </c>
      <c r="DM172" s="1">
        <v>-493871.11</v>
      </c>
      <c r="DN172" s="1">
        <v>-4243.6099999999997</v>
      </c>
      <c r="DO172" s="1">
        <v>2.6772</v>
      </c>
      <c r="DP172" s="1" t="s">
        <v>879</v>
      </c>
      <c r="DQ172" s="1" t="s">
        <v>879</v>
      </c>
      <c r="DS172" s="1">
        <v>496360.03</v>
      </c>
      <c r="DT172" s="1">
        <v>491923.24</v>
      </c>
      <c r="DU172" s="1">
        <v>4436.79</v>
      </c>
      <c r="DV172" s="1">
        <v>2.3202699999999998</v>
      </c>
      <c r="DW172" s="1" t="s">
        <v>879</v>
      </c>
      <c r="DX172" s="1" t="s">
        <v>879</v>
      </c>
      <c r="DY172" s="1" t="s">
        <v>816</v>
      </c>
      <c r="DZ172" s="1">
        <v>-2106</v>
      </c>
      <c r="EA172" s="1">
        <v>-1404</v>
      </c>
      <c r="ED172" s="1" t="s">
        <v>50</v>
      </c>
      <c r="EE172" s="1" t="s">
        <v>1223</v>
      </c>
      <c r="EF172" s="1" t="s">
        <v>53</v>
      </c>
      <c r="EG172" s="1" t="s">
        <v>1223</v>
      </c>
      <c r="EH172" s="1" t="s">
        <v>51</v>
      </c>
      <c r="EJ172" s="1" t="s">
        <v>55</v>
      </c>
      <c r="EL172" s="1" t="s">
        <v>57</v>
      </c>
    </row>
    <row r="173" spans="1:142" x14ac:dyDescent="0.2">
      <c r="A173" s="101">
        <v>78397379001</v>
      </c>
      <c r="B173" s="101">
        <v>78397379</v>
      </c>
      <c r="D173" s="1" t="s">
        <v>43</v>
      </c>
      <c r="E173" s="1" t="s">
        <v>44</v>
      </c>
      <c r="F173" s="1" t="s">
        <v>583</v>
      </c>
      <c r="AI173" s="1" t="s">
        <v>551</v>
      </c>
      <c r="AJ173" s="1" t="s">
        <v>44</v>
      </c>
      <c r="AK173" s="1" t="s">
        <v>584</v>
      </c>
      <c r="AL173" s="1" t="s">
        <v>810</v>
      </c>
      <c r="AR173" s="1" t="s">
        <v>79</v>
      </c>
      <c r="AS173" s="1" t="s">
        <v>71</v>
      </c>
      <c r="AT173" s="1">
        <v>2.7012</v>
      </c>
      <c r="AV173" s="1" t="s">
        <v>811</v>
      </c>
      <c r="AW173" s="1" t="s">
        <v>857</v>
      </c>
      <c r="AX173" s="1">
        <v>1851930</v>
      </c>
      <c r="BA173" s="1" t="s">
        <v>69</v>
      </c>
      <c r="BB173" s="1" t="s">
        <v>574</v>
      </c>
      <c r="BC173" s="1" t="s">
        <v>456</v>
      </c>
      <c r="BD173" s="1" t="s">
        <v>555</v>
      </c>
      <c r="BG173" s="1" t="s">
        <v>558</v>
      </c>
      <c r="BH173" s="1">
        <v>17</v>
      </c>
      <c r="BI173" s="1" t="s">
        <v>431</v>
      </c>
      <c r="BJ173" s="1" t="s">
        <v>67</v>
      </c>
      <c r="BK173" s="1" t="s">
        <v>440</v>
      </c>
      <c r="BL173" s="1">
        <v>0</v>
      </c>
      <c r="BM173" s="1" t="s">
        <v>811</v>
      </c>
      <c r="BN173" s="1" t="s">
        <v>857</v>
      </c>
      <c r="BP173" s="1">
        <v>1851930</v>
      </c>
      <c r="BR173" s="1" t="s">
        <v>69</v>
      </c>
      <c r="BS173" s="1" t="s">
        <v>69</v>
      </c>
      <c r="BT173" s="1" t="s">
        <v>574</v>
      </c>
      <c r="BU173" s="1" t="s">
        <v>456</v>
      </c>
      <c r="BV173" s="1" t="s">
        <v>555</v>
      </c>
      <c r="BY173" s="1" t="s">
        <v>558</v>
      </c>
      <c r="BZ173" s="1">
        <v>17</v>
      </c>
      <c r="CJ173" s="1">
        <v>2.0889700000000002</v>
      </c>
      <c r="CK173" s="1">
        <v>2.0864699999999998</v>
      </c>
      <c r="CL173" s="1">
        <v>2.0914700000000002</v>
      </c>
      <c r="CR173" s="1">
        <v>-5880.3220703153002</v>
      </c>
      <c r="CS173" s="1">
        <v>-5926.51</v>
      </c>
      <c r="CT173" s="1">
        <v>-5834.13</v>
      </c>
      <c r="CU173" s="1">
        <v>-0.3175</v>
      </c>
      <c r="CZ173" s="1">
        <v>-5880.32</v>
      </c>
      <c r="DA173" s="1">
        <v>-5880.32</v>
      </c>
      <c r="DB173" s="1">
        <v>-6897.25</v>
      </c>
      <c r="DC173" s="1">
        <v>1016.93</v>
      </c>
      <c r="DD173" s="2">
        <v>118.36</v>
      </c>
      <c r="DG173" s="1">
        <v>27.44</v>
      </c>
      <c r="DL173" s="1">
        <v>-1877306.22</v>
      </c>
      <c r="DM173" s="1">
        <v>-1858825.01</v>
      </c>
      <c r="DN173" s="1">
        <v>-18481.21</v>
      </c>
      <c r="DO173" s="1">
        <v>2.7012</v>
      </c>
      <c r="DP173" s="1" t="s">
        <v>983</v>
      </c>
      <c r="DQ173" s="1" t="s">
        <v>983</v>
      </c>
      <c r="DS173" s="1">
        <v>1871425.9</v>
      </c>
      <c r="DT173" s="1">
        <v>1851927.76</v>
      </c>
      <c r="DU173" s="1">
        <v>19498.14</v>
      </c>
      <c r="DV173" s="1">
        <v>2.38293</v>
      </c>
      <c r="DW173" s="1" t="s">
        <v>983</v>
      </c>
      <c r="DX173" s="1" t="s">
        <v>983</v>
      </c>
      <c r="DY173" s="1" t="s">
        <v>860</v>
      </c>
      <c r="DZ173" s="1">
        <v>-7117</v>
      </c>
      <c r="EA173" s="1">
        <v>-4644</v>
      </c>
      <c r="ED173" s="1" t="s">
        <v>50</v>
      </c>
      <c r="EE173" s="1" t="s">
        <v>1224</v>
      </c>
      <c r="EF173" s="1" t="s">
        <v>53</v>
      </c>
      <c r="EG173" s="1" t="s">
        <v>1224</v>
      </c>
      <c r="EH173" s="1" t="s">
        <v>51</v>
      </c>
      <c r="EJ173" s="1" t="s">
        <v>55</v>
      </c>
      <c r="EL173" s="1" t="s">
        <v>57</v>
      </c>
    </row>
    <row r="174" spans="1:142" x14ac:dyDescent="0.2">
      <c r="A174" s="101">
        <v>78397420001</v>
      </c>
      <c r="B174" s="101">
        <v>78397420</v>
      </c>
      <c r="D174" s="1" t="s">
        <v>77</v>
      </c>
      <c r="E174" s="1" t="s">
        <v>44</v>
      </c>
      <c r="F174" s="1" t="s">
        <v>583</v>
      </c>
      <c r="AI174" s="1" t="s">
        <v>551</v>
      </c>
      <c r="AJ174" s="1" t="s">
        <v>44</v>
      </c>
      <c r="AK174" s="1" t="s">
        <v>584</v>
      </c>
      <c r="AL174" s="1" t="s">
        <v>810</v>
      </c>
      <c r="AR174" s="1" t="s">
        <v>79</v>
      </c>
      <c r="AS174" s="1" t="s">
        <v>71</v>
      </c>
      <c r="AT174" s="1">
        <v>3.1432000000000002</v>
      </c>
      <c r="AV174" s="1" t="s">
        <v>811</v>
      </c>
      <c r="AW174" s="1" t="s">
        <v>1225</v>
      </c>
      <c r="AX174" s="1">
        <v>26676000</v>
      </c>
      <c r="BA174" s="1" t="s">
        <v>69</v>
      </c>
      <c r="BB174" s="1" t="s">
        <v>574</v>
      </c>
      <c r="BC174" s="1" t="s">
        <v>456</v>
      </c>
      <c r="BD174" s="1" t="s">
        <v>555</v>
      </c>
      <c r="BG174" s="1" t="s">
        <v>558</v>
      </c>
      <c r="BH174" s="1">
        <v>29</v>
      </c>
      <c r="BI174" s="1" t="s">
        <v>431</v>
      </c>
      <c r="BJ174" s="1" t="s">
        <v>67</v>
      </c>
      <c r="BK174" s="1" t="s">
        <v>440</v>
      </c>
      <c r="BL174" s="1">
        <v>0</v>
      </c>
      <c r="BM174" s="1" t="s">
        <v>811</v>
      </c>
      <c r="BN174" s="1" t="s">
        <v>1225</v>
      </c>
      <c r="BP174" s="1">
        <v>26676000</v>
      </c>
      <c r="BR174" s="1" t="s">
        <v>69</v>
      </c>
      <c r="BS174" s="1" t="s">
        <v>69</v>
      </c>
      <c r="BT174" s="1" t="s">
        <v>574</v>
      </c>
      <c r="BU174" s="1" t="s">
        <v>456</v>
      </c>
      <c r="BV174" s="1" t="s">
        <v>555</v>
      </c>
      <c r="BY174" s="1" t="s">
        <v>558</v>
      </c>
      <c r="BZ174" s="1">
        <v>31</v>
      </c>
      <c r="CJ174" s="1">
        <v>2.4168799999999999</v>
      </c>
      <c r="CK174" s="1">
        <v>2.41438</v>
      </c>
      <c r="CL174" s="1">
        <v>2.4193799999999999</v>
      </c>
      <c r="CR174" s="1">
        <v>-12620.4142954341</v>
      </c>
      <c r="CS174" s="1">
        <v>-13009.41</v>
      </c>
      <c r="CT174" s="1">
        <v>-12231.42</v>
      </c>
      <c r="CU174" s="1">
        <v>-4.7300000000000002E-2</v>
      </c>
      <c r="CZ174" s="1">
        <v>-12620.41</v>
      </c>
      <c r="DA174" s="1">
        <v>-12620.41</v>
      </c>
      <c r="DB174" s="1">
        <v>0.85</v>
      </c>
      <c r="DC174" s="1">
        <v>-12621.26</v>
      </c>
      <c r="DD174" s="2">
        <v>0</v>
      </c>
      <c r="DG174" s="1">
        <v>0</v>
      </c>
      <c r="DL174" s="1">
        <v>-489080.53</v>
      </c>
      <c r="DM174" s="1">
        <v>32.82</v>
      </c>
      <c r="DN174" s="1">
        <v>-489113.35</v>
      </c>
      <c r="DO174" s="1">
        <v>3.1432000000000002</v>
      </c>
      <c r="DP174" s="1" t="s">
        <v>1042</v>
      </c>
      <c r="DQ174" s="1" t="s">
        <v>1042</v>
      </c>
      <c r="DS174" s="1">
        <v>476460.12</v>
      </c>
      <c r="DT174" s="1">
        <v>-31.97</v>
      </c>
      <c r="DU174" s="1">
        <v>476492.09</v>
      </c>
      <c r="DV174" s="1">
        <v>3.06209</v>
      </c>
      <c r="DW174" s="1" t="s">
        <v>1042</v>
      </c>
      <c r="DX174" s="1" t="s">
        <v>1042</v>
      </c>
      <c r="DY174" s="1" t="s">
        <v>810</v>
      </c>
      <c r="DZ174" s="1">
        <v>-12620</v>
      </c>
      <c r="EA174" s="1">
        <v>-12620</v>
      </c>
      <c r="ED174" s="1" t="s">
        <v>50</v>
      </c>
      <c r="EE174" s="1" t="s">
        <v>1226</v>
      </c>
      <c r="EF174" s="1" t="s">
        <v>53</v>
      </c>
      <c r="EG174" s="1" t="s">
        <v>1226</v>
      </c>
      <c r="EH174" s="1" t="s">
        <v>51</v>
      </c>
      <c r="EJ174" s="1" t="s">
        <v>55</v>
      </c>
      <c r="EL174" s="1" t="s">
        <v>57</v>
      </c>
    </row>
    <row r="175" spans="1:142" x14ac:dyDescent="0.2">
      <c r="A175" s="101">
        <v>78397447001</v>
      </c>
      <c r="B175" s="101">
        <v>78397447</v>
      </c>
      <c r="D175" s="1" t="s">
        <v>63</v>
      </c>
      <c r="E175" s="1" t="s">
        <v>44</v>
      </c>
      <c r="F175" s="1" t="s">
        <v>583</v>
      </c>
      <c r="AI175" s="1" t="s">
        <v>551</v>
      </c>
      <c r="AJ175" s="1" t="s">
        <v>44</v>
      </c>
      <c r="AK175" s="1" t="s">
        <v>584</v>
      </c>
      <c r="AL175" s="1" t="s">
        <v>810</v>
      </c>
      <c r="AR175" s="1" t="s">
        <v>79</v>
      </c>
      <c r="AS175" s="1" t="s">
        <v>71</v>
      </c>
      <c r="AT175" s="1">
        <v>2.9982000000000002</v>
      </c>
      <c r="AV175" s="1" t="s">
        <v>811</v>
      </c>
      <c r="AW175" s="1" t="s">
        <v>1227</v>
      </c>
      <c r="AX175" s="1">
        <v>18555400</v>
      </c>
      <c r="BA175" s="1" t="s">
        <v>69</v>
      </c>
      <c r="BB175" s="1" t="s">
        <v>574</v>
      </c>
      <c r="BC175" s="1" t="s">
        <v>456</v>
      </c>
      <c r="BD175" s="1" t="s">
        <v>555</v>
      </c>
      <c r="BG175" s="1" t="s">
        <v>558</v>
      </c>
      <c r="BH175" s="1">
        <v>4</v>
      </c>
      <c r="BI175" s="1" t="s">
        <v>431</v>
      </c>
      <c r="BJ175" s="1" t="s">
        <v>67</v>
      </c>
      <c r="BK175" s="1" t="s">
        <v>440</v>
      </c>
      <c r="BL175" s="1">
        <v>0</v>
      </c>
      <c r="BM175" s="1" t="s">
        <v>811</v>
      </c>
      <c r="BN175" s="1" t="s">
        <v>1227</v>
      </c>
      <c r="BP175" s="1">
        <v>18555400</v>
      </c>
      <c r="BR175" s="1" t="s">
        <v>69</v>
      </c>
      <c r="BS175" s="1" t="s">
        <v>69</v>
      </c>
      <c r="BT175" s="1" t="s">
        <v>574</v>
      </c>
      <c r="BU175" s="1" t="s">
        <v>456</v>
      </c>
      <c r="BV175" s="1" t="s">
        <v>555</v>
      </c>
      <c r="BY175" s="1" t="s">
        <v>558</v>
      </c>
      <c r="BZ175" s="1">
        <v>4</v>
      </c>
      <c r="CJ175" s="1">
        <v>2.2984</v>
      </c>
      <c r="CK175" s="1">
        <v>2.2959000000000001</v>
      </c>
      <c r="CL175" s="1">
        <v>2.3008999999999999</v>
      </c>
      <c r="CR175" s="1">
        <v>-14956.9094193652</v>
      </c>
      <c r="CS175" s="1">
        <v>-15309.78</v>
      </c>
      <c r="CT175" s="1">
        <v>-14604.04</v>
      </c>
      <c r="CU175" s="1">
        <v>-8.0600000000000005E-2</v>
      </c>
      <c r="CZ175" s="1">
        <v>-14956.91</v>
      </c>
      <c r="DA175" s="1">
        <v>-14956.91</v>
      </c>
      <c r="DB175" s="1">
        <v>-21872.54</v>
      </c>
      <c r="DC175" s="1">
        <v>6915.63</v>
      </c>
      <c r="DD175" s="2">
        <v>334.69</v>
      </c>
      <c r="DG175" s="1">
        <v>116.68</v>
      </c>
      <c r="DL175" s="1">
        <v>-18901773.09</v>
      </c>
      <c r="DM175" s="1">
        <v>-18577248.420000002</v>
      </c>
      <c r="DN175" s="1">
        <v>-324524.67</v>
      </c>
      <c r="DO175" s="1">
        <v>2.9982000000000002</v>
      </c>
      <c r="DP175" s="1" t="s">
        <v>1095</v>
      </c>
      <c r="DQ175" s="1" t="s">
        <v>1095</v>
      </c>
      <c r="DS175" s="1">
        <v>18886816.18</v>
      </c>
      <c r="DT175" s="1">
        <v>18555375.879999999</v>
      </c>
      <c r="DU175" s="1">
        <v>331440.3</v>
      </c>
      <c r="DV175" s="1">
        <v>2.8922300000000001</v>
      </c>
      <c r="DW175" s="1" t="s">
        <v>1095</v>
      </c>
      <c r="DX175" s="1" t="s">
        <v>1095</v>
      </c>
      <c r="DY175" s="1" t="s">
        <v>810</v>
      </c>
      <c r="DZ175" s="1">
        <v>-18803</v>
      </c>
      <c r="EA175" s="1">
        <v>-11111</v>
      </c>
      <c r="ED175" s="1" t="s">
        <v>50</v>
      </c>
      <c r="EE175" s="1" t="s">
        <v>1228</v>
      </c>
      <c r="EF175" s="1" t="s">
        <v>53</v>
      </c>
      <c r="EG175" s="1" t="s">
        <v>1228</v>
      </c>
      <c r="EH175" s="1" t="s">
        <v>51</v>
      </c>
      <c r="EJ175" s="1" t="s">
        <v>55</v>
      </c>
      <c r="EL175" s="1" t="s">
        <v>57</v>
      </c>
    </row>
    <row r="176" spans="1:142" x14ac:dyDescent="0.2">
      <c r="A176" s="101">
        <v>78397455001</v>
      </c>
      <c r="B176" s="101">
        <v>78397455</v>
      </c>
      <c r="D176" s="1" t="s">
        <v>824</v>
      </c>
      <c r="E176" s="1" t="s">
        <v>44</v>
      </c>
      <c r="F176" s="1" t="s">
        <v>583</v>
      </c>
      <c r="AI176" s="1" t="s">
        <v>551</v>
      </c>
      <c r="AJ176" s="1" t="s">
        <v>44</v>
      </c>
      <c r="AK176" s="1" t="s">
        <v>584</v>
      </c>
      <c r="AL176" s="1" t="s">
        <v>810</v>
      </c>
      <c r="AR176" s="1" t="s">
        <v>79</v>
      </c>
      <c r="AS176" s="1" t="s">
        <v>71</v>
      </c>
      <c r="AT176" s="1">
        <v>3.0146999999999999</v>
      </c>
      <c r="AV176" s="1" t="s">
        <v>811</v>
      </c>
      <c r="AW176" s="1" t="s">
        <v>938</v>
      </c>
      <c r="AX176" s="1">
        <v>6396000</v>
      </c>
      <c r="BA176" s="1" t="s">
        <v>69</v>
      </c>
      <c r="BB176" s="1" t="s">
        <v>574</v>
      </c>
      <c r="BC176" s="1" t="s">
        <v>456</v>
      </c>
      <c r="BD176" s="1" t="s">
        <v>555</v>
      </c>
      <c r="BG176" s="1" t="s">
        <v>558</v>
      </c>
      <c r="BH176" s="1">
        <v>28</v>
      </c>
      <c r="BI176" s="1" t="s">
        <v>431</v>
      </c>
      <c r="BJ176" s="1" t="s">
        <v>67</v>
      </c>
      <c r="BK176" s="1" t="s">
        <v>440</v>
      </c>
      <c r="BL176" s="1">
        <v>0</v>
      </c>
      <c r="BM176" s="1" t="s">
        <v>811</v>
      </c>
      <c r="BN176" s="1" t="s">
        <v>938</v>
      </c>
      <c r="BP176" s="1">
        <v>6396000</v>
      </c>
      <c r="BR176" s="1" t="s">
        <v>69</v>
      </c>
      <c r="BS176" s="1" t="s">
        <v>69</v>
      </c>
      <c r="BT176" s="1" t="s">
        <v>574</v>
      </c>
      <c r="BU176" s="1" t="s">
        <v>456</v>
      </c>
      <c r="BV176" s="1" t="s">
        <v>555</v>
      </c>
      <c r="BY176" s="1" t="s">
        <v>558</v>
      </c>
      <c r="BZ176" s="1">
        <v>28</v>
      </c>
      <c r="CJ176" s="1">
        <v>2.3087900000000001</v>
      </c>
      <c r="CK176" s="1">
        <v>2.3062900000000002</v>
      </c>
      <c r="CL176" s="1">
        <v>2.3112900000000001</v>
      </c>
      <c r="CR176" s="1">
        <v>-5019.8576229168002</v>
      </c>
      <c r="CS176" s="1">
        <v>-5138.45</v>
      </c>
      <c r="CT176" s="1">
        <v>-4901.2700000000004</v>
      </c>
      <c r="CU176" s="1">
        <v>-7.85E-2</v>
      </c>
      <c r="CZ176" s="1">
        <v>-5019.8599999999997</v>
      </c>
      <c r="DA176" s="1">
        <v>-5019.8599999999997</v>
      </c>
      <c r="DB176" s="1">
        <v>-6788.04</v>
      </c>
      <c r="DC176" s="1">
        <v>1768.18</v>
      </c>
      <c r="DD176" s="2">
        <v>102.79</v>
      </c>
      <c r="DG176" s="1">
        <v>34.86</v>
      </c>
      <c r="DL176" s="1">
        <v>-6515258.2199999997</v>
      </c>
      <c r="DM176" s="1">
        <v>-6402779.7599999998</v>
      </c>
      <c r="DN176" s="1">
        <v>-112478.46</v>
      </c>
      <c r="DO176" s="1">
        <v>3.0146999999999999</v>
      </c>
      <c r="DP176" s="1" t="s">
        <v>759</v>
      </c>
      <c r="DQ176" s="1" t="s">
        <v>759</v>
      </c>
      <c r="DS176" s="1">
        <v>6510238.3600000003</v>
      </c>
      <c r="DT176" s="1">
        <v>6395991.7199999997</v>
      </c>
      <c r="DU176" s="1">
        <v>114246.64</v>
      </c>
      <c r="DV176" s="1">
        <v>2.9088699999999998</v>
      </c>
      <c r="DW176" s="1" t="s">
        <v>759</v>
      </c>
      <c r="DX176" s="1" t="s">
        <v>759</v>
      </c>
      <c r="DY176" s="1" t="s">
        <v>810</v>
      </c>
      <c r="DZ176" s="1">
        <v>-6206</v>
      </c>
      <c r="EA176" s="1">
        <v>-3833</v>
      </c>
      <c r="ED176" s="1" t="s">
        <v>50</v>
      </c>
      <c r="EE176" s="1" t="s">
        <v>1229</v>
      </c>
      <c r="EF176" s="1" t="s">
        <v>53</v>
      </c>
      <c r="EG176" s="1" t="s">
        <v>1229</v>
      </c>
      <c r="EH176" s="1" t="s">
        <v>51</v>
      </c>
      <c r="EJ176" s="1" t="s">
        <v>55</v>
      </c>
      <c r="EL176" s="1" t="s">
        <v>57</v>
      </c>
    </row>
    <row r="177" spans="1:142" x14ac:dyDescent="0.2">
      <c r="A177" s="101">
        <v>78397457001</v>
      </c>
      <c r="B177" s="101">
        <v>78397457</v>
      </c>
      <c r="D177" s="1" t="s">
        <v>63</v>
      </c>
      <c r="E177" s="1" t="s">
        <v>44</v>
      </c>
      <c r="F177" s="1" t="s">
        <v>583</v>
      </c>
      <c r="AI177" s="1" t="s">
        <v>551</v>
      </c>
      <c r="AJ177" s="1" t="s">
        <v>44</v>
      </c>
      <c r="AK177" s="1" t="s">
        <v>584</v>
      </c>
      <c r="AL177" s="1" t="s">
        <v>848</v>
      </c>
      <c r="AR177" s="1" t="s">
        <v>79</v>
      </c>
      <c r="AS177" s="1" t="s">
        <v>71</v>
      </c>
      <c r="AT177" s="1">
        <v>2.7071999999999998</v>
      </c>
      <c r="AV177" s="1" t="s">
        <v>812</v>
      </c>
      <c r="AW177" s="1" t="s">
        <v>857</v>
      </c>
      <c r="AX177" s="1">
        <v>14529750</v>
      </c>
      <c r="BA177" s="1" t="s">
        <v>69</v>
      </c>
      <c r="BB177" s="1" t="s">
        <v>574</v>
      </c>
      <c r="BC177" s="1" t="s">
        <v>456</v>
      </c>
      <c r="BD177" s="1" t="s">
        <v>555</v>
      </c>
      <c r="BG177" s="1" t="s">
        <v>558</v>
      </c>
      <c r="BH177" s="1">
        <v>17</v>
      </c>
      <c r="BI177" s="1" t="s">
        <v>431</v>
      </c>
      <c r="BJ177" s="1" t="s">
        <v>67</v>
      </c>
      <c r="BK177" s="1" t="s">
        <v>440</v>
      </c>
      <c r="BL177" s="1">
        <v>0</v>
      </c>
      <c r="BM177" s="1" t="s">
        <v>812</v>
      </c>
      <c r="BN177" s="1" t="s">
        <v>857</v>
      </c>
      <c r="BP177" s="1">
        <v>14529750</v>
      </c>
      <c r="BR177" s="1" t="s">
        <v>69</v>
      </c>
      <c r="BS177" s="1" t="s">
        <v>69</v>
      </c>
      <c r="BT177" s="1" t="s">
        <v>574</v>
      </c>
      <c r="BU177" s="1" t="s">
        <v>456</v>
      </c>
      <c r="BV177" s="1" t="s">
        <v>555</v>
      </c>
      <c r="BY177" s="1" t="s">
        <v>558</v>
      </c>
      <c r="BZ177" s="1">
        <v>17</v>
      </c>
      <c r="CJ177" s="1">
        <v>2.0889700000000002</v>
      </c>
      <c r="CK177" s="1">
        <v>2.0864699999999998</v>
      </c>
      <c r="CL177" s="1">
        <v>2.0914700000000002</v>
      </c>
      <c r="CR177" s="1">
        <v>-47005.192027982303</v>
      </c>
      <c r="CS177" s="1">
        <v>-47367.59</v>
      </c>
      <c r="CT177" s="1">
        <v>-46642.8</v>
      </c>
      <c r="CU177" s="1">
        <v>-0.32350000000000001</v>
      </c>
      <c r="CZ177" s="1">
        <v>-47005.19</v>
      </c>
      <c r="DA177" s="1">
        <v>-47005.19</v>
      </c>
      <c r="DB177" s="1">
        <v>-54661.64</v>
      </c>
      <c r="DC177" s="1">
        <v>7656.45</v>
      </c>
      <c r="DD177" s="2">
        <v>928.7</v>
      </c>
      <c r="DG177" s="1">
        <v>215.28</v>
      </c>
      <c r="DL177" s="1">
        <v>-14729714.84</v>
      </c>
      <c r="DM177" s="1">
        <v>-14584394.1</v>
      </c>
      <c r="DN177" s="1">
        <v>-145320.75</v>
      </c>
      <c r="DO177" s="1">
        <v>2.7071999999999998</v>
      </c>
      <c r="DP177" s="1" t="s">
        <v>983</v>
      </c>
      <c r="DQ177" s="1" t="s">
        <v>983</v>
      </c>
      <c r="DS177" s="1">
        <v>14682709.65</v>
      </c>
      <c r="DT177" s="1">
        <v>14529732.449999999</v>
      </c>
      <c r="DU177" s="1">
        <v>152977.20000000001</v>
      </c>
      <c r="DV177" s="1">
        <v>2.38293</v>
      </c>
      <c r="DW177" s="1" t="s">
        <v>983</v>
      </c>
      <c r="DX177" s="1" t="s">
        <v>983</v>
      </c>
      <c r="DY177" s="1" t="s">
        <v>860</v>
      </c>
      <c r="DZ177" s="1">
        <v>-56705</v>
      </c>
      <c r="EA177" s="1">
        <v>-37305</v>
      </c>
      <c r="ED177" s="1" t="s">
        <v>50</v>
      </c>
      <c r="EE177" s="1" t="s">
        <v>1230</v>
      </c>
      <c r="EF177" s="1" t="s">
        <v>53</v>
      </c>
      <c r="EG177" s="1" t="s">
        <v>1230</v>
      </c>
      <c r="EH177" s="1" t="s">
        <v>51</v>
      </c>
      <c r="EJ177" s="1" t="s">
        <v>55</v>
      </c>
      <c r="EL177" s="1" t="s">
        <v>57</v>
      </c>
    </row>
    <row r="178" spans="1:142" x14ac:dyDescent="0.2">
      <c r="A178" s="101">
        <v>78397462001</v>
      </c>
      <c r="B178" s="101">
        <v>78397462</v>
      </c>
      <c r="D178" s="1" t="s">
        <v>77</v>
      </c>
      <c r="E178" s="1" t="s">
        <v>44</v>
      </c>
      <c r="F178" s="1" t="s">
        <v>583</v>
      </c>
      <c r="AI178" s="1" t="s">
        <v>551</v>
      </c>
      <c r="AJ178" s="1" t="s">
        <v>44</v>
      </c>
      <c r="AK178" s="1" t="s">
        <v>584</v>
      </c>
      <c r="AL178" s="1" t="s">
        <v>848</v>
      </c>
      <c r="AR178" s="1" t="s">
        <v>79</v>
      </c>
      <c r="AS178" s="1" t="s">
        <v>71</v>
      </c>
      <c r="AT178" s="1">
        <v>2.5156999999999998</v>
      </c>
      <c r="AV178" s="1" t="s">
        <v>812</v>
      </c>
      <c r="AW178" s="1" t="s">
        <v>1231</v>
      </c>
      <c r="AX178" s="1">
        <v>20511743</v>
      </c>
      <c r="BA178" s="1" t="s">
        <v>69</v>
      </c>
      <c r="BB178" s="1" t="s">
        <v>574</v>
      </c>
      <c r="BC178" s="1" t="s">
        <v>456</v>
      </c>
      <c r="BD178" s="1" t="s">
        <v>555</v>
      </c>
      <c r="BG178" s="1" t="s">
        <v>558</v>
      </c>
      <c r="BH178" s="1">
        <v>19</v>
      </c>
      <c r="BI178" s="1" t="s">
        <v>431</v>
      </c>
      <c r="BJ178" s="1" t="s">
        <v>67</v>
      </c>
      <c r="BK178" s="1" t="s">
        <v>440</v>
      </c>
      <c r="BL178" s="1">
        <v>0</v>
      </c>
      <c r="BM178" s="1" t="s">
        <v>812</v>
      </c>
      <c r="BN178" s="1" t="s">
        <v>1231</v>
      </c>
      <c r="BP178" s="1">
        <v>20511743</v>
      </c>
      <c r="BR178" s="1" t="s">
        <v>69</v>
      </c>
      <c r="BS178" s="1" t="s">
        <v>69</v>
      </c>
      <c r="BT178" s="1" t="s">
        <v>574</v>
      </c>
      <c r="BU178" s="1" t="s">
        <v>456</v>
      </c>
      <c r="BV178" s="1" t="s">
        <v>555</v>
      </c>
      <c r="BY178" s="1" t="s">
        <v>558</v>
      </c>
      <c r="BZ178" s="1">
        <v>19</v>
      </c>
      <c r="CJ178" s="1">
        <v>1.98733</v>
      </c>
      <c r="CK178" s="1">
        <v>1.9848300000000001</v>
      </c>
      <c r="CL178" s="1">
        <v>1.98983</v>
      </c>
      <c r="CR178" s="1">
        <v>-55995.685583286002</v>
      </c>
      <c r="CS178" s="1">
        <v>-56870.239999999998</v>
      </c>
      <c r="CT178" s="1">
        <v>-55121.13</v>
      </c>
      <c r="CU178" s="1">
        <v>-0.27300000000000002</v>
      </c>
      <c r="CZ178" s="1">
        <v>-55995.69</v>
      </c>
      <c r="DA178" s="1">
        <v>-55995.69</v>
      </c>
      <c r="DB178" s="1">
        <v>-120681.11</v>
      </c>
      <c r="DC178" s="1">
        <v>64685.43</v>
      </c>
      <c r="DD178" s="2">
        <v>2318.02</v>
      </c>
      <c r="DG178" s="1">
        <v>335.37</v>
      </c>
      <c r="DL178" s="1">
        <v>-20931952.870000001</v>
      </c>
      <c r="DM178" s="1">
        <v>-20632378.129999999</v>
      </c>
      <c r="DN178" s="1">
        <v>-299574.75</v>
      </c>
      <c r="DO178" s="1">
        <v>2.5156999999999998</v>
      </c>
      <c r="DP178" s="1" t="s">
        <v>1232</v>
      </c>
      <c r="DQ178" s="1" t="s">
        <v>1233</v>
      </c>
      <c r="DS178" s="1">
        <v>20875957.190000001</v>
      </c>
      <c r="DT178" s="1">
        <v>20511697.010000002</v>
      </c>
      <c r="DU178" s="1">
        <v>364260.18</v>
      </c>
      <c r="DV178" s="1">
        <v>2.9276399999999998</v>
      </c>
      <c r="DW178" s="1" t="s">
        <v>1232</v>
      </c>
      <c r="DX178" s="1" t="s">
        <v>1233</v>
      </c>
      <c r="DY178" s="1" t="s">
        <v>745</v>
      </c>
      <c r="DZ178" s="1">
        <v>-79029</v>
      </c>
      <c r="EA178" s="1">
        <v>-32962</v>
      </c>
      <c r="ED178" s="1" t="s">
        <v>50</v>
      </c>
      <c r="EE178" s="1" t="s">
        <v>1234</v>
      </c>
      <c r="EF178" s="1" t="s">
        <v>53</v>
      </c>
      <c r="EG178" s="1" t="s">
        <v>1234</v>
      </c>
      <c r="EH178" s="1" t="s">
        <v>51</v>
      </c>
      <c r="EJ178" s="1" t="s">
        <v>55</v>
      </c>
      <c r="EL178" s="1" t="s">
        <v>57</v>
      </c>
    </row>
    <row r="179" spans="1:142" x14ac:dyDescent="0.2">
      <c r="A179" s="101">
        <v>78397464001</v>
      </c>
      <c r="B179" s="101">
        <v>78397464</v>
      </c>
      <c r="D179" s="1" t="s">
        <v>75</v>
      </c>
      <c r="E179" s="1" t="s">
        <v>44</v>
      </c>
      <c r="F179" s="1" t="s">
        <v>583</v>
      </c>
      <c r="AI179" s="1" t="s">
        <v>551</v>
      </c>
      <c r="AJ179" s="1" t="s">
        <v>44</v>
      </c>
      <c r="AK179" s="1" t="s">
        <v>584</v>
      </c>
      <c r="AL179" s="1" t="s">
        <v>848</v>
      </c>
      <c r="AR179" s="1" t="s">
        <v>79</v>
      </c>
      <c r="AS179" s="1" t="s">
        <v>71</v>
      </c>
      <c r="AT179" s="1">
        <v>2.8632</v>
      </c>
      <c r="AV179" s="1" t="s">
        <v>812</v>
      </c>
      <c r="AW179" s="1" t="s">
        <v>1235</v>
      </c>
      <c r="AX179" s="1">
        <v>200000000</v>
      </c>
      <c r="BA179" s="1" t="s">
        <v>69</v>
      </c>
      <c r="BB179" s="1" t="s">
        <v>574</v>
      </c>
      <c r="BC179" s="1" t="s">
        <v>456</v>
      </c>
      <c r="BD179" s="1" t="s">
        <v>555</v>
      </c>
      <c r="BG179" s="1" t="s">
        <v>558</v>
      </c>
      <c r="BH179" s="1">
        <v>3</v>
      </c>
      <c r="BI179" s="1" t="s">
        <v>431</v>
      </c>
      <c r="BJ179" s="1" t="s">
        <v>67</v>
      </c>
      <c r="BK179" s="1" t="s">
        <v>440</v>
      </c>
      <c r="BL179" s="1">
        <v>0</v>
      </c>
      <c r="BM179" s="1" t="s">
        <v>812</v>
      </c>
      <c r="BN179" s="1" t="s">
        <v>1235</v>
      </c>
      <c r="BP179" s="1">
        <v>200000000</v>
      </c>
      <c r="BR179" s="1" t="s">
        <v>69</v>
      </c>
      <c r="BS179" s="1" t="s">
        <v>69</v>
      </c>
      <c r="BT179" s="1" t="s">
        <v>574</v>
      </c>
      <c r="BU179" s="1" t="s">
        <v>456</v>
      </c>
      <c r="BV179" s="1" t="s">
        <v>555</v>
      </c>
      <c r="BY179" s="1" t="s">
        <v>558</v>
      </c>
      <c r="BZ179" s="1">
        <v>3</v>
      </c>
      <c r="CJ179" s="1">
        <v>2.1610299999999998</v>
      </c>
      <c r="CK179" s="1">
        <v>2.1585299999999998</v>
      </c>
      <c r="CL179" s="1">
        <v>2.1635300000000002</v>
      </c>
      <c r="CR179" s="1">
        <v>-341691.38461884903</v>
      </c>
      <c r="CS179" s="1">
        <v>-346713.45</v>
      </c>
      <c r="CT179" s="1">
        <v>-336669.32</v>
      </c>
      <c r="CU179" s="1">
        <v>-0.17080000000000001</v>
      </c>
      <c r="CZ179" s="1">
        <v>-341691.38</v>
      </c>
      <c r="DA179" s="1">
        <v>-341691.38</v>
      </c>
      <c r="DB179" s="1">
        <v>-568921.34</v>
      </c>
      <c r="DC179" s="1">
        <v>227229.95</v>
      </c>
      <c r="DD179" s="2">
        <v>8698.2000000000007</v>
      </c>
      <c r="DG179" s="1">
        <v>2535.5300000000002</v>
      </c>
      <c r="DL179" s="1">
        <v>-203893126.65000001</v>
      </c>
      <c r="DM179" s="1">
        <v>-200568633.31999999</v>
      </c>
      <c r="DN179" s="1">
        <v>-3324493.33</v>
      </c>
      <c r="DO179" s="1">
        <v>2.8632</v>
      </c>
      <c r="DP179" s="1" t="s">
        <v>1236</v>
      </c>
      <c r="DQ179" s="1" t="s">
        <v>1236</v>
      </c>
      <c r="DS179" s="1">
        <v>203551435.27000001</v>
      </c>
      <c r="DT179" s="1">
        <v>199999711.97999999</v>
      </c>
      <c r="DU179" s="1">
        <v>3551723.28</v>
      </c>
      <c r="DV179" s="1">
        <v>2.6930999999999998</v>
      </c>
      <c r="DW179" s="1" t="s">
        <v>1236</v>
      </c>
      <c r="DX179" s="1" t="s">
        <v>1236</v>
      </c>
      <c r="DY179" s="1" t="s">
        <v>848</v>
      </c>
      <c r="DZ179" s="1">
        <v>-435677</v>
      </c>
      <c r="EA179" s="1">
        <v>-247706</v>
      </c>
      <c r="ED179" s="1" t="s">
        <v>50</v>
      </c>
      <c r="EE179" s="1" t="s">
        <v>1237</v>
      </c>
      <c r="EF179" s="1" t="s">
        <v>53</v>
      </c>
      <c r="EG179" s="1" t="s">
        <v>1237</v>
      </c>
      <c r="EH179" s="1" t="s">
        <v>51</v>
      </c>
      <c r="EJ179" s="1" t="s">
        <v>55</v>
      </c>
      <c r="EL179" s="1" t="s">
        <v>57</v>
      </c>
    </row>
    <row r="180" spans="1:142" x14ac:dyDescent="0.2">
      <c r="A180" s="101">
        <v>78397465001</v>
      </c>
      <c r="B180" s="101">
        <v>78397465</v>
      </c>
      <c r="D180" s="1" t="s">
        <v>43</v>
      </c>
      <c r="E180" s="1" t="s">
        <v>44</v>
      </c>
      <c r="F180" s="1" t="s">
        <v>583</v>
      </c>
      <c r="AI180" s="1" t="s">
        <v>551</v>
      </c>
      <c r="AJ180" s="1" t="s">
        <v>44</v>
      </c>
      <c r="AK180" s="1" t="s">
        <v>584</v>
      </c>
      <c r="AL180" s="1" t="s">
        <v>848</v>
      </c>
      <c r="AR180" s="1" t="s">
        <v>79</v>
      </c>
      <c r="AS180" s="1" t="s">
        <v>71</v>
      </c>
      <c r="AT180" s="1">
        <v>2.8626999999999998</v>
      </c>
      <c r="AV180" s="1" t="s">
        <v>812</v>
      </c>
      <c r="AW180" s="1" t="s">
        <v>1235</v>
      </c>
      <c r="AX180" s="1">
        <v>50000000</v>
      </c>
      <c r="BA180" s="1" t="s">
        <v>69</v>
      </c>
      <c r="BB180" s="1" t="s">
        <v>574</v>
      </c>
      <c r="BC180" s="1" t="s">
        <v>456</v>
      </c>
      <c r="BD180" s="1" t="s">
        <v>555</v>
      </c>
      <c r="BG180" s="1" t="s">
        <v>558</v>
      </c>
      <c r="BH180" s="1">
        <v>3</v>
      </c>
      <c r="BI180" s="1" t="s">
        <v>431</v>
      </c>
      <c r="BJ180" s="1" t="s">
        <v>67</v>
      </c>
      <c r="BK180" s="1" t="s">
        <v>440</v>
      </c>
      <c r="BL180" s="1">
        <v>0</v>
      </c>
      <c r="BM180" s="1" t="s">
        <v>812</v>
      </c>
      <c r="BN180" s="1" t="s">
        <v>1235</v>
      </c>
      <c r="BP180" s="1">
        <v>50000000</v>
      </c>
      <c r="BR180" s="1" t="s">
        <v>69</v>
      </c>
      <c r="BS180" s="1" t="s">
        <v>69</v>
      </c>
      <c r="BT180" s="1" t="s">
        <v>574</v>
      </c>
      <c r="BU180" s="1" t="s">
        <v>456</v>
      </c>
      <c r="BV180" s="1" t="s">
        <v>555</v>
      </c>
      <c r="BY180" s="1" t="s">
        <v>558</v>
      </c>
      <c r="BZ180" s="1">
        <v>3</v>
      </c>
      <c r="CJ180" s="1">
        <v>2.1610299999999998</v>
      </c>
      <c r="CK180" s="1">
        <v>2.1585299999999998</v>
      </c>
      <c r="CL180" s="1">
        <v>2.1635300000000002</v>
      </c>
      <c r="CR180" s="1">
        <v>-85171.743068262906</v>
      </c>
      <c r="CS180" s="1">
        <v>-86427.26</v>
      </c>
      <c r="CT180" s="1">
        <v>-83916.23</v>
      </c>
      <c r="CU180" s="1">
        <v>-0.17030000000000001</v>
      </c>
      <c r="CZ180" s="1">
        <v>-85171.74</v>
      </c>
      <c r="DA180" s="1">
        <v>-85171.74</v>
      </c>
      <c r="DB180" s="1">
        <v>-142124.37</v>
      </c>
      <c r="DC180" s="1">
        <v>56952.63</v>
      </c>
      <c r="DD180" s="2">
        <v>2174.54</v>
      </c>
      <c r="DG180" s="1">
        <v>633.89</v>
      </c>
      <c r="DL180" s="1">
        <v>-50973030.560000002</v>
      </c>
      <c r="DM180" s="1">
        <v>-50142052.369999997</v>
      </c>
      <c r="DN180" s="1">
        <v>-830978.19</v>
      </c>
      <c r="DO180" s="1">
        <v>2.8626999999999998</v>
      </c>
      <c r="DP180" s="1" t="s">
        <v>1236</v>
      </c>
      <c r="DQ180" s="1" t="s">
        <v>1236</v>
      </c>
      <c r="DS180" s="1">
        <v>50887858.82</v>
      </c>
      <c r="DT180" s="1">
        <v>49999928</v>
      </c>
      <c r="DU180" s="1">
        <v>887930.82</v>
      </c>
      <c r="DV180" s="1">
        <v>2.6930999999999998</v>
      </c>
      <c r="DW180" s="1" t="s">
        <v>1236</v>
      </c>
      <c r="DX180" s="1" t="s">
        <v>1236</v>
      </c>
      <c r="DY180" s="1" t="s">
        <v>848</v>
      </c>
      <c r="DZ180" s="1">
        <v>-108668</v>
      </c>
      <c r="EA180" s="1">
        <v>-61676</v>
      </c>
      <c r="ED180" s="1" t="s">
        <v>50</v>
      </c>
      <c r="EE180" s="1" t="s">
        <v>1238</v>
      </c>
      <c r="EF180" s="1" t="s">
        <v>53</v>
      </c>
      <c r="EG180" s="1" t="s">
        <v>1238</v>
      </c>
      <c r="EH180" s="1" t="s">
        <v>51</v>
      </c>
      <c r="EJ180" s="1" t="s">
        <v>55</v>
      </c>
      <c r="EL180" s="1" t="s">
        <v>57</v>
      </c>
    </row>
    <row r="181" spans="1:142" x14ac:dyDescent="0.2">
      <c r="A181" s="101">
        <v>78529600001</v>
      </c>
      <c r="B181" s="101">
        <v>78529600</v>
      </c>
      <c r="D181" s="1" t="s">
        <v>63</v>
      </c>
      <c r="E181" s="1" t="s">
        <v>44</v>
      </c>
      <c r="F181" s="1" t="s">
        <v>583</v>
      </c>
      <c r="AI181" s="1" t="s">
        <v>551</v>
      </c>
      <c r="AJ181" s="1" t="s">
        <v>44</v>
      </c>
      <c r="AK181" s="1" t="s">
        <v>584</v>
      </c>
      <c r="AL181" s="1" t="s">
        <v>811</v>
      </c>
      <c r="AR181" s="1" t="s">
        <v>79</v>
      </c>
      <c r="AS181" s="1" t="s">
        <v>71</v>
      </c>
      <c r="AT181" s="1">
        <v>2.8662000000000001</v>
      </c>
      <c r="AV181" s="1" t="s">
        <v>1087</v>
      </c>
      <c r="AW181" s="1" t="s">
        <v>979</v>
      </c>
      <c r="AX181" s="1">
        <v>3543660</v>
      </c>
      <c r="BA181" s="1" t="s">
        <v>69</v>
      </c>
      <c r="BB181" s="1" t="s">
        <v>574</v>
      </c>
      <c r="BC181" s="1" t="s">
        <v>456</v>
      </c>
      <c r="BD181" s="1" t="s">
        <v>555</v>
      </c>
      <c r="BG181" s="1" t="s">
        <v>558</v>
      </c>
      <c r="BH181" s="1">
        <v>10</v>
      </c>
      <c r="BI181" s="1" t="s">
        <v>431</v>
      </c>
      <c r="BJ181" s="1" t="s">
        <v>67</v>
      </c>
      <c r="BK181" s="1" t="s">
        <v>440</v>
      </c>
      <c r="BL181" s="1">
        <v>0</v>
      </c>
      <c r="BM181" s="1" t="s">
        <v>1087</v>
      </c>
      <c r="BN181" s="1" t="s">
        <v>979</v>
      </c>
      <c r="BP181" s="1">
        <v>3543660</v>
      </c>
      <c r="BR181" s="1" t="s">
        <v>69</v>
      </c>
      <c r="BS181" s="1" t="s">
        <v>69</v>
      </c>
      <c r="BT181" s="1" t="s">
        <v>574</v>
      </c>
      <c r="BU181" s="1" t="s">
        <v>456</v>
      </c>
      <c r="BV181" s="1" t="s">
        <v>555</v>
      </c>
      <c r="BY181" s="1" t="s">
        <v>558</v>
      </c>
      <c r="BZ181" s="1">
        <v>10</v>
      </c>
      <c r="CJ181" s="1">
        <v>2.1531400000000001</v>
      </c>
      <c r="CK181" s="1">
        <v>2.1506400000000001</v>
      </c>
      <c r="CL181" s="1">
        <v>2.15564</v>
      </c>
      <c r="CR181" s="1">
        <v>-7351.1825305376997</v>
      </c>
      <c r="CS181" s="1">
        <v>-7440.13</v>
      </c>
      <c r="CT181" s="1">
        <v>-7262.23</v>
      </c>
      <c r="CU181" s="1">
        <v>-0.2074</v>
      </c>
      <c r="CZ181" s="1">
        <v>-7351.18</v>
      </c>
      <c r="DA181" s="1">
        <v>-7351.18</v>
      </c>
      <c r="DB181" s="1">
        <v>-10723</v>
      </c>
      <c r="DC181" s="1">
        <v>3371.81</v>
      </c>
      <c r="DD181" s="2">
        <v>160.96</v>
      </c>
      <c r="DG181" s="1">
        <v>45.37</v>
      </c>
      <c r="DL181" s="1">
        <v>-3611369.12</v>
      </c>
      <c r="DM181" s="1">
        <v>-3554377.97</v>
      </c>
      <c r="DN181" s="1">
        <v>-56991.15</v>
      </c>
      <c r="DO181" s="1">
        <v>2.8662000000000001</v>
      </c>
      <c r="DP181" s="1" t="s">
        <v>980</v>
      </c>
      <c r="DQ181" s="1" t="s">
        <v>980</v>
      </c>
      <c r="DS181" s="1">
        <v>3604017.94</v>
      </c>
      <c r="DT181" s="1">
        <v>3543654.98</v>
      </c>
      <c r="DU181" s="1">
        <v>60362.96</v>
      </c>
      <c r="DV181" s="1">
        <v>2.6595900000000001</v>
      </c>
      <c r="DW181" s="1" t="s">
        <v>980</v>
      </c>
      <c r="DX181" s="1" t="s">
        <v>980</v>
      </c>
      <c r="DY181" s="1" t="s">
        <v>981</v>
      </c>
      <c r="DZ181" s="1">
        <v>-9084</v>
      </c>
      <c r="EA181" s="1">
        <v>-5618</v>
      </c>
      <c r="ED181" s="1" t="s">
        <v>50</v>
      </c>
      <c r="EE181" s="1" t="s">
        <v>1239</v>
      </c>
      <c r="EF181" s="1" t="s">
        <v>53</v>
      </c>
      <c r="EG181" s="1" t="s">
        <v>1239</v>
      </c>
      <c r="EH181" s="1" t="s">
        <v>51</v>
      </c>
      <c r="EJ181" s="1" t="s">
        <v>55</v>
      </c>
      <c r="EL181" s="1" t="s">
        <v>57</v>
      </c>
    </row>
    <row r="182" spans="1:142" x14ac:dyDescent="0.2">
      <c r="A182" s="101">
        <v>78535696001</v>
      </c>
      <c r="B182" s="101">
        <v>78535696</v>
      </c>
      <c r="D182" s="1" t="s">
        <v>43</v>
      </c>
      <c r="E182" s="1" t="s">
        <v>44</v>
      </c>
      <c r="F182" s="1" t="s">
        <v>583</v>
      </c>
      <c r="AI182" s="1" t="s">
        <v>551</v>
      </c>
      <c r="AJ182" s="1" t="s">
        <v>44</v>
      </c>
      <c r="AK182" s="1" t="s">
        <v>584</v>
      </c>
      <c r="AL182" s="1" t="s">
        <v>812</v>
      </c>
      <c r="AR182" s="1" t="s">
        <v>79</v>
      </c>
      <c r="AS182" s="1" t="s">
        <v>71</v>
      </c>
      <c r="AT182" s="1">
        <v>2.7597</v>
      </c>
      <c r="AV182" s="1" t="s">
        <v>946</v>
      </c>
      <c r="AW182" s="1" t="s">
        <v>857</v>
      </c>
      <c r="AX182" s="1">
        <v>413117800</v>
      </c>
      <c r="BA182" s="1" t="s">
        <v>69</v>
      </c>
      <c r="BB182" s="1" t="s">
        <v>574</v>
      </c>
      <c r="BC182" s="1" t="s">
        <v>456</v>
      </c>
      <c r="BD182" s="1" t="s">
        <v>555</v>
      </c>
      <c r="BG182" s="1" t="s">
        <v>558</v>
      </c>
      <c r="BH182" s="1">
        <v>17</v>
      </c>
      <c r="BI182" s="1" t="s">
        <v>431</v>
      </c>
      <c r="BJ182" s="1" t="s">
        <v>67</v>
      </c>
      <c r="BK182" s="1" t="s">
        <v>440</v>
      </c>
      <c r="BL182" s="1">
        <v>0</v>
      </c>
      <c r="BM182" s="1" t="s">
        <v>946</v>
      </c>
      <c r="BN182" s="1" t="s">
        <v>857</v>
      </c>
      <c r="BP182" s="1">
        <v>413117800</v>
      </c>
      <c r="BR182" s="1" t="s">
        <v>69</v>
      </c>
      <c r="BS182" s="1" t="s">
        <v>69</v>
      </c>
      <c r="BT182" s="1" t="s">
        <v>574</v>
      </c>
      <c r="BU182" s="1" t="s">
        <v>456</v>
      </c>
      <c r="BV182" s="1" t="s">
        <v>555</v>
      </c>
      <c r="BY182" s="1" t="s">
        <v>558</v>
      </c>
      <c r="BZ182" s="1">
        <v>17</v>
      </c>
      <c r="CJ182" s="1">
        <v>2.0889700000000002</v>
      </c>
      <c r="CK182" s="1">
        <v>2.0864699999999998</v>
      </c>
      <c r="CL182" s="1">
        <v>2.0914700000000002</v>
      </c>
      <c r="CR182" s="1">
        <v>-1552857.84031987</v>
      </c>
      <c r="CS182" s="1">
        <v>-1563161.67</v>
      </c>
      <c r="CT182" s="1">
        <v>-1542554.01</v>
      </c>
      <c r="CU182" s="1">
        <v>-0.37590000000000001</v>
      </c>
      <c r="CZ182" s="1">
        <v>-1552857.84</v>
      </c>
      <c r="DA182" s="1">
        <v>-1552857.84</v>
      </c>
      <c r="DB182" s="1">
        <v>-1690422.56</v>
      </c>
      <c r="DC182" s="1">
        <v>137564.72</v>
      </c>
      <c r="DD182" s="2">
        <v>26419.01</v>
      </c>
      <c r="DG182" s="1">
        <v>6109.6</v>
      </c>
      <c r="DL182" s="1">
        <v>-419019690.30000001</v>
      </c>
      <c r="DM182" s="1">
        <v>-414807723.67000002</v>
      </c>
      <c r="DN182" s="1">
        <v>-4211966.63</v>
      </c>
      <c r="DO182" s="1">
        <v>2.7597</v>
      </c>
      <c r="DP182" s="1" t="s">
        <v>983</v>
      </c>
      <c r="DQ182" s="1" t="s">
        <v>983</v>
      </c>
      <c r="DS182" s="1">
        <v>417466832.45999998</v>
      </c>
      <c r="DT182" s="1">
        <v>413117301.12</v>
      </c>
      <c r="DU182" s="1">
        <v>4349531.34</v>
      </c>
      <c r="DV182" s="1">
        <v>2.38293</v>
      </c>
      <c r="DW182" s="1" t="s">
        <v>983</v>
      </c>
      <c r="DX182" s="1" t="s">
        <v>983</v>
      </c>
      <c r="DY182" s="1" t="s">
        <v>860</v>
      </c>
      <c r="DZ182" s="1">
        <v>-1828800</v>
      </c>
      <c r="EA182" s="1">
        <v>-1276915</v>
      </c>
      <c r="ED182" s="1" t="s">
        <v>50</v>
      </c>
      <c r="EE182" s="1" t="s">
        <v>1240</v>
      </c>
      <c r="EF182" s="1" t="s">
        <v>53</v>
      </c>
      <c r="EG182" s="1" t="s">
        <v>1240</v>
      </c>
      <c r="EH182" s="1" t="s">
        <v>51</v>
      </c>
      <c r="EJ182" s="1" t="s">
        <v>55</v>
      </c>
      <c r="EL182" s="1" t="s">
        <v>57</v>
      </c>
    </row>
    <row r="183" spans="1:142" x14ac:dyDescent="0.2">
      <c r="A183" s="101">
        <v>78535703001</v>
      </c>
      <c r="B183" s="101">
        <v>78535703</v>
      </c>
      <c r="D183" s="1" t="s">
        <v>63</v>
      </c>
      <c r="E183" s="1" t="s">
        <v>44</v>
      </c>
      <c r="F183" s="1" t="s">
        <v>583</v>
      </c>
      <c r="AI183" s="1" t="s">
        <v>551</v>
      </c>
      <c r="AJ183" s="1" t="s">
        <v>44</v>
      </c>
      <c r="AK183" s="1" t="s">
        <v>584</v>
      </c>
      <c r="AL183" s="1" t="s">
        <v>812</v>
      </c>
      <c r="AR183" s="1" t="s">
        <v>79</v>
      </c>
      <c r="AS183" s="1" t="s">
        <v>71</v>
      </c>
      <c r="AT183" s="1">
        <v>2.8567</v>
      </c>
      <c r="AV183" s="1" t="s">
        <v>946</v>
      </c>
      <c r="AW183" s="1" t="s">
        <v>1241</v>
      </c>
      <c r="AX183" s="1">
        <v>24216756</v>
      </c>
      <c r="BA183" s="1" t="s">
        <v>69</v>
      </c>
      <c r="BB183" s="1" t="s">
        <v>574</v>
      </c>
      <c r="BC183" s="1" t="s">
        <v>456</v>
      </c>
      <c r="BD183" s="1" t="s">
        <v>555</v>
      </c>
      <c r="BG183" s="1" t="s">
        <v>558</v>
      </c>
      <c r="BH183" s="1">
        <v>5</v>
      </c>
      <c r="BI183" s="1" t="s">
        <v>431</v>
      </c>
      <c r="BJ183" s="1" t="s">
        <v>67</v>
      </c>
      <c r="BK183" s="1" t="s">
        <v>440</v>
      </c>
      <c r="BL183" s="1">
        <v>0</v>
      </c>
      <c r="BM183" s="1" t="s">
        <v>946</v>
      </c>
      <c r="BN183" s="1" t="s">
        <v>1241</v>
      </c>
      <c r="BP183" s="1">
        <v>24216756</v>
      </c>
      <c r="BR183" s="1" t="s">
        <v>69</v>
      </c>
      <c r="BS183" s="1" t="s">
        <v>69</v>
      </c>
      <c r="BT183" s="1" t="s">
        <v>574</v>
      </c>
      <c r="BU183" s="1" t="s">
        <v>456</v>
      </c>
      <c r="BV183" s="1" t="s">
        <v>555</v>
      </c>
      <c r="BY183" s="1" t="s">
        <v>558</v>
      </c>
      <c r="BZ183" s="1">
        <v>5</v>
      </c>
      <c r="CJ183" s="1">
        <v>2.1587200000000002</v>
      </c>
      <c r="CK183" s="1">
        <v>2.1562199999999998</v>
      </c>
      <c r="CL183" s="1">
        <v>2.1612200000000001</v>
      </c>
      <c r="CR183" s="1">
        <v>-42110.493700075902</v>
      </c>
      <c r="CS183" s="1">
        <v>-42718.45</v>
      </c>
      <c r="CT183" s="1">
        <v>-41502.54</v>
      </c>
      <c r="CU183" s="1">
        <v>-0.1739</v>
      </c>
      <c r="CZ183" s="1">
        <v>-42110.49</v>
      </c>
      <c r="DA183" s="1">
        <v>-42110.49</v>
      </c>
      <c r="DB183" s="1">
        <v>-69366.67</v>
      </c>
      <c r="DC183" s="1">
        <v>27256.18</v>
      </c>
      <c r="DD183" s="2">
        <v>1066.4100000000001</v>
      </c>
      <c r="DG183" s="1">
        <v>307.86</v>
      </c>
      <c r="DL183" s="1">
        <v>-24683801.91</v>
      </c>
      <c r="DM183" s="1">
        <v>-24286016.870000001</v>
      </c>
      <c r="DN183" s="1">
        <v>-397785.04</v>
      </c>
      <c r="DO183" s="1">
        <v>2.8567</v>
      </c>
      <c r="DP183" s="1" t="s">
        <v>1005</v>
      </c>
      <c r="DQ183" s="1" t="s">
        <v>1005</v>
      </c>
      <c r="DS183" s="1">
        <v>24641691.420000002</v>
      </c>
      <c r="DT183" s="1">
        <v>24216650.199999999</v>
      </c>
      <c r="DU183" s="1">
        <v>425041.22</v>
      </c>
      <c r="DV183" s="1">
        <v>2.6835399999999998</v>
      </c>
      <c r="DW183" s="1" t="s">
        <v>1005</v>
      </c>
      <c r="DX183" s="1" t="s">
        <v>1005</v>
      </c>
      <c r="DY183" s="1" t="s">
        <v>812</v>
      </c>
      <c r="DZ183" s="1">
        <v>-53621</v>
      </c>
      <c r="EA183" s="1">
        <v>-30600</v>
      </c>
      <c r="ED183" s="1" t="s">
        <v>50</v>
      </c>
      <c r="EE183" s="1" t="s">
        <v>1242</v>
      </c>
      <c r="EF183" s="1" t="s">
        <v>53</v>
      </c>
      <c r="EG183" s="1" t="s">
        <v>1242</v>
      </c>
      <c r="EH183" s="1" t="s">
        <v>51</v>
      </c>
      <c r="EJ183" s="1" t="s">
        <v>55</v>
      </c>
      <c r="EL183" s="1" t="s">
        <v>57</v>
      </c>
    </row>
    <row r="184" spans="1:142" x14ac:dyDescent="0.2">
      <c r="A184" s="101">
        <v>78682547001</v>
      </c>
      <c r="B184" s="101">
        <v>78682547</v>
      </c>
      <c r="D184" s="1" t="s">
        <v>43</v>
      </c>
      <c r="E184" s="1" t="s">
        <v>44</v>
      </c>
      <c r="F184" s="1" t="s">
        <v>583</v>
      </c>
      <c r="AI184" s="1" t="s">
        <v>551</v>
      </c>
      <c r="AJ184" s="1" t="s">
        <v>44</v>
      </c>
      <c r="AK184" s="1" t="s">
        <v>584</v>
      </c>
      <c r="AL184" s="1" t="s">
        <v>946</v>
      </c>
      <c r="AR184" s="1" t="s">
        <v>79</v>
      </c>
      <c r="AS184" s="1" t="s">
        <v>71</v>
      </c>
      <c r="AT184" s="1">
        <v>2.7917000000000001</v>
      </c>
      <c r="AV184" s="1" t="s">
        <v>945</v>
      </c>
      <c r="AW184" s="1" t="s">
        <v>1243</v>
      </c>
      <c r="AX184" s="1">
        <v>3688925</v>
      </c>
      <c r="BA184" s="1" t="s">
        <v>69</v>
      </c>
      <c r="BB184" s="1" t="s">
        <v>574</v>
      </c>
      <c r="BC184" s="1" t="s">
        <v>456</v>
      </c>
      <c r="BD184" s="1" t="s">
        <v>555</v>
      </c>
      <c r="BG184" s="1" t="s">
        <v>558</v>
      </c>
      <c r="BH184" s="1">
        <v>12</v>
      </c>
      <c r="BI184" s="1" t="s">
        <v>431</v>
      </c>
      <c r="BJ184" s="1" t="s">
        <v>67</v>
      </c>
      <c r="BK184" s="1" t="s">
        <v>440</v>
      </c>
      <c r="BL184" s="1">
        <v>0</v>
      </c>
      <c r="BM184" s="1" t="s">
        <v>945</v>
      </c>
      <c r="BN184" s="1" t="s">
        <v>1243</v>
      </c>
      <c r="BP184" s="1">
        <v>3688925</v>
      </c>
      <c r="BR184" s="1" t="s">
        <v>69</v>
      </c>
      <c r="BS184" s="1" t="s">
        <v>69</v>
      </c>
      <c r="BT184" s="1" t="s">
        <v>574</v>
      </c>
      <c r="BU184" s="1" t="s">
        <v>456</v>
      </c>
      <c r="BV184" s="1" t="s">
        <v>555</v>
      </c>
      <c r="BY184" s="1" t="s">
        <v>558</v>
      </c>
      <c r="BZ184" s="1">
        <v>12</v>
      </c>
      <c r="CJ184" s="1">
        <v>2.15096</v>
      </c>
      <c r="CK184" s="1">
        <v>2.14846</v>
      </c>
      <c r="CL184" s="1">
        <v>2.1534599999999999</v>
      </c>
      <c r="CR184" s="1">
        <v>-4952.2771298196003</v>
      </c>
      <c r="CS184" s="1">
        <v>-5045.6099999999997</v>
      </c>
      <c r="CT184" s="1">
        <v>-4858.9399999999996</v>
      </c>
      <c r="CU184" s="1">
        <v>-0.13420000000000001</v>
      </c>
      <c r="CZ184" s="1">
        <v>-4952.28</v>
      </c>
      <c r="DA184" s="1">
        <v>-4952.28</v>
      </c>
      <c r="DB184" s="1">
        <v>-10100.06</v>
      </c>
      <c r="DC184" s="1">
        <v>5147.78</v>
      </c>
      <c r="DD184" s="2">
        <v>169.49</v>
      </c>
      <c r="DG184" s="1">
        <v>47.56</v>
      </c>
      <c r="DL184" s="1">
        <v>-3757080.39</v>
      </c>
      <c r="DM184" s="1">
        <v>-3699009.02</v>
      </c>
      <c r="DN184" s="1">
        <v>-58071.38</v>
      </c>
      <c r="DO184" s="1">
        <v>2.7917000000000001</v>
      </c>
      <c r="DP184" s="1" t="s">
        <v>1137</v>
      </c>
      <c r="DQ184" s="1" t="s">
        <v>1137</v>
      </c>
      <c r="DS184" s="1">
        <v>3752128.11</v>
      </c>
      <c r="DT184" s="1">
        <v>3688908.96</v>
      </c>
      <c r="DU184" s="1">
        <v>63219.16</v>
      </c>
      <c r="DV184" s="1">
        <v>2.6590500000000001</v>
      </c>
      <c r="DW184" s="1" t="s">
        <v>1137</v>
      </c>
      <c r="DX184" s="1" t="s">
        <v>1137</v>
      </c>
      <c r="DY184" s="1" t="s">
        <v>946</v>
      </c>
      <c r="DZ184" s="1">
        <v>-6775</v>
      </c>
      <c r="EA184" s="1">
        <v>-3129</v>
      </c>
      <c r="ED184" s="1" t="s">
        <v>50</v>
      </c>
      <c r="EE184" s="1" t="s">
        <v>1244</v>
      </c>
      <c r="EF184" s="1" t="s">
        <v>53</v>
      </c>
      <c r="EG184" s="1" t="s">
        <v>1244</v>
      </c>
      <c r="EH184" s="1" t="s">
        <v>51</v>
      </c>
      <c r="EJ184" s="1" t="s">
        <v>55</v>
      </c>
      <c r="EL184" s="1" t="s">
        <v>57</v>
      </c>
    </row>
    <row r="185" spans="1:142" x14ac:dyDescent="0.2">
      <c r="A185" s="101">
        <v>78781890001</v>
      </c>
      <c r="B185" s="101">
        <v>78781890</v>
      </c>
      <c r="D185" s="1" t="s">
        <v>63</v>
      </c>
      <c r="E185" s="1" t="s">
        <v>44</v>
      </c>
      <c r="F185" s="1" t="s">
        <v>583</v>
      </c>
      <c r="AI185" s="1" t="s">
        <v>551</v>
      </c>
      <c r="AJ185" s="1" t="s">
        <v>44</v>
      </c>
      <c r="AK185" s="1" t="s">
        <v>584</v>
      </c>
      <c r="AL185" s="1" t="s">
        <v>981</v>
      </c>
      <c r="AR185" s="1" t="s">
        <v>79</v>
      </c>
      <c r="AS185" s="1" t="s">
        <v>71</v>
      </c>
      <c r="AT185" s="1">
        <v>2.7622</v>
      </c>
      <c r="AV185" s="1" t="s">
        <v>817</v>
      </c>
      <c r="AW185" s="1" t="s">
        <v>979</v>
      </c>
      <c r="AX185" s="1">
        <v>48481126</v>
      </c>
      <c r="BA185" s="1" t="s">
        <v>69</v>
      </c>
      <c r="BB185" s="1" t="s">
        <v>574</v>
      </c>
      <c r="BC185" s="1" t="s">
        <v>456</v>
      </c>
      <c r="BD185" s="1" t="s">
        <v>555</v>
      </c>
      <c r="BG185" s="1" t="s">
        <v>558</v>
      </c>
      <c r="BH185" s="1">
        <v>10</v>
      </c>
      <c r="BI185" s="1" t="s">
        <v>431</v>
      </c>
      <c r="BJ185" s="1" t="s">
        <v>67</v>
      </c>
      <c r="BK185" s="1" t="s">
        <v>440</v>
      </c>
      <c r="BL185" s="1">
        <v>0</v>
      </c>
      <c r="BM185" s="1" t="s">
        <v>817</v>
      </c>
      <c r="BN185" s="1" t="s">
        <v>979</v>
      </c>
      <c r="BP185" s="1">
        <v>48481126</v>
      </c>
      <c r="BR185" s="1" t="s">
        <v>69</v>
      </c>
      <c r="BS185" s="1" t="s">
        <v>69</v>
      </c>
      <c r="BT185" s="1" t="s">
        <v>574</v>
      </c>
      <c r="BU185" s="1" t="s">
        <v>456</v>
      </c>
      <c r="BV185" s="1" t="s">
        <v>555</v>
      </c>
      <c r="BY185" s="1" t="s">
        <v>558</v>
      </c>
      <c r="BZ185" s="1">
        <v>10</v>
      </c>
      <c r="CJ185" s="1">
        <v>2.1531400000000001</v>
      </c>
      <c r="CK185" s="1">
        <v>2.1506400000000001</v>
      </c>
      <c r="CL185" s="1">
        <v>2.15564</v>
      </c>
      <c r="CR185" s="1">
        <v>-49948.6337611899</v>
      </c>
      <c r="CS185" s="1">
        <v>-51165.55</v>
      </c>
      <c r="CT185" s="1">
        <v>-48731.72</v>
      </c>
      <c r="CU185" s="1">
        <v>-0.10299999999999999</v>
      </c>
      <c r="CZ185" s="1">
        <v>-49948.63</v>
      </c>
      <c r="DA185" s="1">
        <v>-49948.63</v>
      </c>
      <c r="DB185" s="1">
        <v>-124370.14</v>
      </c>
      <c r="DC185" s="1">
        <v>74421.509999999995</v>
      </c>
      <c r="DD185" s="2">
        <v>2199.8200000000002</v>
      </c>
      <c r="DG185" s="1">
        <v>623.42999999999995</v>
      </c>
      <c r="DL185" s="1">
        <v>-49356836.960000001</v>
      </c>
      <c r="DM185" s="1">
        <v>-48605427.439999998</v>
      </c>
      <c r="DN185" s="1">
        <v>-751409.51</v>
      </c>
      <c r="DO185" s="1">
        <v>2.7622</v>
      </c>
      <c r="DP185" s="1" t="s">
        <v>980</v>
      </c>
      <c r="DQ185" s="1" t="s">
        <v>980</v>
      </c>
      <c r="DS185" s="1">
        <v>49306888.32</v>
      </c>
      <c r="DT185" s="1">
        <v>48481057.299999997</v>
      </c>
      <c r="DU185" s="1">
        <v>825831.02</v>
      </c>
      <c r="DV185" s="1">
        <v>2.6595900000000001</v>
      </c>
      <c r="DW185" s="1" t="s">
        <v>980</v>
      </c>
      <c r="DX185" s="1" t="s">
        <v>980</v>
      </c>
      <c r="DY185" s="1" t="s">
        <v>981</v>
      </c>
      <c r="DZ185" s="1">
        <v>-73631</v>
      </c>
      <c r="EA185" s="1">
        <v>-26266</v>
      </c>
      <c r="ED185" s="1" t="s">
        <v>50</v>
      </c>
      <c r="EE185" s="1" t="s">
        <v>1246</v>
      </c>
      <c r="EF185" s="1" t="s">
        <v>53</v>
      </c>
      <c r="EG185" s="1" t="s">
        <v>1246</v>
      </c>
      <c r="EH185" s="1" t="s">
        <v>51</v>
      </c>
      <c r="EJ185" s="1" t="s">
        <v>55</v>
      </c>
      <c r="EL185" s="1" t="s">
        <v>57</v>
      </c>
    </row>
    <row r="186" spans="1:142" x14ac:dyDescent="0.2">
      <c r="A186" s="101">
        <v>78835580001</v>
      </c>
      <c r="B186" s="101">
        <v>78835580</v>
      </c>
      <c r="D186" s="1" t="s">
        <v>63</v>
      </c>
      <c r="E186" s="1" t="s">
        <v>44</v>
      </c>
      <c r="F186" s="1" t="s">
        <v>583</v>
      </c>
      <c r="AI186" s="1" t="s">
        <v>551</v>
      </c>
      <c r="AJ186" s="1" t="s">
        <v>44</v>
      </c>
      <c r="AK186" s="1" t="s">
        <v>584</v>
      </c>
      <c r="AL186" s="1" t="s">
        <v>945</v>
      </c>
      <c r="AR186" s="1" t="s">
        <v>79</v>
      </c>
      <c r="AS186" s="1" t="s">
        <v>71</v>
      </c>
      <c r="AT186" s="1">
        <v>2.6326999999999998</v>
      </c>
      <c r="AV186" s="1" t="s">
        <v>818</v>
      </c>
      <c r="AW186" s="1" t="s">
        <v>857</v>
      </c>
      <c r="AX186" s="1">
        <v>4013600</v>
      </c>
      <c r="BA186" s="1" t="s">
        <v>69</v>
      </c>
      <c r="BB186" s="1" t="s">
        <v>574</v>
      </c>
      <c r="BC186" s="1" t="s">
        <v>456</v>
      </c>
      <c r="BD186" s="1" t="s">
        <v>555</v>
      </c>
      <c r="BG186" s="1" t="s">
        <v>558</v>
      </c>
      <c r="BH186" s="1">
        <v>17</v>
      </c>
      <c r="BI186" s="1" t="s">
        <v>431</v>
      </c>
      <c r="BJ186" s="1" t="s">
        <v>67</v>
      </c>
      <c r="BK186" s="1" t="s">
        <v>440</v>
      </c>
      <c r="BL186" s="1">
        <v>0</v>
      </c>
      <c r="BM186" s="1" t="s">
        <v>818</v>
      </c>
      <c r="BN186" s="1" t="s">
        <v>857</v>
      </c>
      <c r="BP186" s="1">
        <v>4013600</v>
      </c>
      <c r="BR186" s="1" t="s">
        <v>69</v>
      </c>
      <c r="BS186" s="1" t="s">
        <v>69</v>
      </c>
      <c r="BT186" s="1" t="s">
        <v>574</v>
      </c>
      <c r="BU186" s="1" t="s">
        <v>456</v>
      </c>
      <c r="BV186" s="1" t="s">
        <v>555</v>
      </c>
      <c r="BY186" s="1" t="s">
        <v>558</v>
      </c>
      <c r="BZ186" s="1">
        <v>17</v>
      </c>
      <c r="CJ186" s="1">
        <v>2.0889700000000002</v>
      </c>
      <c r="CK186" s="1">
        <v>2.0864699999999998</v>
      </c>
      <c r="CL186" s="1">
        <v>2.0914700000000002</v>
      </c>
      <c r="CR186" s="1">
        <v>-10001.245418288299</v>
      </c>
      <c r="CS186" s="1">
        <v>-10101.35</v>
      </c>
      <c r="CT186" s="1">
        <v>-9901.14</v>
      </c>
      <c r="CU186" s="1">
        <v>-0.2492</v>
      </c>
      <c r="CZ186" s="1">
        <v>-10001.25</v>
      </c>
      <c r="DA186" s="1">
        <v>-10001.25</v>
      </c>
      <c r="DB186" s="1">
        <v>-13220.9</v>
      </c>
      <c r="DC186" s="1">
        <v>3219.65</v>
      </c>
      <c r="DD186" s="2">
        <v>256.35000000000002</v>
      </c>
      <c r="DG186" s="1">
        <v>59.62</v>
      </c>
      <c r="DL186" s="1">
        <v>-4065853.79</v>
      </c>
      <c r="DM186" s="1">
        <v>-4026816.05</v>
      </c>
      <c r="DN186" s="1">
        <v>-39037.730000000003</v>
      </c>
      <c r="DO186" s="1">
        <v>2.6326999999999998</v>
      </c>
      <c r="DP186" s="1" t="s">
        <v>983</v>
      </c>
      <c r="DQ186" s="1" t="s">
        <v>983</v>
      </c>
      <c r="DS186" s="1">
        <v>4055852.54</v>
      </c>
      <c r="DT186" s="1">
        <v>4013595.15</v>
      </c>
      <c r="DU186" s="1">
        <v>42257.39</v>
      </c>
      <c r="DV186" s="1">
        <v>2.38293</v>
      </c>
      <c r="DW186" s="1" t="s">
        <v>983</v>
      </c>
      <c r="DX186" s="1" t="s">
        <v>983</v>
      </c>
      <c r="DY186" s="1" t="s">
        <v>860</v>
      </c>
      <c r="DZ186" s="1">
        <v>-12679</v>
      </c>
      <c r="EA186" s="1">
        <v>-7324</v>
      </c>
      <c r="ED186" s="1" t="s">
        <v>50</v>
      </c>
      <c r="EE186" s="1" t="s">
        <v>1247</v>
      </c>
      <c r="EF186" s="1" t="s">
        <v>53</v>
      </c>
      <c r="EG186" s="1" t="s">
        <v>1247</v>
      </c>
      <c r="EH186" s="1" t="s">
        <v>51</v>
      </c>
      <c r="EJ186" s="1" t="s">
        <v>55</v>
      </c>
      <c r="EL186" s="1" t="s">
        <v>57</v>
      </c>
    </row>
    <row r="187" spans="1:142" x14ac:dyDescent="0.2">
      <c r="A187" s="101">
        <v>78835585001</v>
      </c>
      <c r="B187" s="101">
        <v>78835585</v>
      </c>
      <c r="D187" s="1" t="s">
        <v>43</v>
      </c>
      <c r="E187" s="1" t="s">
        <v>44</v>
      </c>
      <c r="F187" s="1" t="s">
        <v>583</v>
      </c>
      <c r="AI187" s="1" t="s">
        <v>551</v>
      </c>
      <c r="AJ187" s="1" t="s">
        <v>44</v>
      </c>
      <c r="AK187" s="1" t="s">
        <v>584</v>
      </c>
      <c r="AL187" s="1" t="s">
        <v>945</v>
      </c>
      <c r="AR187" s="1" t="s">
        <v>79</v>
      </c>
      <c r="AS187" s="1" t="s">
        <v>71</v>
      </c>
      <c r="AT187" s="1">
        <v>2.6332</v>
      </c>
      <c r="AV187" s="1" t="s">
        <v>818</v>
      </c>
      <c r="AW187" s="1" t="s">
        <v>1093</v>
      </c>
      <c r="AX187" s="1">
        <v>5450612</v>
      </c>
      <c r="BA187" s="1" t="s">
        <v>69</v>
      </c>
      <c r="BB187" s="1" t="s">
        <v>574</v>
      </c>
      <c r="BC187" s="1" t="s">
        <v>456</v>
      </c>
      <c r="BD187" s="1" t="s">
        <v>555</v>
      </c>
      <c r="BG187" s="1" t="s">
        <v>558</v>
      </c>
      <c r="BH187" s="1">
        <v>12</v>
      </c>
      <c r="BI187" s="1" t="s">
        <v>431</v>
      </c>
      <c r="BJ187" s="1" t="s">
        <v>67</v>
      </c>
      <c r="BK187" s="1" t="s">
        <v>440</v>
      </c>
      <c r="BL187" s="1">
        <v>0</v>
      </c>
      <c r="BM187" s="1" t="s">
        <v>818</v>
      </c>
      <c r="BN187" s="1" t="s">
        <v>1093</v>
      </c>
      <c r="BP187" s="1">
        <v>5450612</v>
      </c>
      <c r="BR187" s="1" t="s">
        <v>69</v>
      </c>
      <c r="BS187" s="1" t="s">
        <v>69</v>
      </c>
      <c r="BT187" s="1" t="s">
        <v>574</v>
      </c>
      <c r="BU187" s="1" t="s">
        <v>456</v>
      </c>
      <c r="BV187" s="1" t="s">
        <v>555</v>
      </c>
      <c r="BY187" s="1" t="s">
        <v>558</v>
      </c>
      <c r="BZ187" s="1">
        <v>12</v>
      </c>
      <c r="CJ187" s="1">
        <v>2.0930200000000001</v>
      </c>
      <c r="CK187" s="1">
        <v>2.0905200000000002</v>
      </c>
      <c r="CL187" s="1">
        <v>2.09552</v>
      </c>
      <c r="CR187" s="1">
        <v>-12541.263494892</v>
      </c>
      <c r="CS187" s="1">
        <v>-12677.62</v>
      </c>
      <c r="CT187" s="1">
        <v>-12404.91</v>
      </c>
      <c r="CU187" s="1">
        <v>-0.2301</v>
      </c>
      <c r="CZ187" s="1">
        <v>-12541.26</v>
      </c>
      <c r="DA187" s="1">
        <v>-12541.26</v>
      </c>
      <c r="DB187" s="1">
        <v>-17417.03</v>
      </c>
      <c r="DC187" s="1">
        <v>4875.7700000000004</v>
      </c>
      <c r="DD187" s="2">
        <v>340.77</v>
      </c>
      <c r="DG187" s="1">
        <v>80.75</v>
      </c>
      <c r="DL187" s="1">
        <v>-5523439.1600000001</v>
      </c>
      <c r="DM187" s="1">
        <v>-5468022.3600000003</v>
      </c>
      <c r="DN187" s="1">
        <v>-55416.800000000003</v>
      </c>
      <c r="DO187" s="1">
        <v>2.6332</v>
      </c>
      <c r="DP187" s="1" t="s">
        <v>859</v>
      </c>
      <c r="DQ187" s="1" t="s">
        <v>859</v>
      </c>
      <c r="DS187" s="1">
        <v>5510897.8899999997</v>
      </c>
      <c r="DT187" s="1">
        <v>5450605.3300000001</v>
      </c>
      <c r="DU187" s="1">
        <v>60292.56</v>
      </c>
      <c r="DV187" s="1">
        <v>2.40326</v>
      </c>
      <c r="DW187" s="1" t="s">
        <v>859</v>
      </c>
      <c r="DX187" s="1" t="s">
        <v>859</v>
      </c>
      <c r="DY187" s="1" t="s">
        <v>854</v>
      </c>
      <c r="DZ187" s="1">
        <v>-16107</v>
      </c>
      <c r="EA187" s="1">
        <v>-8975</v>
      </c>
      <c r="ED187" s="1" t="s">
        <v>50</v>
      </c>
      <c r="EE187" s="1" t="s">
        <v>1248</v>
      </c>
      <c r="EF187" s="1" t="s">
        <v>53</v>
      </c>
      <c r="EG187" s="1" t="s">
        <v>1248</v>
      </c>
      <c r="EH187" s="1" t="s">
        <v>51</v>
      </c>
      <c r="EJ187" s="1" t="s">
        <v>55</v>
      </c>
      <c r="EL187" s="1" t="s">
        <v>57</v>
      </c>
    </row>
    <row r="188" spans="1:142" x14ac:dyDescent="0.2">
      <c r="A188" s="101">
        <v>78973327001</v>
      </c>
      <c r="B188" s="101">
        <v>78973327</v>
      </c>
      <c r="D188" s="1" t="s">
        <v>43</v>
      </c>
      <c r="E188" s="1" t="s">
        <v>44</v>
      </c>
      <c r="F188" s="1" t="s">
        <v>583</v>
      </c>
      <c r="AI188" s="1" t="s">
        <v>551</v>
      </c>
      <c r="AJ188" s="1" t="s">
        <v>44</v>
      </c>
      <c r="AK188" s="1" t="s">
        <v>584</v>
      </c>
      <c r="AL188" s="1" t="s">
        <v>818</v>
      </c>
      <c r="AR188" s="1" t="s">
        <v>79</v>
      </c>
      <c r="AS188" s="1" t="s">
        <v>71</v>
      </c>
      <c r="AT188" s="1">
        <v>2.6897000000000002</v>
      </c>
      <c r="AV188" s="1" t="s">
        <v>821</v>
      </c>
      <c r="AW188" s="1" t="s">
        <v>1243</v>
      </c>
      <c r="AX188" s="1">
        <v>97055969</v>
      </c>
      <c r="BA188" s="1" t="s">
        <v>69</v>
      </c>
      <c r="BB188" s="1" t="s">
        <v>574</v>
      </c>
      <c r="BC188" s="1" t="s">
        <v>456</v>
      </c>
      <c r="BD188" s="1" t="s">
        <v>555</v>
      </c>
      <c r="BG188" s="1" t="s">
        <v>558</v>
      </c>
      <c r="BH188" s="1">
        <v>12</v>
      </c>
      <c r="BI188" s="1" t="s">
        <v>431</v>
      </c>
      <c r="BJ188" s="1" t="s">
        <v>67</v>
      </c>
      <c r="BK188" s="1" t="s">
        <v>440</v>
      </c>
      <c r="BL188" s="1">
        <v>0</v>
      </c>
      <c r="BM188" s="1" t="s">
        <v>821</v>
      </c>
      <c r="BN188" s="1" t="s">
        <v>1243</v>
      </c>
      <c r="BP188" s="1">
        <v>97055969</v>
      </c>
      <c r="BR188" s="1" t="s">
        <v>69</v>
      </c>
      <c r="BS188" s="1" t="s">
        <v>1023</v>
      </c>
      <c r="BT188" s="1" t="s">
        <v>574</v>
      </c>
      <c r="BU188" s="1" t="s">
        <v>456</v>
      </c>
      <c r="BV188" s="1" t="s">
        <v>555</v>
      </c>
      <c r="BY188" s="1" t="s">
        <v>558</v>
      </c>
      <c r="BZ188" s="1">
        <v>12</v>
      </c>
      <c r="CJ188" s="1">
        <v>2.15096</v>
      </c>
      <c r="CK188" s="1">
        <v>2.14846</v>
      </c>
      <c r="CL188" s="1">
        <v>2.1534599999999999</v>
      </c>
      <c r="CR188" s="1">
        <v>-41556.480749040798</v>
      </c>
      <c r="CS188" s="1">
        <v>-43985.46</v>
      </c>
      <c r="CT188" s="1">
        <v>-39127.51</v>
      </c>
      <c r="CU188" s="1">
        <v>-4.2799999999999998E-2</v>
      </c>
      <c r="CZ188" s="1">
        <v>-41556.480000000003</v>
      </c>
      <c r="DA188" s="1">
        <v>-41556.480000000003</v>
      </c>
      <c r="DB188" s="1">
        <v>-221647.47</v>
      </c>
      <c r="DC188" s="1">
        <v>180090.99</v>
      </c>
      <c r="DD188" s="2">
        <v>4453.28</v>
      </c>
      <c r="DG188" s="1">
        <v>1255.56</v>
      </c>
      <c r="DL188" s="1">
        <v>-98720235.239999995</v>
      </c>
      <c r="DM188" s="1">
        <v>-97277200.890000001</v>
      </c>
      <c r="DN188" s="1">
        <v>-1443034.35</v>
      </c>
      <c r="DO188" s="1">
        <v>2.6897000000000002</v>
      </c>
      <c r="DP188" s="1" t="s">
        <v>1137</v>
      </c>
      <c r="DQ188" s="1" t="s">
        <v>1137</v>
      </c>
      <c r="DS188" s="1">
        <v>98678678.760000005</v>
      </c>
      <c r="DT188" s="1">
        <v>97055553.420000002</v>
      </c>
      <c r="DU188" s="1">
        <v>1623125.34</v>
      </c>
      <c r="DV188" s="1">
        <v>2.6469299999999998</v>
      </c>
      <c r="DW188" s="1" t="s">
        <v>1137</v>
      </c>
      <c r="DX188" s="1" t="s">
        <v>1137</v>
      </c>
      <c r="DY188" s="1" t="s">
        <v>818</v>
      </c>
      <c r="DZ188" s="1">
        <v>-89451</v>
      </c>
      <c r="EA188" s="1">
        <v>6338</v>
      </c>
      <c r="ED188" s="1" t="s">
        <v>50</v>
      </c>
      <c r="EE188" s="1" t="s">
        <v>1249</v>
      </c>
      <c r="EF188" s="1" t="s">
        <v>53</v>
      </c>
      <c r="EG188" s="1" t="s">
        <v>1249</v>
      </c>
      <c r="EH188" s="1" t="s">
        <v>51</v>
      </c>
      <c r="EJ188" s="1" t="s">
        <v>55</v>
      </c>
      <c r="EL188" s="1" t="s">
        <v>57</v>
      </c>
    </row>
    <row r="189" spans="1:142" x14ac:dyDescent="0.2">
      <c r="A189" s="101">
        <v>78973340001</v>
      </c>
      <c r="B189" s="101">
        <v>78973340</v>
      </c>
      <c r="D189" s="1" t="s">
        <v>43</v>
      </c>
      <c r="E189" s="1" t="s">
        <v>44</v>
      </c>
      <c r="F189" s="1" t="s">
        <v>583</v>
      </c>
      <c r="AI189" s="1" t="s">
        <v>551</v>
      </c>
      <c r="AJ189" s="1" t="s">
        <v>44</v>
      </c>
      <c r="AK189" s="1" t="s">
        <v>584</v>
      </c>
      <c r="AL189" s="1" t="s">
        <v>818</v>
      </c>
      <c r="AR189" s="1" t="s">
        <v>79</v>
      </c>
      <c r="AS189" s="1" t="s">
        <v>71</v>
      </c>
      <c r="AT189" s="1">
        <v>2.6861999999999999</v>
      </c>
      <c r="AV189" s="1" t="s">
        <v>821</v>
      </c>
      <c r="AW189" s="1" t="s">
        <v>1243</v>
      </c>
      <c r="AX189" s="1">
        <v>135905030</v>
      </c>
      <c r="BA189" s="1" t="s">
        <v>69</v>
      </c>
      <c r="BB189" s="1" t="s">
        <v>574</v>
      </c>
      <c r="BC189" s="1" t="s">
        <v>456</v>
      </c>
      <c r="BD189" s="1" t="s">
        <v>555</v>
      </c>
      <c r="BG189" s="1" t="s">
        <v>558</v>
      </c>
      <c r="BH189" s="1">
        <v>12</v>
      </c>
      <c r="BI189" s="1" t="s">
        <v>431</v>
      </c>
      <c r="BJ189" s="1" t="s">
        <v>67</v>
      </c>
      <c r="BK189" s="1" t="s">
        <v>440</v>
      </c>
      <c r="BL189" s="1">
        <v>0</v>
      </c>
      <c r="BM189" s="1" t="s">
        <v>821</v>
      </c>
      <c r="BN189" s="1" t="s">
        <v>1243</v>
      </c>
      <c r="BP189" s="1">
        <v>135905030</v>
      </c>
      <c r="BR189" s="1" t="s">
        <v>69</v>
      </c>
      <c r="BS189" s="1" t="s">
        <v>1023</v>
      </c>
      <c r="BT189" s="1" t="s">
        <v>574</v>
      </c>
      <c r="BU189" s="1" t="s">
        <v>456</v>
      </c>
      <c r="BV189" s="1" t="s">
        <v>555</v>
      </c>
      <c r="BY189" s="1" t="s">
        <v>558</v>
      </c>
      <c r="BZ189" s="1">
        <v>12</v>
      </c>
      <c r="CJ189" s="1">
        <v>2.15096</v>
      </c>
      <c r="CK189" s="1">
        <v>2.14846</v>
      </c>
      <c r="CL189" s="1">
        <v>2.1534599999999999</v>
      </c>
      <c r="CR189" s="1">
        <v>-53428.7694184184</v>
      </c>
      <c r="CS189" s="1">
        <v>-56830</v>
      </c>
      <c r="CT189" s="1">
        <v>-50027.54</v>
      </c>
      <c r="CU189" s="1">
        <v>-3.9300000000000002E-2</v>
      </c>
      <c r="CZ189" s="1">
        <v>-53428.77</v>
      </c>
      <c r="DA189" s="1">
        <v>-53428.77</v>
      </c>
      <c r="DB189" s="1">
        <v>-308235.03999999998</v>
      </c>
      <c r="DC189" s="1">
        <v>254806.27</v>
      </c>
      <c r="DD189" s="2">
        <v>6235.59</v>
      </c>
      <c r="DG189" s="1">
        <v>1758.39</v>
      </c>
      <c r="DL189" s="1">
        <v>-138230698.38999999</v>
      </c>
      <c r="DM189" s="1">
        <v>-136212683.11000001</v>
      </c>
      <c r="DN189" s="1">
        <v>-2018015.28</v>
      </c>
      <c r="DO189" s="1">
        <v>2.6861999999999999</v>
      </c>
      <c r="DP189" s="1" t="s">
        <v>1137</v>
      </c>
      <c r="DQ189" s="1" t="s">
        <v>1137</v>
      </c>
      <c r="DS189" s="1">
        <v>138177269.62</v>
      </c>
      <c r="DT189" s="1">
        <v>135904448.06999999</v>
      </c>
      <c r="DU189" s="1">
        <v>2272821.5499999998</v>
      </c>
      <c r="DV189" s="1">
        <v>2.6469299999999998</v>
      </c>
      <c r="DW189" s="1" t="s">
        <v>1137</v>
      </c>
      <c r="DX189" s="1" t="s">
        <v>1137</v>
      </c>
      <c r="DY189" s="1" t="s">
        <v>818</v>
      </c>
      <c r="DZ189" s="1">
        <v>-120491</v>
      </c>
      <c r="EA189" s="1">
        <v>13634</v>
      </c>
      <c r="ED189" s="1" t="s">
        <v>50</v>
      </c>
      <c r="EE189" s="1" t="s">
        <v>1250</v>
      </c>
      <c r="EF189" s="1" t="s">
        <v>53</v>
      </c>
      <c r="EG189" s="1" t="s">
        <v>1250</v>
      </c>
      <c r="EH189" s="1" t="s">
        <v>51</v>
      </c>
      <c r="EJ189" s="1" t="s">
        <v>55</v>
      </c>
      <c r="EL189" s="1" t="s">
        <v>57</v>
      </c>
    </row>
    <row r="190" spans="1:142" x14ac:dyDescent="0.2">
      <c r="A190" s="101">
        <v>79276156001</v>
      </c>
      <c r="B190" s="101">
        <v>79276156</v>
      </c>
      <c r="D190" s="1" t="s">
        <v>43</v>
      </c>
      <c r="E190" s="1" t="s">
        <v>44</v>
      </c>
      <c r="F190" s="1" t="s">
        <v>583</v>
      </c>
      <c r="AI190" s="1" t="s">
        <v>551</v>
      </c>
      <c r="AJ190" s="1" t="s">
        <v>44</v>
      </c>
      <c r="AK190" s="1" t="s">
        <v>584</v>
      </c>
      <c r="AL190" s="1" t="s">
        <v>787</v>
      </c>
      <c r="AR190" s="1" t="s">
        <v>79</v>
      </c>
      <c r="AS190" s="1" t="s">
        <v>71</v>
      </c>
      <c r="AT190" s="1">
        <v>2.6987000000000001</v>
      </c>
      <c r="AV190" s="1" t="s">
        <v>830</v>
      </c>
      <c r="AW190" s="1" t="s">
        <v>1252</v>
      </c>
      <c r="AX190" s="1">
        <v>126751090</v>
      </c>
      <c r="BA190" s="1" t="s">
        <v>69</v>
      </c>
      <c r="BB190" s="1" t="s">
        <v>574</v>
      </c>
      <c r="BC190" s="1" t="s">
        <v>456</v>
      </c>
      <c r="BD190" s="1" t="s">
        <v>555</v>
      </c>
      <c r="BG190" s="1" t="s">
        <v>558</v>
      </c>
      <c r="BH190" s="1">
        <v>17</v>
      </c>
      <c r="BI190" s="1" t="s">
        <v>431</v>
      </c>
      <c r="BJ190" s="1" t="s">
        <v>67</v>
      </c>
      <c r="BK190" s="1" t="s">
        <v>440</v>
      </c>
      <c r="BL190" s="1">
        <v>0</v>
      </c>
      <c r="BM190" s="1" t="s">
        <v>830</v>
      </c>
      <c r="BN190" s="1" t="s">
        <v>1252</v>
      </c>
      <c r="BP190" s="1">
        <v>126751090</v>
      </c>
      <c r="BR190" s="1" t="s">
        <v>69</v>
      </c>
      <c r="BS190" s="1" t="s">
        <v>1023</v>
      </c>
      <c r="BT190" s="1" t="s">
        <v>574</v>
      </c>
      <c r="BU190" s="1" t="s">
        <v>456</v>
      </c>
      <c r="BV190" s="1" t="s">
        <v>555</v>
      </c>
      <c r="BY190" s="1" t="s">
        <v>558</v>
      </c>
      <c r="BZ190" s="1">
        <v>17</v>
      </c>
      <c r="CJ190" s="1">
        <v>2.14567</v>
      </c>
      <c r="CK190" s="1">
        <v>2.14317</v>
      </c>
      <c r="CL190" s="1">
        <v>2.1481699999999999</v>
      </c>
      <c r="CR190" s="1">
        <v>-96253.3341121376</v>
      </c>
      <c r="CS190" s="1">
        <v>-99424.960000000006</v>
      </c>
      <c r="CT190" s="1">
        <v>-93081.71</v>
      </c>
      <c r="CU190" s="1">
        <v>-7.5899999999999995E-2</v>
      </c>
      <c r="CZ190" s="1">
        <v>-96253.33</v>
      </c>
      <c r="DA190" s="1">
        <v>-96253.33</v>
      </c>
      <c r="DB190" s="1">
        <v>-307105.03999999998</v>
      </c>
      <c r="DC190" s="1">
        <v>210851.71</v>
      </c>
      <c r="DD190" s="2">
        <v>5991.03</v>
      </c>
      <c r="DG190" s="1">
        <v>1654.05</v>
      </c>
      <c r="DL190" s="1">
        <v>-128901359.56</v>
      </c>
      <c r="DM190" s="1">
        <v>-127058019.16</v>
      </c>
      <c r="DN190" s="1">
        <v>-1843340.4</v>
      </c>
      <c r="DO190" s="1">
        <v>2.6987000000000001</v>
      </c>
      <c r="DP190" s="1" t="s">
        <v>876</v>
      </c>
      <c r="DQ190" s="1" t="s">
        <v>876</v>
      </c>
      <c r="DS190" s="1">
        <v>128805106.23</v>
      </c>
      <c r="DT190" s="1">
        <v>126750914.12</v>
      </c>
      <c r="DU190" s="1">
        <v>2054192.11</v>
      </c>
      <c r="DV190" s="1">
        <v>2.62283</v>
      </c>
      <c r="DW190" s="1" t="s">
        <v>876</v>
      </c>
      <c r="DX190" s="1" t="s">
        <v>876</v>
      </c>
      <c r="DY190" s="1" t="s">
        <v>787</v>
      </c>
      <c r="DZ190" s="1">
        <v>-160527</v>
      </c>
      <c r="EA190" s="1">
        <v>-31979</v>
      </c>
      <c r="ED190" s="1" t="s">
        <v>50</v>
      </c>
      <c r="EE190" s="1" t="s">
        <v>1253</v>
      </c>
      <c r="EF190" s="1" t="s">
        <v>53</v>
      </c>
      <c r="EG190" s="1" t="s">
        <v>1253</v>
      </c>
      <c r="EH190" s="1" t="s">
        <v>51</v>
      </c>
      <c r="EJ190" s="1" t="s">
        <v>55</v>
      </c>
      <c r="EL190" s="1" t="s">
        <v>57</v>
      </c>
    </row>
    <row r="191" spans="1:142" x14ac:dyDescent="0.2">
      <c r="A191" s="101">
        <v>79363646001</v>
      </c>
      <c r="B191" s="101">
        <v>79363646</v>
      </c>
      <c r="D191" s="1" t="s">
        <v>63</v>
      </c>
      <c r="E191" s="1" t="s">
        <v>44</v>
      </c>
      <c r="F191" s="1" t="s">
        <v>583</v>
      </c>
      <c r="AI191" s="1" t="s">
        <v>551</v>
      </c>
      <c r="AJ191" s="1" t="s">
        <v>44</v>
      </c>
      <c r="AK191" s="1" t="s">
        <v>584</v>
      </c>
      <c r="AL191" s="1" t="s">
        <v>829</v>
      </c>
      <c r="AR191" s="1" t="s">
        <v>79</v>
      </c>
      <c r="AS191" s="1" t="s">
        <v>71</v>
      </c>
      <c r="AT191" s="1">
        <v>2.6392000000000002</v>
      </c>
      <c r="AV191" s="1" t="s">
        <v>793</v>
      </c>
      <c r="AW191" s="1" t="s">
        <v>1170</v>
      </c>
      <c r="AX191" s="1">
        <v>2937600</v>
      </c>
      <c r="BA191" s="1" t="s">
        <v>69</v>
      </c>
      <c r="BB191" s="1" t="s">
        <v>574</v>
      </c>
      <c r="BC191" s="1" t="s">
        <v>456</v>
      </c>
      <c r="BD191" s="1" t="s">
        <v>555</v>
      </c>
      <c r="BG191" s="1" t="s">
        <v>558</v>
      </c>
      <c r="BH191" s="1">
        <v>7</v>
      </c>
      <c r="BI191" s="1" t="s">
        <v>431</v>
      </c>
      <c r="BJ191" s="1" t="s">
        <v>67</v>
      </c>
      <c r="BK191" s="1" t="s">
        <v>440</v>
      </c>
      <c r="BL191" s="1">
        <v>0</v>
      </c>
      <c r="BM191" s="1" t="s">
        <v>793</v>
      </c>
      <c r="BN191" s="1" t="s">
        <v>1170</v>
      </c>
      <c r="BP191" s="1">
        <v>2937600</v>
      </c>
      <c r="BR191" s="1" t="s">
        <v>69</v>
      </c>
      <c r="BS191" s="1" t="s">
        <v>69</v>
      </c>
      <c r="BT191" s="1" t="s">
        <v>574</v>
      </c>
      <c r="BU191" s="1" t="s">
        <v>456</v>
      </c>
      <c r="BV191" s="1" t="s">
        <v>555</v>
      </c>
      <c r="BY191" s="1" t="s">
        <v>558</v>
      </c>
      <c r="BZ191" s="1">
        <v>7</v>
      </c>
      <c r="CJ191" s="1">
        <v>2.12588</v>
      </c>
      <c r="CK191" s="1">
        <v>2.12338</v>
      </c>
      <c r="CL191" s="1">
        <v>2.1283799999999999</v>
      </c>
      <c r="CR191" s="1">
        <v>-2852.1564682755002</v>
      </c>
      <c r="CS191" s="1">
        <v>-2925.79</v>
      </c>
      <c r="CT191" s="1">
        <v>-2778.53</v>
      </c>
      <c r="CU191" s="1">
        <v>-9.7100000000000006E-2</v>
      </c>
      <c r="CZ191" s="1">
        <v>-2852.16</v>
      </c>
      <c r="DA191" s="1">
        <v>-2852.16</v>
      </c>
      <c r="DB191" s="1">
        <v>-7399.93</v>
      </c>
      <c r="DC191" s="1">
        <v>4547.7700000000004</v>
      </c>
      <c r="DD191" s="2">
        <v>154.87</v>
      </c>
      <c r="DG191" s="1">
        <v>40.520000000000003</v>
      </c>
      <c r="DL191" s="1">
        <v>-2982683.81</v>
      </c>
      <c r="DM191" s="1">
        <v>-2944996.03</v>
      </c>
      <c r="DN191" s="1">
        <v>-37687.78</v>
      </c>
      <c r="DO191" s="1">
        <v>2.6392000000000002</v>
      </c>
      <c r="DP191" s="1" t="s">
        <v>1172</v>
      </c>
      <c r="DQ191" s="1" t="s">
        <v>1172</v>
      </c>
      <c r="DS191" s="1">
        <v>2979831.65</v>
      </c>
      <c r="DT191" s="1">
        <v>2937596.1</v>
      </c>
      <c r="DU191" s="1">
        <v>42235.55</v>
      </c>
      <c r="DV191" s="1">
        <v>2.54236</v>
      </c>
      <c r="DW191" s="1" t="s">
        <v>1172</v>
      </c>
      <c r="DX191" s="1" t="s">
        <v>1172</v>
      </c>
      <c r="DY191" s="1" t="s">
        <v>1139</v>
      </c>
      <c r="DZ191" s="1">
        <v>-4498</v>
      </c>
      <c r="EA191" s="1">
        <v>-1206</v>
      </c>
      <c r="ED191" s="1" t="s">
        <v>50</v>
      </c>
      <c r="EE191" s="1" t="s">
        <v>1256</v>
      </c>
      <c r="EF191" s="1" t="s">
        <v>53</v>
      </c>
      <c r="EG191" s="1" t="s">
        <v>1256</v>
      </c>
      <c r="EH191" s="1" t="s">
        <v>51</v>
      </c>
      <c r="EJ191" s="1" t="s">
        <v>55</v>
      </c>
      <c r="EL191" s="1" t="s">
        <v>57</v>
      </c>
    </row>
    <row r="192" spans="1:142" x14ac:dyDescent="0.2">
      <c r="A192" s="101">
        <v>79363655001</v>
      </c>
      <c r="B192" s="101">
        <v>79363655</v>
      </c>
      <c r="D192" s="1" t="s">
        <v>63</v>
      </c>
      <c r="E192" s="1" t="s">
        <v>44</v>
      </c>
      <c r="F192" s="1" t="s">
        <v>583</v>
      </c>
      <c r="AI192" s="1" t="s">
        <v>551</v>
      </c>
      <c r="AJ192" s="1" t="s">
        <v>44</v>
      </c>
      <c r="AK192" s="1" t="s">
        <v>584</v>
      </c>
      <c r="AL192" s="1" t="s">
        <v>829</v>
      </c>
      <c r="AR192" s="1" t="s">
        <v>79</v>
      </c>
      <c r="AS192" s="1" t="s">
        <v>71</v>
      </c>
      <c r="AT192" s="1">
        <v>2.6267</v>
      </c>
      <c r="AV192" s="1" t="s">
        <v>793</v>
      </c>
      <c r="AW192" s="1" t="s">
        <v>841</v>
      </c>
      <c r="AX192" s="1">
        <v>4937730</v>
      </c>
      <c r="BA192" s="1" t="s">
        <v>69</v>
      </c>
      <c r="BB192" s="1" t="s">
        <v>574</v>
      </c>
      <c r="BC192" s="1" t="s">
        <v>456</v>
      </c>
      <c r="BD192" s="1" t="s">
        <v>555</v>
      </c>
      <c r="BG192" s="1" t="s">
        <v>558</v>
      </c>
      <c r="BH192" s="1">
        <v>20</v>
      </c>
      <c r="BI192" s="1" t="s">
        <v>431</v>
      </c>
      <c r="BJ192" s="1" t="s">
        <v>67</v>
      </c>
      <c r="BK192" s="1" t="s">
        <v>440</v>
      </c>
      <c r="BL192" s="1">
        <v>0</v>
      </c>
      <c r="BM192" s="1" t="s">
        <v>793</v>
      </c>
      <c r="BN192" s="1" t="s">
        <v>841</v>
      </c>
      <c r="BP192" s="1">
        <v>4937730</v>
      </c>
      <c r="BR192" s="1" t="s">
        <v>69</v>
      </c>
      <c r="BS192" s="1" t="s">
        <v>69</v>
      </c>
      <c r="BT192" s="1" t="s">
        <v>574</v>
      </c>
      <c r="BU192" s="1" t="s">
        <v>456</v>
      </c>
      <c r="BV192" s="1" t="s">
        <v>555</v>
      </c>
      <c r="BY192" s="1" t="s">
        <v>558</v>
      </c>
      <c r="BZ192" s="1">
        <v>20</v>
      </c>
      <c r="CJ192" s="1">
        <v>2.11348</v>
      </c>
      <c r="CK192" s="1">
        <v>2.1109800000000001</v>
      </c>
      <c r="CL192" s="1">
        <v>2.11598</v>
      </c>
      <c r="CR192" s="1">
        <v>-7003.4598149238</v>
      </c>
      <c r="CS192" s="1">
        <v>-7126.8</v>
      </c>
      <c r="CT192" s="1">
        <v>-6880.12</v>
      </c>
      <c r="CU192" s="1">
        <v>-0.14180000000000001</v>
      </c>
      <c r="CZ192" s="1">
        <v>-7003.46</v>
      </c>
      <c r="DA192" s="1">
        <v>-7003.46</v>
      </c>
      <c r="DB192" s="1">
        <v>-13346.8</v>
      </c>
      <c r="DC192" s="1">
        <v>6343.34</v>
      </c>
      <c r="DD192" s="2">
        <v>277.77999999999997</v>
      </c>
      <c r="DG192" s="1">
        <v>70.86</v>
      </c>
      <c r="DL192" s="1">
        <v>-5009074.93</v>
      </c>
      <c r="DM192" s="1">
        <v>-4951070.5</v>
      </c>
      <c r="DN192" s="1">
        <v>-58004.43</v>
      </c>
      <c r="DO192" s="1">
        <v>2.6267</v>
      </c>
      <c r="DP192" s="1" t="s">
        <v>956</v>
      </c>
      <c r="DQ192" s="1" t="s">
        <v>956</v>
      </c>
      <c r="DS192" s="1">
        <v>5002071.47</v>
      </c>
      <c r="DT192" s="1">
        <v>4937723.7</v>
      </c>
      <c r="DU192" s="1">
        <v>64347.77</v>
      </c>
      <c r="DV192" s="1">
        <v>2.4847399999999999</v>
      </c>
      <c r="DW192" s="1" t="s">
        <v>956</v>
      </c>
      <c r="DX192" s="1" t="s">
        <v>956</v>
      </c>
      <c r="DY192" s="1" t="s">
        <v>844</v>
      </c>
      <c r="DZ192" s="1">
        <v>-9939</v>
      </c>
      <c r="EA192" s="1">
        <v>-4068</v>
      </c>
      <c r="ED192" s="1" t="s">
        <v>50</v>
      </c>
      <c r="EE192" s="1" t="s">
        <v>1257</v>
      </c>
      <c r="EF192" s="1" t="s">
        <v>53</v>
      </c>
      <c r="EG192" s="1" t="s">
        <v>1257</v>
      </c>
      <c r="EH192" s="1" t="s">
        <v>51</v>
      </c>
      <c r="EJ192" s="1" t="s">
        <v>55</v>
      </c>
      <c r="EL192" s="1" t="s">
        <v>57</v>
      </c>
    </row>
    <row r="193" spans="1:142" x14ac:dyDescent="0.2">
      <c r="A193" s="101">
        <v>79453805001</v>
      </c>
      <c r="B193" s="101">
        <v>79453805</v>
      </c>
      <c r="D193" s="1" t="s">
        <v>43</v>
      </c>
      <c r="E193" s="1" t="s">
        <v>44</v>
      </c>
      <c r="F193" s="1" t="s">
        <v>583</v>
      </c>
      <c r="AI193" s="1" t="s">
        <v>551</v>
      </c>
      <c r="AJ193" s="1" t="s">
        <v>44</v>
      </c>
      <c r="AK193" s="1" t="s">
        <v>584</v>
      </c>
      <c r="AL193" s="1" t="s">
        <v>830</v>
      </c>
      <c r="AR193" s="1" t="s">
        <v>79</v>
      </c>
      <c r="AS193" s="1" t="s">
        <v>71</v>
      </c>
      <c r="AT193" s="1">
        <v>2.7052</v>
      </c>
      <c r="AV193" s="1" t="s">
        <v>827</v>
      </c>
      <c r="AW193" s="1" t="s">
        <v>877</v>
      </c>
      <c r="AX193" s="1">
        <v>48511322</v>
      </c>
      <c r="BA193" s="1" t="s">
        <v>69</v>
      </c>
      <c r="BB193" s="1" t="s">
        <v>574</v>
      </c>
      <c r="BC193" s="1" t="s">
        <v>456</v>
      </c>
      <c r="BD193" s="1" t="s">
        <v>555</v>
      </c>
      <c r="BG193" s="1" t="s">
        <v>558</v>
      </c>
      <c r="BH193" s="1">
        <v>19</v>
      </c>
      <c r="BI193" s="1" t="s">
        <v>431</v>
      </c>
      <c r="BJ193" s="1" t="s">
        <v>67</v>
      </c>
      <c r="BK193" s="1" t="s">
        <v>440</v>
      </c>
      <c r="BL193" s="1">
        <v>0</v>
      </c>
      <c r="BM193" s="1" t="s">
        <v>827</v>
      </c>
      <c r="BN193" s="1" t="s">
        <v>877</v>
      </c>
      <c r="BP193" s="1">
        <v>48511322</v>
      </c>
      <c r="BR193" s="1" t="s">
        <v>69</v>
      </c>
      <c r="BS193" s="1" t="s">
        <v>1023</v>
      </c>
      <c r="BT193" s="1" t="s">
        <v>574</v>
      </c>
      <c r="BU193" s="1" t="s">
        <v>456</v>
      </c>
      <c r="BV193" s="1" t="s">
        <v>555</v>
      </c>
      <c r="BY193" s="1" t="s">
        <v>558</v>
      </c>
      <c r="BZ193" s="1">
        <v>19</v>
      </c>
      <c r="CJ193" s="1">
        <v>2.1436099999999998</v>
      </c>
      <c r="CK193" s="1">
        <v>2.1411099999999998</v>
      </c>
      <c r="CL193" s="1">
        <v>2.1461100000000002</v>
      </c>
      <c r="CR193" s="1">
        <v>-43995.948052681997</v>
      </c>
      <c r="CS193" s="1">
        <v>-45209.56</v>
      </c>
      <c r="CT193" s="1">
        <v>-42782.34</v>
      </c>
      <c r="CU193" s="1">
        <v>-9.0700000000000003E-2</v>
      </c>
      <c r="CZ193" s="1">
        <v>-43995.95</v>
      </c>
      <c r="DA193" s="1">
        <v>-43995.95</v>
      </c>
      <c r="DB193" s="1">
        <v>-120934.98</v>
      </c>
      <c r="DC193" s="1">
        <v>76939.03</v>
      </c>
      <c r="DD193" s="2">
        <v>2319.4899999999998</v>
      </c>
      <c r="DG193" s="1">
        <v>635.35</v>
      </c>
      <c r="DL193" s="1">
        <v>-49331961.090000004</v>
      </c>
      <c r="DM193" s="1">
        <v>-48632052.670000002</v>
      </c>
      <c r="DN193" s="1">
        <v>-699908.42</v>
      </c>
      <c r="DO193" s="1">
        <v>2.7052</v>
      </c>
      <c r="DP193" s="1" t="s">
        <v>1273</v>
      </c>
      <c r="DQ193" s="1" t="s">
        <v>1273</v>
      </c>
      <c r="DS193" s="1">
        <v>49287965.140000001</v>
      </c>
      <c r="DT193" s="1">
        <v>48511117.68</v>
      </c>
      <c r="DU193" s="1">
        <v>776847.45</v>
      </c>
      <c r="DV193" s="1">
        <v>2.6145700000000001</v>
      </c>
      <c r="DW193" s="1" t="s">
        <v>1273</v>
      </c>
      <c r="DX193" s="1" t="s">
        <v>1273</v>
      </c>
      <c r="DY193" s="1" t="s">
        <v>830</v>
      </c>
      <c r="DZ193" s="1">
        <v>-68856</v>
      </c>
      <c r="EA193" s="1">
        <v>-19136</v>
      </c>
      <c r="ED193" s="1" t="s">
        <v>50</v>
      </c>
      <c r="EE193" s="1" t="s">
        <v>1274</v>
      </c>
      <c r="EF193" s="1" t="s">
        <v>53</v>
      </c>
      <c r="EG193" s="1" t="s">
        <v>1274</v>
      </c>
      <c r="EH193" s="1" t="s">
        <v>51</v>
      </c>
      <c r="EJ193" s="1" t="s">
        <v>55</v>
      </c>
      <c r="EL193" s="1" t="s">
        <v>57</v>
      </c>
    </row>
    <row r="194" spans="1:142" x14ac:dyDescent="0.2">
      <c r="A194" s="101">
        <v>79453820001</v>
      </c>
      <c r="B194" s="101">
        <v>79453820</v>
      </c>
      <c r="D194" s="1" t="s">
        <v>43</v>
      </c>
      <c r="E194" s="1" t="s">
        <v>44</v>
      </c>
      <c r="F194" s="1" t="s">
        <v>583</v>
      </c>
      <c r="AI194" s="1" t="s">
        <v>551</v>
      </c>
      <c r="AJ194" s="1" t="s">
        <v>44</v>
      </c>
      <c r="AK194" s="1" t="s">
        <v>584</v>
      </c>
      <c r="AL194" s="1" t="s">
        <v>830</v>
      </c>
      <c r="AR194" s="1" t="s">
        <v>79</v>
      </c>
      <c r="AS194" s="1" t="s">
        <v>71</v>
      </c>
      <c r="AT194" s="1">
        <v>2.3262</v>
      </c>
      <c r="AV194" s="1" t="s">
        <v>827</v>
      </c>
      <c r="AW194" s="1" t="s">
        <v>1275</v>
      </c>
      <c r="AX194" s="1">
        <v>2874770</v>
      </c>
      <c r="BA194" s="1" t="s">
        <v>69</v>
      </c>
      <c r="BB194" s="1" t="s">
        <v>574</v>
      </c>
      <c r="BC194" s="1" t="s">
        <v>456</v>
      </c>
      <c r="BD194" s="1" t="s">
        <v>555</v>
      </c>
      <c r="BG194" s="1" t="s">
        <v>558</v>
      </c>
      <c r="BH194" s="1">
        <v>27</v>
      </c>
      <c r="BI194" s="1" t="s">
        <v>431</v>
      </c>
      <c r="BJ194" s="1" t="s">
        <v>67</v>
      </c>
      <c r="BK194" s="1" t="s">
        <v>440</v>
      </c>
      <c r="BL194" s="1">
        <v>0</v>
      </c>
      <c r="BM194" s="1" t="s">
        <v>827</v>
      </c>
      <c r="BN194" s="1" t="s">
        <v>1275</v>
      </c>
      <c r="BP194" s="1">
        <v>2874770</v>
      </c>
      <c r="BR194" s="1" t="s">
        <v>69</v>
      </c>
      <c r="BS194" s="1" t="s">
        <v>69</v>
      </c>
      <c r="BT194" s="1" t="s">
        <v>574</v>
      </c>
      <c r="BU194" s="1" t="s">
        <v>456</v>
      </c>
      <c r="BV194" s="1" t="s">
        <v>555</v>
      </c>
      <c r="BY194" s="1" t="s">
        <v>558</v>
      </c>
      <c r="BZ194" s="1">
        <v>27</v>
      </c>
      <c r="CJ194" s="1">
        <v>1.96079</v>
      </c>
      <c r="CK194" s="1">
        <v>1.9582900000000001</v>
      </c>
      <c r="CL194" s="1">
        <v>1.96329</v>
      </c>
      <c r="CR194" s="1">
        <v>-3903.7535852892001</v>
      </c>
      <c r="CS194" s="1">
        <v>-4042.09</v>
      </c>
      <c r="CT194" s="1">
        <v>-3765.42</v>
      </c>
      <c r="CU194" s="1">
        <v>-0.1358</v>
      </c>
      <c r="CZ194" s="1">
        <v>-3903.75</v>
      </c>
      <c r="DA194" s="1">
        <v>-3903.75</v>
      </c>
      <c r="DB194" s="1">
        <v>-14274.01</v>
      </c>
      <c r="DC194" s="1">
        <v>10370.26</v>
      </c>
      <c r="DD194" s="2">
        <v>403.88</v>
      </c>
      <c r="DG194" s="1">
        <v>44.72</v>
      </c>
      <c r="DL194" s="1">
        <v>-2924702.98</v>
      </c>
      <c r="DM194" s="1">
        <v>-2889037.44</v>
      </c>
      <c r="DN194" s="1">
        <v>-35665.550000000003</v>
      </c>
      <c r="DO194" s="1">
        <v>2.3262</v>
      </c>
      <c r="DP194" s="1" t="s">
        <v>1204</v>
      </c>
      <c r="DQ194" s="1" t="s">
        <v>1276</v>
      </c>
      <c r="DS194" s="1">
        <v>2920799.23</v>
      </c>
      <c r="DT194" s="1">
        <v>2874763.43</v>
      </c>
      <c r="DU194" s="1">
        <v>46035.8</v>
      </c>
      <c r="DV194" s="1">
        <v>2.6552799999999999</v>
      </c>
      <c r="DW194" s="1" t="s">
        <v>1204</v>
      </c>
      <c r="DX194" s="1" t="s">
        <v>1276</v>
      </c>
      <c r="DY194" s="1" t="s">
        <v>1277</v>
      </c>
      <c r="DZ194" s="1">
        <v>-7863</v>
      </c>
      <c r="EA194" s="1">
        <v>56</v>
      </c>
      <c r="ED194" s="1" t="s">
        <v>50</v>
      </c>
      <c r="EE194" s="1" t="s">
        <v>1278</v>
      </c>
      <c r="EF194" s="1" t="s">
        <v>53</v>
      </c>
      <c r="EG194" s="1" t="s">
        <v>1278</v>
      </c>
      <c r="EH194" s="1" t="s">
        <v>51</v>
      </c>
      <c r="EJ194" s="1" t="s">
        <v>55</v>
      </c>
      <c r="EL194" s="1" t="s">
        <v>57</v>
      </c>
    </row>
    <row r="195" spans="1:142" x14ac:dyDescent="0.2">
      <c r="A195" s="101">
        <v>79629141001</v>
      </c>
      <c r="B195" s="101">
        <v>79629141</v>
      </c>
      <c r="D195" s="1" t="s">
        <v>63</v>
      </c>
      <c r="E195" s="1" t="s">
        <v>44</v>
      </c>
      <c r="F195" s="1" t="s">
        <v>583</v>
      </c>
      <c r="AI195" s="1" t="s">
        <v>551</v>
      </c>
      <c r="AJ195" s="1" t="s">
        <v>44</v>
      </c>
      <c r="AK195" s="1" t="s">
        <v>584</v>
      </c>
      <c r="AL195" s="1" t="s">
        <v>827</v>
      </c>
      <c r="AR195" s="1" t="s">
        <v>79</v>
      </c>
      <c r="AS195" s="1" t="s">
        <v>71</v>
      </c>
      <c r="AT195" s="1">
        <v>2.7057000000000002</v>
      </c>
      <c r="AV195" s="1" t="s">
        <v>836</v>
      </c>
      <c r="AW195" s="1" t="s">
        <v>979</v>
      </c>
      <c r="AX195" s="1">
        <v>2958900</v>
      </c>
      <c r="BA195" s="1" t="s">
        <v>69</v>
      </c>
      <c r="BB195" s="1" t="s">
        <v>574</v>
      </c>
      <c r="BC195" s="1" t="s">
        <v>456</v>
      </c>
      <c r="BD195" s="1" t="s">
        <v>555</v>
      </c>
      <c r="BG195" s="1" t="s">
        <v>558</v>
      </c>
      <c r="BH195" s="1">
        <v>10</v>
      </c>
      <c r="BI195" s="1" t="s">
        <v>431</v>
      </c>
      <c r="BJ195" s="1" t="s">
        <v>67</v>
      </c>
      <c r="BK195" s="1" t="s">
        <v>440</v>
      </c>
      <c r="BL195" s="1">
        <v>0</v>
      </c>
      <c r="BM195" s="1" t="s">
        <v>836</v>
      </c>
      <c r="BN195" s="1" t="s">
        <v>979</v>
      </c>
      <c r="BP195" s="1">
        <v>2958900</v>
      </c>
      <c r="BR195" s="1" t="s">
        <v>69</v>
      </c>
      <c r="BS195" s="1" t="s">
        <v>1023</v>
      </c>
      <c r="BT195" s="1" t="s">
        <v>574</v>
      </c>
      <c r="BU195" s="1" t="s">
        <v>456</v>
      </c>
      <c r="BV195" s="1" t="s">
        <v>555</v>
      </c>
      <c r="BY195" s="1" t="s">
        <v>558</v>
      </c>
      <c r="BZ195" s="1">
        <v>10</v>
      </c>
      <c r="CJ195" s="1">
        <v>2.1531400000000001</v>
      </c>
      <c r="CK195" s="1">
        <v>2.1506400000000001</v>
      </c>
      <c r="CL195" s="1">
        <v>2.15564</v>
      </c>
      <c r="CR195" s="1">
        <v>-2445.2038432066001</v>
      </c>
      <c r="CS195" s="1">
        <v>-2516.63</v>
      </c>
      <c r="CT195" s="1">
        <v>-2373.7800000000002</v>
      </c>
      <c r="CU195" s="1">
        <v>-8.2600000000000007E-2</v>
      </c>
      <c r="CZ195" s="1">
        <v>-2445.1999999999998</v>
      </c>
      <c r="DA195" s="1">
        <v>-2445.1999999999998</v>
      </c>
      <c r="DB195" s="1">
        <v>-6880.15</v>
      </c>
      <c r="DC195" s="1">
        <v>4434.9399999999996</v>
      </c>
      <c r="DD195" s="2">
        <v>134.05000000000001</v>
      </c>
      <c r="DG195" s="1">
        <v>38.03</v>
      </c>
      <c r="DL195" s="1">
        <v>-3007584.75</v>
      </c>
      <c r="DM195" s="1">
        <v>-2965776.18</v>
      </c>
      <c r="DN195" s="1">
        <v>-41808.57</v>
      </c>
      <c r="DO195" s="1">
        <v>2.7057000000000002</v>
      </c>
      <c r="DP195" s="1" t="s">
        <v>980</v>
      </c>
      <c r="DQ195" s="1" t="s">
        <v>980</v>
      </c>
      <c r="DS195" s="1">
        <v>3005139.54</v>
      </c>
      <c r="DT195" s="1">
        <v>2958896.03</v>
      </c>
      <c r="DU195" s="1">
        <v>46243.51</v>
      </c>
      <c r="DV195" s="1">
        <v>2.6201099999999999</v>
      </c>
      <c r="DW195" s="1" t="s">
        <v>980</v>
      </c>
      <c r="DX195" s="1" t="s">
        <v>980</v>
      </c>
      <c r="DY195" s="1" t="s">
        <v>827</v>
      </c>
      <c r="DZ195" s="1">
        <v>-3888</v>
      </c>
      <c r="EA195" s="1">
        <v>-1002</v>
      </c>
      <c r="ED195" s="1" t="s">
        <v>50</v>
      </c>
      <c r="EE195" s="1" t="s">
        <v>1280</v>
      </c>
      <c r="EF195" s="1" t="s">
        <v>53</v>
      </c>
      <c r="EG195" s="1" t="s">
        <v>1280</v>
      </c>
      <c r="EH195" s="1" t="s">
        <v>51</v>
      </c>
      <c r="EJ195" s="1" t="s">
        <v>55</v>
      </c>
      <c r="EL195" s="1" t="s">
        <v>57</v>
      </c>
    </row>
    <row r="196" spans="1:142" x14ac:dyDescent="0.2">
      <c r="A196" s="101">
        <v>79629212001</v>
      </c>
      <c r="B196" s="101">
        <v>79629212</v>
      </c>
      <c r="D196" s="1" t="s">
        <v>63</v>
      </c>
      <c r="E196" s="1" t="s">
        <v>44</v>
      </c>
      <c r="F196" s="1" t="s">
        <v>583</v>
      </c>
      <c r="AI196" s="1" t="s">
        <v>551</v>
      </c>
      <c r="AJ196" s="1" t="s">
        <v>44</v>
      </c>
      <c r="AK196" s="1" t="s">
        <v>584</v>
      </c>
      <c r="AL196" s="1" t="s">
        <v>827</v>
      </c>
      <c r="AR196" s="1" t="s">
        <v>79</v>
      </c>
      <c r="AS196" s="1" t="s">
        <v>71</v>
      </c>
      <c r="AT196" s="1">
        <v>2.6757</v>
      </c>
      <c r="AV196" s="1" t="s">
        <v>836</v>
      </c>
      <c r="AW196" s="1" t="s">
        <v>1281</v>
      </c>
      <c r="AX196" s="1">
        <v>87340377</v>
      </c>
      <c r="BA196" s="1" t="s">
        <v>69</v>
      </c>
      <c r="BB196" s="1" t="s">
        <v>574</v>
      </c>
      <c r="BC196" s="1" t="s">
        <v>456</v>
      </c>
      <c r="BD196" s="1" t="s">
        <v>555</v>
      </c>
      <c r="BG196" s="1" t="s">
        <v>558</v>
      </c>
      <c r="BH196" s="1">
        <v>23</v>
      </c>
      <c r="BI196" s="1" t="s">
        <v>431</v>
      </c>
      <c r="BJ196" s="1" t="s">
        <v>67</v>
      </c>
      <c r="BK196" s="1" t="s">
        <v>440</v>
      </c>
      <c r="BL196" s="1">
        <v>0</v>
      </c>
      <c r="BM196" s="1" t="s">
        <v>836</v>
      </c>
      <c r="BN196" s="1" t="s">
        <v>1281</v>
      </c>
      <c r="BP196" s="1">
        <v>87340377</v>
      </c>
      <c r="BR196" s="1" t="s">
        <v>69</v>
      </c>
      <c r="BS196" s="1" t="s">
        <v>1023</v>
      </c>
      <c r="BT196" s="1" t="s">
        <v>574</v>
      </c>
      <c r="BU196" s="1" t="s">
        <v>456</v>
      </c>
      <c r="BV196" s="1" t="s">
        <v>555</v>
      </c>
      <c r="BY196" s="1" t="s">
        <v>558</v>
      </c>
      <c r="BZ196" s="1">
        <v>23</v>
      </c>
      <c r="CJ196" s="1">
        <v>2.1395499999999998</v>
      </c>
      <c r="CK196" s="1">
        <v>2.1370499999999999</v>
      </c>
      <c r="CL196" s="1">
        <v>2.1420499999999998</v>
      </c>
      <c r="CR196" s="1">
        <v>-67862.087361261205</v>
      </c>
      <c r="CS196" s="1">
        <v>-70046.850000000006</v>
      </c>
      <c r="CT196" s="1">
        <v>-65677.33</v>
      </c>
      <c r="CU196" s="1">
        <v>-7.7700000000000005E-2</v>
      </c>
      <c r="CZ196" s="1">
        <v>-67862.09</v>
      </c>
      <c r="DA196" s="1">
        <v>-67862.09</v>
      </c>
      <c r="DB196" s="1">
        <v>-212455.4</v>
      </c>
      <c r="DC196" s="1">
        <v>144593.31</v>
      </c>
      <c r="DD196" s="2">
        <v>4271.05</v>
      </c>
      <c r="DG196" s="1">
        <v>1155.24</v>
      </c>
      <c r="DL196" s="1">
        <v>-88773128.659999996</v>
      </c>
      <c r="DM196" s="1">
        <v>-87552712.840000004</v>
      </c>
      <c r="DN196" s="1">
        <v>-1220415.82</v>
      </c>
      <c r="DO196" s="1">
        <v>2.6757</v>
      </c>
      <c r="DP196" s="1" t="s">
        <v>1282</v>
      </c>
      <c r="DQ196" s="1" t="s">
        <v>1282</v>
      </c>
      <c r="DS196" s="1">
        <v>88705266.569999993</v>
      </c>
      <c r="DT196" s="1">
        <v>87340257.439999998</v>
      </c>
      <c r="DU196" s="1">
        <v>1365009.13</v>
      </c>
      <c r="DV196" s="1">
        <v>2.5980500000000002</v>
      </c>
      <c r="DW196" s="1" t="s">
        <v>1282</v>
      </c>
      <c r="DX196" s="1" t="s">
        <v>1282</v>
      </c>
      <c r="DY196" s="1" t="s">
        <v>827</v>
      </c>
      <c r="DZ196" s="1">
        <v>-113553</v>
      </c>
      <c r="EA196" s="1">
        <v>-22171</v>
      </c>
      <c r="ED196" s="1" t="s">
        <v>50</v>
      </c>
      <c r="EE196" s="1" t="s">
        <v>1283</v>
      </c>
      <c r="EF196" s="1" t="s">
        <v>53</v>
      </c>
      <c r="EG196" s="1" t="s">
        <v>1283</v>
      </c>
      <c r="EH196" s="1" t="s">
        <v>51</v>
      </c>
      <c r="EJ196" s="1" t="s">
        <v>55</v>
      </c>
      <c r="EL196" s="1" t="s">
        <v>57</v>
      </c>
    </row>
    <row r="197" spans="1:142" x14ac:dyDescent="0.2">
      <c r="A197" s="101">
        <v>79731488001</v>
      </c>
      <c r="B197" s="101">
        <v>79731488</v>
      </c>
      <c r="D197" s="1" t="s">
        <v>77</v>
      </c>
      <c r="E197" s="1" t="s">
        <v>44</v>
      </c>
      <c r="F197" s="1" t="s">
        <v>583</v>
      </c>
      <c r="AI197" s="1" t="s">
        <v>551</v>
      </c>
      <c r="AJ197" s="1" t="s">
        <v>44</v>
      </c>
      <c r="AK197" s="1" t="s">
        <v>584</v>
      </c>
      <c r="AL197" s="1" t="s">
        <v>828</v>
      </c>
      <c r="AR197" s="1" t="s">
        <v>79</v>
      </c>
      <c r="AS197" s="1" t="s">
        <v>71</v>
      </c>
      <c r="AT197" s="1">
        <v>2.6162000000000001</v>
      </c>
      <c r="AV197" s="1" t="s">
        <v>837</v>
      </c>
      <c r="AW197" s="1" t="s">
        <v>1284</v>
      </c>
      <c r="AX197" s="1">
        <v>4857198</v>
      </c>
      <c r="BA197" s="1" t="s">
        <v>69</v>
      </c>
      <c r="BB197" s="1" t="s">
        <v>574</v>
      </c>
      <c r="BC197" s="1" t="s">
        <v>456</v>
      </c>
      <c r="BD197" s="1" t="s">
        <v>555</v>
      </c>
      <c r="BG197" s="1" t="s">
        <v>558</v>
      </c>
      <c r="BH197" s="1">
        <v>25</v>
      </c>
      <c r="BI197" s="1" t="s">
        <v>431</v>
      </c>
      <c r="BJ197" s="1" t="s">
        <v>67</v>
      </c>
      <c r="BK197" s="1" t="s">
        <v>440</v>
      </c>
      <c r="BL197" s="1">
        <v>0</v>
      </c>
      <c r="BM197" s="1" t="s">
        <v>837</v>
      </c>
      <c r="BN197" s="1" t="s">
        <v>1284</v>
      </c>
      <c r="BP197" s="1">
        <v>4857198</v>
      </c>
      <c r="BR197" s="1" t="s">
        <v>69</v>
      </c>
      <c r="BS197" s="1" t="s">
        <v>69</v>
      </c>
      <c r="BT197" s="1" t="s">
        <v>574</v>
      </c>
      <c r="BU197" s="1" t="s">
        <v>456</v>
      </c>
      <c r="BV197" s="1" t="s">
        <v>555</v>
      </c>
      <c r="BY197" s="1" t="s">
        <v>558</v>
      </c>
      <c r="BZ197" s="1">
        <v>25</v>
      </c>
      <c r="CJ197" s="1">
        <v>2.1375500000000001</v>
      </c>
      <c r="CK197" s="1">
        <v>2.1350500000000001</v>
      </c>
      <c r="CL197" s="1">
        <v>2.14005</v>
      </c>
      <c r="CR197" s="1">
        <v>-1166.7358901631001</v>
      </c>
      <c r="CS197" s="1">
        <v>-1288.56</v>
      </c>
      <c r="CT197" s="1">
        <v>-1044.92</v>
      </c>
      <c r="CU197" s="1">
        <v>-2.4E-2</v>
      </c>
      <c r="CZ197" s="1">
        <v>-1166.74</v>
      </c>
      <c r="DA197" s="1">
        <v>-1166.74</v>
      </c>
      <c r="DB197" s="1">
        <v>-10602.21</v>
      </c>
      <c r="DC197" s="1">
        <v>9435.4699999999993</v>
      </c>
      <c r="DD197" s="2">
        <v>240.06</v>
      </c>
      <c r="DG197" s="1">
        <v>64.709999999999994</v>
      </c>
      <c r="DL197" s="1">
        <v>-4933801.45</v>
      </c>
      <c r="DM197" s="1">
        <v>-4867793.5599999996</v>
      </c>
      <c r="DN197" s="1">
        <v>-66007.89</v>
      </c>
      <c r="DO197" s="1">
        <v>2.6162000000000001</v>
      </c>
      <c r="DP197" s="1" t="s">
        <v>1285</v>
      </c>
      <c r="DQ197" s="1" t="s">
        <v>1285</v>
      </c>
      <c r="DS197" s="1">
        <v>4932634.72</v>
      </c>
      <c r="DT197" s="1">
        <v>4857191.3600000003</v>
      </c>
      <c r="DU197" s="1">
        <v>75443.360000000001</v>
      </c>
      <c r="DV197" s="1">
        <v>2.59226</v>
      </c>
      <c r="DW197" s="1" t="s">
        <v>1285</v>
      </c>
      <c r="DX197" s="1" t="s">
        <v>1285</v>
      </c>
      <c r="DY197" s="1" t="s">
        <v>828</v>
      </c>
      <c r="DZ197" s="1">
        <v>-3732</v>
      </c>
      <c r="EA197" s="1">
        <v>1399</v>
      </c>
      <c r="ED197" s="1" t="s">
        <v>50</v>
      </c>
      <c r="EE197" s="1" t="s">
        <v>1286</v>
      </c>
      <c r="EF197" s="1" t="s">
        <v>53</v>
      </c>
      <c r="EG197" s="1" t="s">
        <v>1286</v>
      </c>
      <c r="EH197" s="1" t="s">
        <v>51</v>
      </c>
      <c r="EJ197" s="1" t="s">
        <v>55</v>
      </c>
      <c r="EL197" s="1" t="s">
        <v>57</v>
      </c>
    </row>
    <row r="198" spans="1:142" x14ac:dyDescent="0.2">
      <c r="A198" s="101">
        <v>79979968001</v>
      </c>
      <c r="B198" s="101">
        <v>79979968</v>
      </c>
      <c r="D198" s="1" t="s">
        <v>63</v>
      </c>
      <c r="E198" s="1" t="s">
        <v>44</v>
      </c>
      <c r="F198" s="1" t="s">
        <v>583</v>
      </c>
      <c r="AI198" s="1" t="s">
        <v>551</v>
      </c>
      <c r="AJ198" s="1" t="s">
        <v>44</v>
      </c>
      <c r="AK198" s="1" t="s">
        <v>584</v>
      </c>
      <c r="AL198" s="1" t="s">
        <v>1132</v>
      </c>
      <c r="AR198" s="1" t="s">
        <v>79</v>
      </c>
      <c r="AS198" s="1" t="s">
        <v>71</v>
      </c>
      <c r="AT198" s="1">
        <v>2.9367000000000001</v>
      </c>
      <c r="AV198" s="1" t="s">
        <v>1000</v>
      </c>
      <c r="AW198" s="1" t="s">
        <v>1016</v>
      </c>
      <c r="AX198" s="1">
        <v>18649912</v>
      </c>
      <c r="BA198" s="1" t="s">
        <v>69</v>
      </c>
      <c r="BB198" s="1" t="s">
        <v>574</v>
      </c>
      <c r="BC198" s="1" t="s">
        <v>456</v>
      </c>
      <c r="BD198" s="1" t="s">
        <v>555</v>
      </c>
      <c r="BG198" s="1" t="s">
        <v>558</v>
      </c>
      <c r="BH198" s="1">
        <v>22</v>
      </c>
      <c r="BI198" s="1" t="s">
        <v>431</v>
      </c>
      <c r="BJ198" s="1" t="s">
        <v>67</v>
      </c>
      <c r="BK198" s="1" t="s">
        <v>440</v>
      </c>
      <c r="BL198" s="1">
        <v>0</v>
      </c>
      <c r="BM198" s="1" t="s">
        <v>1000</v>
      </c>
      <c r="BN198" s="1" t="s">
        <v>1016</v>
      </c>
      <c r="BP198" s="1">
        <v>18649912</v>
      </c>
      <c r="BR198" s="1" t="s">
        <v>69</v>
      </c>
      <c r="BS198" s="1" t="s">
        <v>1023</v>
      </c>
      <c r="BT198" s="1" t="s">
        <v>574</v>
      </c>
      <c r="BU198" s="1" t="s">
        <v>456</v>
      </c>
      <c r="BV198" s="1" t="s">
        <v>555</v>
      </c>
      <c r="BY198" s="1" t="s">
        <v>558</v>
      </c>
      <c r="BZ198" s="1">
        <v>22</v>
      </c>
      <c r="CJ198" s="1">
        <v>2.4192800000000001</v>
      </c>
      <c r="CK198" s="1">
        <v>2.4167800000000002</v>
      </c>
      <c r="CL198" s="1">
        <v>2.42178</v>
      </c>
      <c r="CR198" s="1">
        <v>-1672.6686829925</v>
      </c>
      <c r="CS198" s="1">
        <v>-1936.47</v>
      </c>
      <c r="CT198" s="1">
        <v>-1408.87</v>
      </c>
      <c r="CU198" s="1">
        <v>-8.9999999999999993E-3</v>
      </c>
      <c r="CZ198" s="1">
        <v>-1672.67</v>
      </c>
      <c r="DA198" s="1">
        <v>-1672.67</v>
      </c>
      <c r="DB198" s="1">
        <v>-5479.01</v>
      </c>
      <c r="DC198" s="1">
        <v>3806.34</v>
      </c>
      <c r="DD198" s="2">
        <v>110.29</v>
      </c>
      <c r="DG198" s="1">
        <v>5.72</v>
      </c>
      <c r="DL198" s="1">
        <v>-18932259.920000002</v>
      </c>
      <c r="DM198" s="1">
        <v>-18655371.210000001</v>
      </c>
      <c r="DN198" s="1">
        <v>-276888.71999999997</v>
      </c>
      <c r="DO198" s="1">
        <v>2.9367000000000001</v>
      </c>
      <c r="DP198" s="1" t="s">
        <v>1103</v>
      </c>
      <c r="DQ198" s="1" t="s">
        <v>1103</v>
      </c>
      <c r="DS198" s="1">
        <v>18930587.25</v>
      </c>
      <c r="DT198" s="1">
        <v>18649892.199999999</v>
      </c>
      <c r="DU198" s="1">
        <v>280695.05</v>
      </c>
      <c r="DV198" s="1">
        <v>2.9208500000000002</v>
      </c>
      <c r="DW198" s="1" t="s">
        <v>1103</v>
      </c>
      <c r="DX198" s="1" t="s">
        <v>1103</v>
      </c>
      <c r="DY198" s="1" t="s">
        <v>1132</v>
      </c>
      <c r="DZ198" s="1">
        <v>-3007</v>
      </c>
      <c r="EA198" s="1">
        <v>-339</v>
      </c>
      <c r="ED198" s="1" t="s">
        <v>50</v>
      </c>
      <c r="EE198" s="1" t="s">
        <v>1287</v>
      </c>
      <c r="EF198" s="1" t="s">
        <v>53</v>
      </c>
      <c r="EG198" s="1" t="s">
        <v>1287</v>
      </c>
      <c r="EH198" s="1" t="s">
        <v>51</v>
      </c>
      <c r="EJ198" s="1" t="s">
        <v>55</v>
      </c>
      <c r="EL198" s="1" t="s">
        <v>57</v>
      </c>
    </row>
    <row r="199" spans="1:142" x14ac:dyDescent="0.2">
      <c r="A199" s="101">
        <v>80177409001</v>
      </c>
      <c r="B199" s="101">
        <v>80177409</v>
      </c>
      <c r="D199" s="1" t="s">
        <v>824</v>
      </c>
      <c r="E199" s="1" t="s">
        <v>46</v>
      </c>
      <c r="F199" s="1" t="s">
        <v>561</v>
      </c>
      <c r="U199" s="1">
        <v>37611768.539524503</v>
      </c>
      <c r="AI199" s="1" t="s">
        <v>551</v>
      </c>
      <c r="AJ199" s="1" t="s">
        <v>46</v>
      </c>
      <c r="AK199" s="1" t="s">
        <v>581</v>
      </c>
      <c r="AL199" s="1" t="s">
        <v>1132</v>
      </c>
      <c r="AR199" s="1" t="s">
        <v>66</v>
      </c>
      <c r="AS199" s="1" t="s">
        <v>71</v>
      </c>
      <c r="AT199" s="1">
        <v>2.2087500000000002</v>
      </c>
      <c r="AV199" s="1" t="s">
        <v>1132</v>
      </c>
      <c r="AW199" s="1" t="s">
        <v>1301</v>
      </c>
      <c r="AX199" s="1">
        <v>36000000</v>
      </c>
      <c r="BA199" s="1" t="s">
        <v>69</v>
      </c>
      <c r="BB199" s="1" t="s">
        <v>560</v>
      </c>
      <c r="BD199" s="1" t="s">
        <v>555</v>
      </c>
      <c r="BG199" s="1" t="s">
        <v>558</v>
      </c>
      <c r="BH199" s="1">
        <v>28</v>
      </c>
      <c r="BI199" s="1" t="s">
        <v>70</v>
      </c>
      <c r="BJ199" s="1" t="s">
        <v>67</v>
      </c>
      <c r="BK199" s="1" t="s">
        <v>452</v>
      </c>
      <c r="BM199" s="1" t="s">
        <v>1132</v>
      </c>
      <c r="BN199" s="1" t="s">
        <v>1301</v>
      </c>
      <c r="BP199" s="1">
        <v>36000000</v>
      </c>
      <c r="BT199" s="1" t="s">
        <v>557</v>
      </c>
      <c r="BV199" s="1" t="s">
        <v>555</v>
      </c>
      <c r="BY199" s="1" t="s">
        <v>558</v>
      </c>
      <c r="BZ199" s="1">
        <v>28</v>
      </c>
      <c r="CJ199" s="1">
        <v>3.0910600000000001</v>
      </c>
      <c r="CK199" s="1">
        <v>3.0885600000000002</v>
      </c>
      <c r="CL199" s="1">
        <v>3.0935600000000001</v>
      </c>
      <c r="CR199" s="1">
        <v>617854.81565416604</v>
      </c>
      <c r="CU199" s="1">
        <v>1.7162999999999999</v>
      </c>
      <c r="CZ199" s="1">
        <v>617854.81999999995</v>
      </c>
      <c r="DA199" s="1">
        <v>617854.81999999995</v>
      </c>
      <c r="DB199" s="1">
        <v>654921.56999999995</v>
      </c>
      <c r="DC199" s="1">
        <v>-37066.75</v>
      </c>
      <c r="DD199" s="2">
        <v>-90.77</v>
      </c>
      <c r="DG199" s="1">
        <v>-3326.05</v>
      </c>
      <c r="DL199" s="1">
        <v>-35547733.93</v>
      </c>
      <c r="DM199" s="1">
        <v>-35145282.460000001</v>
      </c>
      <c r="DN199" s="1">
        <v>-402451.46</v>
      </c>
      <c r="DO199" s="1">
        <v>2.2087500000000002</v>
      </c>
      <c r="DP199" s="1" t="s">
        <v>1301</v>
      </c>
      <c r="DQ199" s="1" t="s">
        <v>1301</v>
      </c>
      <c r="DS199" s="1">
        <v>36165588.740000002</v>
      </c>
      <c r="DT199" s="1">
        <v>35800204.030000001</v>
      </c>
      <c r="DU199" s="1">
        <v>365384.71</v>
      </c>
      <c r="DV199" s="1">
        <v>3.0898099999999999</v>
      </c>
      <c r="DW199" s="1" t="s">
        <v>1301</v>
      </c>
      <c r="DX199" s="1" t="s">
        <v>1301</v>
      </c>
      <c r="DZ199" s="1">
        <v>619258</v>
      </c>
      <c r="EA199" s="1">
        <v>616452</v>
      </c>
      <c r="ED199" s="1" t="s">
        <v>50</v>
      </c>
      <c r="EE199" s="1" t="s">
        <v>1302</v>
      </c>
      <c r="EF199" s="1" t="s">
        <v>53</v>
      </c>
      <c r="EG199" s="1" t="s">
        <v>1302</v>
      </c>
      <c r="EH199" s="1" t="s">
        <v>51</v>
      </c>
      <c r="EJ199" s="1" t="s">
        <v>55</v>
      </c>
      <c r="EL199" s="1" t="s">
        <v>57</v>
      </c>
    </row>
    <row r="200" spans="1:142" x14ac:dyDescent="0.2">
      <c r="A200" s="101">
        <v>80269731001</v>
      </c>
      <c r="B200" s="101">
        <v>80269731</v>
      </c>
      <c r="D200" s="1" t="s">
        <v>75</v>
      </c>
      <c r="E200" s="1" t="s">
        <v>44</v>
      </c>
      <c r="F200" s="1" t="s">
        <v>583</v>
      </c>
      <c r="AI200" s="1" t="s">
        <v>551</v>
      </c>
      <c r="AJ200" s="1" t="s">
        <v>44</v>
      </c>
      <c r="AK200" s="1" t="s">
        <v>584</v>
      </c>
      <c r="AL200" s="1" t="s">
        <v>843</v>
      </c>
      <c r="AR200" s="1" t="s">
        <v>79</v>
      </c>
      <c r="AS200" s="1" t="s">
        <v>71</v>
      </c>
      <c r="AT200" s="1">
        <v>2.3626999999999998</v>
      </c>
      <c r="AV200" s="1" t="s">
        <v>1139</v>
      </c>
      <c r="AW200" s="1" t="s">
        <v>967</v>
      </c>
      <c r="AX200" s="1">
        <v>20000000</v>
      </c>
      <c r="BA200" s="1" t="s">
        <v>69</v>
      </c>
      <c r="BB200" s="1" t="s">
        <v>574</v>
      </c>
      <c r="BC200" s="1" t="s">
        <v>456</v>
      </c>
      <c r="BD200" s="1" t="s">
        <v>555</v>
      </c>
      <c r="BG200" s="1" t="s">
        <v>558</v>
      </c>
      <c r="BH200" s="1">
        <v>1</v>
      </c>
      <c r="BI200" s="1" t="s">
        <v>431</v>
      </c>
      <c r="BJ200" s="1" t="s">
        <v>67</v>
      </c>
      <c r="BK200" s="1" t="s">
        <v>440</v>
      </c>
      <c r="BL200" s="1">
        <v>0</v>
      </c>
      <c r="BM200" s="1" t="s">
        <v>1139</v>
      </c>
      <c r="BN200" s="1" t="s">
        <v>967</v>
      </c>
      <c r="BP200" s="1">
        <v>20000000</v>
      </c>
      <c r="BR200" s="1" t="s">
        <v>69</v>
      </c>
      <c r="BS200" s="1" t="s">
        <v>69</v>
      </c>
      <c r="BT200" s="1" t="s">
        <v>574</v>
      </c>
      <c r="BU200" s="1" t="s">
        <v>456</v>
      </c>
      <c r="BV200" s="1" t="s">
        <v>555</v>
      </c>
      <c r="BY200" s="1" t="s">
        <v>558</v>
      </c>
      <c r="BZ200" s="1">
        <v>1</v>
      </c>
      <c r="CJ200" s="1">
        <v>2.0783200000000002</v>
      </c>
      <c r="CK200" s="1">
        <v>2.0758200000000002</v>
      </c>
      <c r="CL200" s="1">
        <v>2.0808200000000001</v>
      </c>
      <c r="CR200" s="1">
        <v>-6069.6359972991004</v>
      </c>
      <c r="CS200" s="1">
        <v>-6568.1</v>
      </c>
      <c r="CT200" s="1">
        <v>-5571.17</v>
      </c>
      <c r="CU200" s="1">
        <v>-3.0300000000000001E-2</v>
      </c>
      <c r="CZ200" s="1">
        <v>-6069.64</v>
      </c>
      <c r="DA200" s="1">
        <v>-6069.64</v>
      </c>
      <c r="DB200" s="1">
        <v>-35576.35</v>
      </c>
      <c r="DC200" s="1">
        <v>29506.720000000001</v>
      </c>
      <c r="DD200" s="2">
        <v>1349.54</v>
      </c>
      <c r="DG200" s="1">
        <v>302.52999999999997</v>
      </c>
      <c r="DL200" s="1">
        <v>-20191753.550000001</v>
      </c>
      <c r="DM200" s="1">
        <v>-20035552.829999998</v>
      </c>
      <c r="DN200" s="1">
        <v>-156200.72</v>
      </c>
      <c r="DO200" s="1">
        <v>2.3626999999999998</v>
      </c>
      <c r="DP200" s="1" t="s">
        <v>968</v>
      </c>
      <c r="DQ200" s="1" t="s">
        <v>968</v>
      </c>
      <c r="DS200" s="1">
        <v>20185683.91</v>
      </c>
      <c r="DT200" s="1">
        <v>19999976.469999999</v>
      </c>
      <c r="DU200" s="1">
        <v>185707.44</v>
      </c>
      <c r="DV200" s="1">
        <v>2.3322600000000002</v>
      </c>
      <c r="DW200" s="1" t="s">
        <v>968</v>
      </c>
      <c r="DX200" s="1" t="s">
        <v>968</v>
      </c>
      <c r="DY200" s="1" t="s">
        <v>969</v>
      </c>
      <c r="DZ200" s="1">
        <v>-20094</v>
      </c>
      <c r="EA200" s="1">
        <v>7954</v>
      </c>
      <c r="ED200" s="1" t="s">
        <v>50</v>
      </c>
      <c r="EE200" s="1" t="s">
        <v>1303</v>
      </c>
      <c r="EF200" s="1" t="s">
        <v>53</v>
      </c>
      <c r="EG200" s="1" t="s">
        <v>1303</v>
      </c>
      <c r="EH200" s="1" t="s">
        <v>51</v>
      </c>
      <c r="EJ200" s="1" t="s">
        <v>55</v>
      </c>
      <c r="EL200" s="1" t="s">
        <v>57</v>
      </c>
    </row>
    <row r="201" spans="1:142" x14ac:dyDescent="0.2">
      <c r="A201" s="101">
        <v>80271706001</v>
      </c>
      <c r="B201" s="101">
        <v>80271706</v>
      </c>
      <c r="D201" s="1" t="s">
        <v>43</v>
      </c>
      <c r="E201" s="1" t="s">
        <v>44</v>
      </c>
      <c r="F201" s="1" t="s">
        <v>583</v>
      </c>
      <c r="AI201" s="1" t="s">
        <v>551</v>
      </c>
      <c r="AJ201" s="1" t="s">
        <v>44</v>
      </c>
      <c r="AK201" s="1" t="s">
        <v>584</v>
      </c>
      <c r="AL201" s="1" t="s">
        <v>843</v>
      </c>
      <c r="AR201" s="1" t="s">
        <v>79</v>
      </c>
      <c r="AS201" s="1" t="s">
        <v>71</v>
      </c>
      <c r="AT201" s="1">
        <v>2.0697000000000001</v>
      </c>
      <c r="AV201" s="1" t="s">
        <v>1139</v>
      </c>
      <c r="AW201" s="1" t="s">
        <v>1301</v>
      </c>
      <c r="AX201" s="1">
        <v>10280000</v>
      </c>
      <c r="BA201" s="1" t="s">
        <v>69</v>
      </c>
      <c r="BB201" s="1" t="s">
        <v>574</v>
      </c>
      <c r="BC201" s="1" t="s">
        <v>456</v>
      </c>
      <c r="BD201" s="1" t="s">
        <v>555</v>
      </c>
      <c r="BG201" s="1" t="s">
        <v>558</v>
      </c>
      <c r="BH201" s="1">
        <v>28</v>
      </c>
      <c r="BI201" s="1" t="s">
        <v>431</v>
      </c>
      <c r="BJ201" s="1" t="s">
        <v>67</v>
      </c>
      <c r="BK201" s="1" t="s">
        <v>440</v>
      </c>
      <c r="BL201" s="1">
        <v>0</v>
      </c>
      <c r="BM201" s="1" t="s">
        <v>1139</v>
      </c>
      <c r="BN201" s="1" t="s">
        <v>1301</v>
      </c>
      <c r="BP201" s="1">
        <v>10280000</v>
      </c>
      <c r="BR201" s="1" t="s">
        <v>69</v>
      </c>
      <c r="BS201" s="1" t="s">
        <v>69</v>
      </c>
      <c r="BT201" s="1" t="s">
        <v>574</v>
      </c>
      <c r="BU201" s="1" t="s">
        <v>456</v>
      </c>
      <c r="BV201" s="1" t="s">
        <v>555</v>
      </c>
      <c r="BY201" s="1" t="s">
        <v>558</v>
      </c>
      <c r="BZ201" s="1">
        <v>28</v>
      </c>
      <c r="CJ201" s="1">
        <v>1.95638</v>
      </c>
      <c r="CK201" s="1">
        <v>1.9538800000000001</v>
      </c>
      <c r="CL201" s="1">
        <v>1.95888</v>
      </c>
      <c r="CR201" s="1">
        <v>30104.218118257799</v>
      </c>
      <c r="CS201" s="1">
        <v>29596.97</v>
      </c>
      <c r="CT201" s="1">
        <v>30611.47</v>
      </c>
      <c r="CU201" s="1">
        <v>0.2928</v>
      </c>
      <c r="CZ201" s="1">
        <v>30104.22</v>
      </c>
      <c r="DA201" s="1">
        <v>30104.22</v>
      </c>
      <c r="DB201" s="1">
        <v>-15859.49</v>
      </c>
      <c r="DC201" s="1">
        <v>45963.71</v>
      </c>
      <c r="DD201" s="2">
        <v>1527.66</v>
      </c>
      <c r="DG201" s="1">
        <v>157.22</v>
      </c>
      <c r="DL201" s="1">
        <v>-10401627.51</v>
      </c>
      <c r="DM201" s="1">
        <v>-10295835.949999999</v>
      </c>
      <c r="DN201" s="1">
        <v>-105791.57</v>
      </c>
      <c r="DO201" s="1">
        <v>2.0697000000000001</v>
      </c>
      <c r="DP201" s="1" t="s">
        <v>1304</v>
      </c>
      <c r="DQ201" s="1" t="s">
        <v>1305</v>
      </c>
      <c r="DS201" s="1">
        <v>10431731.73</v>
      </c>
      <c r="DT201" s="1">
        <v>10279976.460000001</v>
      </c>
      <c r="DU201" s="1">
        <v>151755.26999999999</v>
      </c>
      <c r="DV201" s="1">
        <v>2.56541</v>
      </c>
      <c r="DW201" s="1" t="s">
        <v>1304</v>
      </c>
      <c r="DX201" s="1" t="s">
        <v>1305</v>
      </c>
      <c r="DY201" s="1" t="s">
        <v>1284</v>
      </c>
      <c r="DZ201" s="1">
        <v>15161</v>
      </c>
      <c r="EA201" s="1">
        <v>45048</v>
      </c>
      <c r="ED201" s="1" t="s">
        <v>50</v>
      </c>
      <c r="EE201" s="1" t="s">
        <v>1306</v>
      </c>
      <c r="EF201" s="1" t="s">
        <v>53</v>
      </c>
      <c r="EG201" s="1" t="s">
        <v>1306</v>
      </c>
      <c r="EH201" s="1" t="s">
        <v>51</v>
      </c>
      <c r="EJ201" s="1" t="s">
        <v>55</v>
      </c>
      <c r="EL201" s="1" t="s">
        <v>57</v>
      </c>
    </row>
    <row r="202" spans="1:142" x14ac:dyDescent="0.2">
      <c r="A202" s="101">
        <v>80271710001</v>
      </c>
      <c r="B202" s="101">
        <v>80271710</v>
      </c>
      <c r="D202" s="1" t="s">
        <v>63</v>
      </c>
      <c r="E202" s="1" t="s">
        <v>44</v>
      </c>
      <c r="F202" s="1" t="s">
        <v>583</v>
      </c>
      <c r="AI202" s="1" t="s">
        <v>551</v>
      </c>
      <c r="AJ202" s="1" t="s">
        <v>44</v>
      </c>
      <c r="AK202" s="1" t="s">
        <v>584</v>
      </c>
      <c r="AL202" s="1" t="s">
        <v>843</v>
      </c>
      <c r="AR202" s="1" t="s">
        <v>79</v>
      </c>
      <c r="AS202" s="1" t="s">
        <v>71</v>
      </c>
      <c r="AT202" s="1">
        <v>2.2496999999999998</v>
      </c>
      <c r="AV202" s="1" t="s">
        <v>1139</v>
      </c>
      <c r="AW202" s="1" t="s">
        <v>1299</v>
      </c>
      <c r="AX202" s="1">
        <v>4839750</v>
      </c>
      <c r="BA202" s="1" t="s">
        <v>69</v>
      </c>
      <c r="BB202" s="1" t="s">
        <v>574</v>
      </c>
      <c r="BC202" s="1" t="s">
        <v>456</v>
      </c>
      <c r="BD202" s="1" t="s">
        <v>555</v>
      </c>
      <c r="BG202" s="1" t="s">
        <v>558</v>
      </c>
      <c r="BH202" s="1">
        <v>20</v>
      </c>
      <c r="BI202" s="1" t="s">
        <v>431</v>
      </c>
      <c r="BJ202" s="1" t="s">
        <v>67</v>
      </c>
      <c r="BK202" s="1" t="s">
        <v>440</v>
      </c>
      <c r="BL202" s="1">
        <v>0</v>
      </c>
      <c r="BM202" s="1" t="s">
        <v>1139</v>
      </c>
      <c r="BN202" s="1" t="s">
        <v>1299</v>
      </c>
      <c r="BP202" s="1">
        <v>4839750</v>
      </c>
      <c r="BR202" s="1" t="s">
        <v>69</v>
      </c>
      <c r="BS202" s="1" t="s">
        <v>69</v>
      </c>
      <c r="BT202" s="1" t="s">
        <v>574</v>
      </c>
      <c r="BU202" s="1" t="s">
        <v>456</v>
      </c>
      <c r="BV202" s="1" t="s">
        <v>555</v>
      </c>
      <c r="BY202" s="1" t="s">
        <v>558</v>
      </c>
      <c r="BZ202" s="1">
        <v>20</v>
      </c>
      <c r="CJ202" s="1">
        <v>2.0454699999999999</v>
      </c>
      <c r="CK202" s="1">
        <v>2.04297</v>
      </c>
      <c r="CL202" s="1">
        <v>2.0479699999999998</v>
      </c>
      <c r="CR202" s="1">
        <v>-3625.7260489435998</v>
      </c>
      <c r="CS202" s="1">
        <v>-3746.37</v>
      </c>
      <c r="CT202" s="1">
        <v>-3505.08</v>
      </c>
      <c r="CU202" s="1">
        <v>-7.4899999999999994E-2</v>
      </c>
      <c r="CZ202" s="1">
        <v>-3625.73</v>
      </c>
      <c r="DA202" s="1">
        <v>-3625.73</v>
      </c>
      <c r="DB202" s="1">
        <v>-7507.47</v>
      </c>
      <c r="DC202" s="1">
        <v>3881.74</v>
      </c>
      <c r="DD202" s="2">
        <v>391.05</v>
      </c>
      <c r="DG202" s="1">
        <v>79.150000000000006</v>
      </c>
      <c r="DL202" s="1">
        <v>-4868423.3899999997</v>
      </c>
      <c r="DM202" s="1">
        <v>-4847252.3099999996</v>
      </c>
      <c r="DN202" s="1">
        <v>-21171.08</v>
      </c>
      <c r="DO202" s="1">
        <v>2.2496999999999998</v>
      </c>
      <c r="DP202" s="1" t="s">
        <v>1307</v>
      </c>
      <c r="DQ202" s="1" t="s">
        <v>1307</v>
      </c>
      <c r="DS202" s="1">
        <v>4864797.66</v>
      </c>
      <c r="DT202" s="1">
        <v>4839744.84</v>
      </c>
      <c r="DU202" s="1">
        <v>25052.82</v>
      </c>
      <c r="DV202" s="1">
        <v>2.1745700000000001</v>
      </c>
      <c r="DW202" s="1" t="s">
        <v>1307</v>
      </c>
      <c r="DX202" s="1" t="s">
        <v>1307</v>
      </c>
      <c r="DY202" s="1" t="s">
        <v>673</v>
      </c>
      <c r="DZ202" s="1">
        <v>-7625</v>
      </c>
      <c r="EA202" s="1">
        <v>374</v>
      </c>
      <c r="ED202" s="1" t="s">
        <v>50</v>
      </c>
      <c r="EE202" s="1" t="s">
        <v>1308</v>
      </c>
      <c r="EF202" s="1" t="s">
        <v>53</v>
      </c>
      <c r="EG202" s="1" t="s">
        <v>1308</v>
      </c>
      <c r="EH202" s="1" t="s">
        <v>51</v>
      </c>
      <c r="EJ202" s="1" t="s">
        <v>55</v>
      </c>
      <c r="EL202" s="1" t="s">
        <v>57</v>
      </c>
    </row>
    <row r="203" spans="1:142" x14ac:dyDescent="0.2">
      <c r="A203" s="101">
        <v>80385490001</v>
      </c>
      <c r="B203" s="101">
        <v>80385490</v>
      </c>
      <c r="D203" s="1" t="s">
        <v>220</v>
      </c>
      <c r="E203" s="1" t="s">
        <v>44</v>
      </c>
      <c r="F203" s="1" t="s">
        <v>602</v>
      </c>
      <c r="I203" s="1">
        <v>93.014970000000005</v>
      </c>
      <c r="J203" s="1" t="s">
        <v>589</v>
      </c>
      <c r="V203" s="1" t="s">
        <v>211</v>
      </c>
      <c r="AI203" s="1" t="s">
        <v>551</v>
      </c>
      <c r="AJ203" s="1" t="s">
        <v>44</v>
      </c>
      <c r="AK203" s="1" t="s">
        <v>602</v>
      </c>
      <c r="AL203" s="1" t="s">
        <v>1176</v>
      </c>
      <c r="AT203" s="1">
        <v>3.25</v>
      </c>
      <c r="AV203" s="1" t="s">
        <v>211</v>
      </c>
      <c r="AW203" s="1" t="s">
        <v>1106</v>
      </c>
      <c r="AX203" s="1">
        <v>11000000</v>
      </c>
      <c r="BA203" s="1" t="s">
        <v>69</v>
      </c>
      <c r="BB203" s="1" t="s">
        <v>560</v>
      </c>
      <c r="BG203" s="1" t="s">
        <v>556</v>
      </c>
      <c r="BY203" s="1" t="s">
        <v>556</v>
      </c>
      <c r="CR203" s="1">
        <v>-922569.71396144701</v>
      </c>
      <c r="CU203" s="1">
        <v>-8.3870000000000005</v>
      </c>
      <c r="DD203" s="2">
        <v>-14137.81</v>
      </c>
      <c r="DG203" s="1">
        <v>-710.74</v>
      </c>
      <c r="ED203" s="1" t="s">
        <v>50</v>
      </c>
      <c r="EE203" s="1" t="s">
        <v>1309</v>
      </c>
      <c r="EF203" s="1" t="s">
        <v>53</v>
      </c>
      <c r="EG203" s="1" t="s">
        <v>1309</v>
      </c>
      <c r="EH203" s="1" t="s">
        <v>51</v>
      </c>
      <c r="EJ203" s="1" t="s">
        <v>55</v>
      </c>
      <c r="EL203" s="1" t="s">
        <v>57</v>
      </c>
    </row>
    <row r="204" spans="1:142" x14ac:dyDescent="0.2">
      <c r="A204" s="101">
        <v>80385723001</v>
      </c>
      <c r="B204" s="101">
        <v>80385723</v>
      </c>
      <c r="D204" s="1" t="s">
        <v>220</v>
      </c>
      <c r="E204" s="1" t="s">
        <v>44</v>
      </c>
      <c r="F204" s="1" t="s">
        <v>602</v>
      </c>
      <c r="I204" s="1">
        <v>91.540549999999996</v>
      </c>
      <c r="J204" s="1" t="s">
        <v>589</v>
      </c>
      <c r="V204" s="1" t="s">
        <v>274</v>
      </c>
      <c r="AI204" s="1" t="s">
        <v>551</v>
      </c>
      <c r="AJ204" s="1" t="s">
        <v>44</v>
      </c>
      <c r="AK204" s="1" t="s">
        <v>602</v>
      </c>
      <c r="AL204" s="1" t="s">
        <v>1176</v>
      </c>
      <c r="AT204" s="1">
        <v>3.25</v>
      </c>
      <c r="AV204" s="1" t="s">
        <v>274</v>
      </c>
      <c r="AW204" s="1" t="s">
        <v>1106</v>
      </c>
      <c r="AX204" s="1">
        <v>16000000</v>
      </c>
      <c r="BA204" s="1" t="s">
        <v>69</v>
      </c>
      <c r="BB204" s="1" t="s">
        <v>560</v>
      </c>
      <c r="BG204" s="1" t="s">
        <v>556</v>
      </c>
      <c r="BY204" s="1" t="s">
        <v>556</v>
      </c>
      <c r="CR204" s="1">
        <v>-1328687.8434430801</v>
      </c>
      <c r="CU204" s="1">
        <v>-8.3042999999999996</v>
      </c>
      <c r="DD204" s="2">
        <v>-21510.35</v>
      </c>
      <c r="DG204" s="1">
        <v>-965.7</v>
      </c>
      <c r="ED204" s="1" t="s">
        <v>50</v>
      </c>
      <c r="EE204" s="1" t="s">
        <v>1298</v>
      </c>
      <c r="EF204" s="1" t="s">
        <v>53</v>
      </c>
      <c r="EG204" s="1" t="s">
        <v>1298</v>
      </c>
      <c r="EH204" s="1" t="s">
        <v>51</v>
      </c>
      <c r="EJ204" s="1" t="s">
        <v>55</v>
      </c>
      <c r="EL204" s="1" t="s">
        <v>57</v>
      </c>
    </row>
    <row r="205" spans="1:142" x14ac:dyDescent="0.2">
      <c r="A205" s="101">
        <v>80462615001</v>
      </c>
      <c r="B205" s="101">
        <v>80462615</v>
      </c>
      <c r="D205" s="1" t="s">
        <v>63</v>
      </c>
      <c r="E205" s="1" t="s">
        <v>44</v>
      </c>
      <c r="F205" s="1" t="s">
        <v>583</v>
      </c>
      <c r="AI205" s="1" t="s">
        <v>551</v>
      </c>
      <c r="AJ205" s="1" t="s">
        <v>44</v>
      </c>
      <c r="AK205" s="1" t="s">
        <v>584</v>
      </c>
      <c r="AL205" s="1" t="s">
        <v>1176</v>
      </c>
      <c r="AR205" s="1" t="s">
        <v>79</v>
      </c>
      <c r="AS205" s="1" t="s">
        <v>71</v>
      </c>
      <c r="AT205" s="1">
        <v>2.3287</v>
      </c>
      <c r="AV205" s="1" t="s">
        <v>1171</v>
      </c>
      <c r="AW205" s="1" t="s">
        <v>1208</v>
      </c>
      <c r="AX205" s="1">
        <v>4844500</v>
      </c>
      <c r="BA205" s="1" t="s">
        <v>69</v>
      </c>
      <c r="BB205" s="1" t="s">
        <v>574</v>
      </c>
      <c r="BC205" s="1" t="s">
        <v>456</v>
      </c>
      <c r="BD205" s="1" t="s">
        <v>555</v>
      </c>
      <c r="BG205" s="1" t="s">
        <v>558</v>
      </c>
      <c r="BH205" s="1">
        <v>19</v>
      </c>
      <c r="BI205" s="1" t="s">
        <v>431</v>
      </c>
      <c r="BJ205" s="1" t="s">
        <v>67</v>
      </c>
      <c r="BK205" s="1" t="s">
        <v>440</v>
      </c>
      <c r="BL205" s="1">
        <v>0</v>
      </c>
      <c r="BM205" s="1" t="s">
        <v>1171</v>
      </c>
      <c r="BN205" s="1" t="s">
        <v>1208</v>
      </c>
      <c r="BP205" s="1">
        <v>4844500</v>
      </c>
      <c r="BR205" s="1" t="s">
        <v>69</v>
      </c>
      <c r="BS205" s="1" t="s">
        <v>69</v>
      </c>
      <c r="BT205" s="1" t="s">
        <v>574</v>
      </c>
      <c r="BU205" s="1" t="s">
        <v>456</v>
      </c>
      <c r="BV205" s="1" t="s">
        <v>555</v>
      </c>
      <c r="BY205" s="1" t="s">
        <v>558</v>
      </c>
      <c r="BZ205" s="1">
        <v>19</v>
      </c>
      <c r="CJ205" s="1">
        <v>2.0461100000000001</v>
      </c>
      <c r="CK205" s="1">
        <v>2.0436100000000001</v>
      </c>
      <c r="CL205" s="1">
        <v>2.04861</v>
      </c>
      <c r="CR205" s="1">
        <v>-7384.8637414034001</v>
      </c>
      <c r="CS205" s="1">
        <v>-7505.3</v>
      </c>
      <c r="CT205" s="1">
        <v>-7264.43</v>
      </c>
      <c r="CU205" s="1">
        <v>-0.15240000000000001</v>
      </c>
      <c r="CZ205" s="1">
        <v>-7384.86</v>
      </c>
      <c r="DA205" s="1">
        <v>-7384.86</v>
      </c>
      <c r="DB205" s="1">
        <v>-10526.25</v>
      </c>
      <c r="DC205" s="1">
        <v>3141.38</v>
      </c>
      <c r="DD205" s="2">
        <v>390.43</v>
      </c>
      <c r="DG205" s="1">
        <v>78.92</v>
      </c>
      <c r="DL205" s="1">
        <v>-4876957.12</v>
      </c>
      <c r="DM205" s="1">
        <v>-4855021.09</v>
      </c>
      <c r="DN205" s="1">
        <v>-21936.03</v>
      </c>
      <c r="DO205" s="1">
        <v>2.3287</v>
      </c>
      <c r="DP205" s="1" t="s">
        <v>1299</v>
      </c>
      <c r="DQ205" s="1" t="s">
        <v>1299</v>
      </c>
      <c r="DS205" s="1">
        <v>4869572.26</v>
      </c>
      <c r="DT205" s="1">
        <v>4844494.84</v>
      </c>
      <c r="DU205" s="1">
        <v>25077.41</v>
      </c>
      <c r="DV205" s="1">
        <v>2.1754099999999998</v>
      </c>
      <c r="DW205" s="1" t="s">
        <v>1299</v>
      </c>
      <c r="DX205" s="1" t="s">
        <v>1299</v>
      </c>
      <c r="DY205" s="1" t="s">
        <v>673</v>
      </c>
      <c r="DZ205" s="1">
        <v>-11379</v>
      </c>
      <c r="EA205" s="1">
        <v>-3391</v>
      </c>
      <c r="ED205" s="1" t="s">
        <v>50</v>
      </c>
      <c r="EE205" s="1" t="s">
        <v>1300</v>
      </c>
      <c r="EF205" s="1" t="s">
        <v>53</v>
      </c>
      <c r="EG205" s="1" t="s">
        <v>1300</v>
      </c>
      <c r="EH205" s="1" t="s">
        <v>51</v>
      </c>
      <c r="EJ205" s="1" t="s">
        <v>55</v>
      </c>
      <c r="EL205" s="1" t="s">
        <v>57</v>
      </c>
    </row>
    <row r="206" spans="1:142" x14ac:dyDescent="0.2">
      <c r="A206" s="101">
        <v>80527013001</v>
      </c>
      <c r="B206" s="101">
        <v>80527013</v>
      </c>
      <c r="D206" s="1" t="s">
        <v>43</v>
      </c>
      <c r="E206" s="1" t="s">
        <v>44</v>
      </c>
      <c r="F206" s="1" t="s">
        <v>583</v>
      </c>
      <c r="AI206" s="1" t="s">
        <v>551</v>
      </c>
      <c r="AJ206" s="1" t="s">
        <v>44</v>
      </c>
      <c r="AK206" s="1" t="s">
        <v>584</v>
      </c>
      <c r="AL206" s="1" t="s">
        <v>1015</v>
      </c>
      <c r="AR206" s="1" t="s">
        <v>79</v>
      </c>
      <c r="AS206" s="1" t="s">
        <v>71</v>
      </c>
      <c r="AT206" s="1">
        <v>2.5762</v>
      </c>
      <c r="AV206" s="1" t="s">
        <v>1310</v>
      </c>
      <c r="AW206" s="1" t="s">
        <v>1311</v>
      </c>
      <c r="AX206" s="1">
        <v>24290711</v>
      </c>
      <c r="BA206" s="1" t="s">
        <v>69</v>
      </c>
      <c r="BB206" s="1" t="s">
        <v>574</v>
      </c>
      <c r="BC206" s="1" t="s">
        <v>456</v>
      </c>
      <c r="BD206" s="1" t="s">
        <v>555</v>
      </c>
      <c r="BG206" s="1" t="s">
        <v>558</v>
      </c>
      <c r="BH206" s="1">
        <v>9</v>
      </c>
      <c r="BI206" s="1" t="s">
        <v>431</v>
      </c>
      <c r="BJ206" s="1" t="s">
        <v>67</v>
      </c>
      <c r="BK206" s="1" t="s">
        <v>440</v>
      </c>
      <c r="BL206" s="1">
        <v>0</v>
      </c>
      <c r="BM206" s="1" t="s">
        <v>1310</v>
      </c>
      <c r="BN206" s="1" t="s">
        <v>1311</v>
      </c>
      <c r="BP206" s="1">
        <v>24290711</v>
      </c>
      <c r="BR206" s="1" t="s">
        <v>69</v>
      </c>
      <c r="BS206" s="1" t="s">
        <v>69</v>
      </c>
      <c r="BT206" s="1" t="s">
        <v>574</v>
      </c>
      <c r="BU206" s="1" t="s">
        <v>456</v>
      </c>
      <c r="BV206" s="1" t="s">
        <v>555</v>
      </c>
      <c r="BY206" s="1" t="s">
        <v>558</v>
      </c>
      <c r="BZ206" s="1">
        <v>9</v>
      </c>
      <c r="CJ206" s="1">
        <v>2.1239499999999998</v>
      </c>
      <c r="CK206" s="1">
        <v>2.1214499999999998</v>
      </c>
      <c r="CL206" s="1">
        <v>2.1264500000000002</v>
      </c>
      <c r="CR206" s="1">
        <v>-10282.612222433099</v>
      </c>
      <c r="CS206" s="1">
        <v>-10891.37</v>
      </c>
      <c r="CT206" s="1">
        <v>-9673.85</v>
      </c>
      <c r="CU206" s="1">
        <v>-4.2299999999999997E-2</v>
      </c>
      <c r="CZ206" s="1">
        <v>-10282.61</v>
      </c>
      <c r="DA206" s="1">
        <v>-10282.61</v>
      </c>
      <c r="DB206" s="1">
        <v>-54131.199999999997</v>
      </c>
      <c r="DC206" s="1">
        <v>43848.58</v>
      </c>
      <c r="DD206" s="2">
        <v>1293.04</v>
      </c>
      <c r="DG206" s="1">
        <v>338.26</v>
      </c>
      <c r="DL206" s="1">
        <v>-24645530.91</v>
      </c>
      <c r="DM206" s="1">
        <v>-24344810.16</v>
      </c>
      <c r="DN206" s="1">
        <v>-300720.76</v>
      </c>
      <c r="DO206" s="1">
        <v>2.5762</v>
      </c>
      <c r="DP206" s="1" t="s">
        <v>1312</v>
      </c>
      <c r="DQ206" s="1" t="s">
        <v>1312</v>
      </c>
      <c r="DS206" s="1">
        <v>24635248.300000001</v>
      </c>
      <c r="DT206" s="1">
        <v>24290678.960000001</v>
      </c>
      <c r="DU206" s="1">
        <v>344569.34</v>
      </c>
      <c r="DV206" s="1">
        <v>2.5339700000000001</v>
      </c>
      <c r="DW206" s="1" t="s">
        <v>1312</v>
      </c>
      <c r="DX206" s="1" t="s">
        <v>1312</v>
      </c>
      <c r="DY206" s="1" t="s">
        <v>1015</v>
      </c>
      <c r="DZ206" s="1">
        <v>-24014</v>
      </c>
      <c r="EA206" s="1">
        <v>3449</v>
      </c>
      <c r="ED206" s="1" t="s">
        <v>50</v>
      </c>
      <c r="EE206" s="1" t="s">
        <v>1313</v>
      </c>
      <c r="EF206" s="1" t="s">
        <v>53</v>
      </c>
      <c r="EG206" s="1" t="s">
        <v>1313</v>
      </c>
      <c r="EH206" s="1" t="s">
        <v>51</v>
      </c>
      <c r="EJ206" s="1" t="s">
        <v>55</v>
      </c>
      <c r="EL206" s="1" t="s">
        <v>57</v>
      </c>
    </row>
    <row r="207" spans="1:142" x14ac:dyDescent="0.2">
      <c r="A207" s="101">
        <v>80597232001</v>
      </c>
      <c r="B207" s="101">
        <v>80597232</v>
      </c>
      <c r="D207" s="1" t="s">
        <v>43</v>
      </c>
      <c r="E207" s="1" t="s">
        <v>44</v>
      </c>
      <c r="F207" s="1" t="s">
        <v>583</v>
      </c>
      <c r="AI207" s="1" t="s">
        <v>551</v>
      </c>
      <c r="AJ207" s="1" t="s">
        <v>44</v>
      </c>
      <c r="AK207" s="1" t="s">
        <v>584</v>
      </c>
      <c r="AL207" s="1" t="s">
        <v>1171</v>
      </c>
      <c r="AR207" s="1" t="s">
        <v>79</v>
      </c>
      <c r="AS207" s="1" t="s">
        <v>71</v>
      </c>
      <c r="AT207" s="1">
        <v>2.5621999999999998</v>
      </c>
      <c r="AV207" s="1" t="s">
        <v>1168</v>
      </c>
      <c r="AW207" s="1" t="s">
        <v>1312</v>
      </c>
      <c r="AX207" s="1">
        <v>145765806</v>
      </c>
      <c r="BA207" s="1" t="s">
        <v>69</v>
      </c>
      <c r="BB207" s="1" t="s">
        <v>574</v>
      </c>
      <c r="BC207" s="1" t="s">
        <v>456</v>
      </c>
      <c r="BD207" s="1" t="s">
        <v>555</v>
      </c>
      <c r="BG207" s="1" t="s">
        <v>558</v>
      </c>
      <c r="BH207" s="1">
        <v>10</v>
      </c>
      <c r="BI207" s="1" t="s">
        <v>431</v>
      </c>
      <c r="BJ207" s="1" t="s">
        <v>67</v>
      </c>
      <c r="BK207" s="1" t="s">
        <v>440</v>
      </c>
      <c r="BL207" s="1">
        <v>0</v>
      </c>
      <c r="BM207" s="1" t="s">
        <v>1168</v>
      </c>
      <c r="BN207" s="1" t="s">
        <v>1312</v>
      </c>
      <c r="BP207" s="1">
        <v>145765806</v>
      </c>
      <c r="BR207" s="1" t="s">
        <v>69</v>
      </c>
      <c r="BS207" s="1" t="s">
        <v>69</v>
      </c>
      <c r="BT207" s="1" t="s">
        <v>574</v>
      </c>
      <c r="BU207" s="1" t="s">
        <v>456</v>
      </c>
      <c r="BV207" s="1" t="s">
        <v>555</v>
      </c>
      <c r="BY207" s="1" t="s">
        <v>558</v>
      </c>
      <c r="BZ207" s="1">
        <v>10</v>
      </c>
      <c r="CJ207" s="1">
        <v>2.1229900000000002</v>
      </c>
      <c r="CK207" s="1">
        <v>2.1204900000000002</v>
      </c>
      <c r="CL207" s="1">
        <v>2.1254900000000001</v>
      </c>
      <c r="CR207" s="1">
        <v>-47382.861075639703</v>
      </c>
      <c r="CS207" s="1">
        <v>-51035.39</v>
      </c>
      <c r="CT207" s="1">
        <v>-43730.33</v>
      </c>
      <c r="CU207" s="1">
        <v>-3.2500000000000001E-2</v>
      </c>
      <c r="CZ207" s="1">
        <v>-47382.86</v>
      </c>
      <c r="DA207" s="1">
        <v>-47382.86</v>
      </c>
      <c r="DB207" s="1">
        <v>-316672.2</v>
      </c>
      <c r="DC207" s="1">
        <v>269289.34000000003</v>
      </c>
      <c r="DD207" s="2">
        <v>7797.25</v>
      </c>
      <c r="DG207" s="1">
        <v>2037.57</v>
      </c>
      <c r="DL207" s="1">
        <v>-147866303.25999999</v>
      </c>
      <c r="DM207" s="1">
        <v>-146081893.33000001</v>
      </c>
      <c r="DN207" s="1">
        <v>-1784409.93</v>
      </c>
      <c r="DO207" s="1">
        <v>2.5621999999999998</v>
      </c>
      <c r="DP207" s="1" t="s">
        <v>1314</v>
      </c>
      <c r="DQ207" s="1" t="s">
        <v>1314</v>
      </c>
      <c r="DS207" s="1">
        <v>147818920.40000001</v>
      </c>
      <c r="DT207" s="1">
        <v>145765221.13</v>
      </c>
      <c r="DU207" s="1">
        <v>2053699.27</v>
      </c>
      <c r="DV207" s="1">
        <v>2.5297700000000001</v>
      </c>
      <c r="DW207" s="1" t="s">
        <v>1314</v>
      </c>
      <c r="DX207" s="1" t="s">
        <v>1314</v>
      </c>
      <c r="DY207" s="1" t="s">
        <v>1171</v>
      </c>
      <c r="DZ207" s="1">
        <v>-130150</v>
      </c>
      <c r="EA207" s="1">
        <v>35385</v>
      </c>
      <c r="ED207" s="1" t="s">
        <v>50</v>
      </c>
      <c r="EE207" s="1" t="s">
        <v>1315</v>
      </c>
      <c r="EF207" s="1" t="s">
        <v>53</v>
      </c>
      <c r="EG207" s="1" t="s">
        <v>1315</v>
      </c>
      <c r="EH207" s="1" t="s">
        <v>51</v>
      </c>
      <c r="EJ207" s="1" t="s">
        <v>55</v>
      </c>
      <c r="EL207" s="1" t="s">
        <v>57</v>
      </c>
    </row>
    <row r="208" spans="1:142" x14ac:dyDescent="0.2">
      <c r="A208" s="101">
        <v>80597266001</v>
      </c>
      <c r="B208" s="101">
        <v>80597266</v>
      </c>
      <c r="D208" s="1" t="s">
        <v>43</v>
      </c>
      <c r="E208" s="1" t="s">
        <v>44</v>
      </c>
      <c r="F208" s="1" t="s">
        <v>583</v>
      </c>
      <c r="AI208" s="1" t="s">
        <v>551</v>
      </c>
      <c r="AJ208" s="1" t="s">
        <v>44</v>
      </c>
      <c r="AK208" s="1" t="s">
        <v>584</v>
      </c>
      <c r="AL208" s="1" t="s">
        <v>1171</v>
      </c>
      <c r="AR208" s="1" t="s">
        <v>79</v>
      </c>
      <c r="AS208" s="1" t="s">
        <v>71</v>
      </c>
      <c r="AT208" s="1">
        <v>2.2757000000000001</v>
      </c>
      <c r="AV208" s="1" t="s">
        <v>1168</v>
      </c>
      <c r="AW208" s="1" t="s">
        <v>1316</v>
      </c>
      <c r="AX208" s="1">
        <v>11790950</v>
      </c>
      <c r="BA208" s="1" t="s">
        <v>69</v>
      </c>
      <c r="BB208" s="1" t="s">
        <v>574</v>
      </c>
      <c r="BC208" s="1" t="s">
        <v>456</v>
      </c>
      <c r="BD208" s="1" t="s">
        <v>555</v>
      </c>
      <c r="BG208" s="1" t="s">
        <v>558</v>
      </c>
      <c r="BH208" s="1">
        <v>2</v>
      </c>
      <c r="BI208" s="1" t="s">
        <v>431</v>
      </c>
      <c r="BJ208" s="1" t="s">
        <v>67</v>
      </c>
      <c r="BK208" s="1" t="s">
        <v>440</v>
      </c>
      <c r="BL208" s="1">
        <v>0</v>
      </c>
      <c r="BM208" s="1" t="s">
        <v>1168</v>
      </c>
      <c r="BN208" s="1" t="s">
        <v>1316</v>
      </c>
      <c r="BP208" s="1">
        <v>11790950</v>
      </c>
      <c r="BR208" s="1" t="s">
        <v>69</v>
      </c>
      <c r="BS208" s="1" t="s">
        <v>69</v>
      </c>
      <c r="BT208" s="1" t="s">
        <v>574</v>
      </c>
      <c r="BU208" s="1" t="s">
        <v>456</v>
      </c>
      <c r="BV208" s="1" t="s">
        <v>555</v>
      </c>
      <c r="BY208" s="1" t="s">
        <v>558</v>
      </c>
      <c r="BZ208" s="1">
        <v>2</v>
      </c>
      <c r="CJ208" s="1">
        <v>1.956</v>
      </c>
      <c r="CK208" s="1">
        <v>1.9535</v>
      </c>
      <c r="CL208" s="1">
        <v>1.9584999999999999</v>
      </c>
      <c r="CR208" s="1">
        <v>-16630.2983692735</v>
      </c>
      <c r="CS208" s="1">
        <v>-17209.52</v>
      </c>
      <c r="CT208" s="1">
        <v>-16051.08</v>
      </c>
      <c r="CU208" s="1">
        <v>-0.14099999999999999</v>
      </c>
      <c r="CZ208" s="1">
        <v>-16630.3</v>
      </c>
      <c r="DA208" s="1">
        <v>-16630.3</v>
      </c>
      <c r="DB208" s="1">
        <v>-54552.87</v>
      </c>
      <c r="DC208" s="1">
        <v>37922.57</v>
      </c>
      <c r="DD208" s="2">
        <v>1769.3</v>
      </c>
      <c r="DG208" s="1">
        <v>176.7</v>
      </c>
      <c r="DL208" s="1">
        <v>-11973654.060000001</v>
      </c>
      <c r="DM208" s="1">
        <v>-11845453.550000001</v>
      </c>
      <c r="DN208" s="1">
        <v>-128200.51</v>
      </c>
      <c r="DO208" s="1">
        <v>2.2757000000000001</v>
      </c>
      <c r="DP208" s="1" t="s">
        <v>1317</v>
      </c>
      <c r="DQ208" s="1" t="s">
        <v>1318</v>
      </c>
      <c r="DS208" s="1">
        <v>11957023.76</v>
      </c>
      <c r="DT208" s="1">
        <v>11790900.67</v>
      </c>
      <c r="DU208" s="1">
        <v>166123.09</v>
      </c>
      <c r="DV208" s="1">
        <v>2.5422199999999999</v>
      </c>
      <c r="DW208" s="1" t="s">
        <v>1317</v>
      </c>
      <c r="DX208" s="1" t="s">
        <v>1318</v>
      </c>
      <c r="DY208" s="1" t="s">
        <v>1304</v>
      </c>
      <c r="DZ208" s="1">
        <v>-33934</v>
      </c>
      <c r="EA208" s="1">
        <v>673</v>
      </c>
      <c r="ED208" s="1" t="s">
        <v>50</v>
      </c>
      <c r="EE208" s="1" t="s">
        <v>1319</v>
      </c>
      <c r="EF208" s="1" t="s">
        <v>53</v>
      </c>
      <c r="EG208" s="1" t="s">
        <v>1319</v>
      </c>
      <c r="EH208" s="1" t="s">
        <v>51</v>
      </c>
      <c r="EJ208" s="1" t="s">
        <v>55</v>
      </c>
      <c r="EL208" s="1" t="s">
        <v>57</v>
      </c>
    </row>
    <row r="209" spans="1:142" x14ac:dyDescent="0.2">
      <c r="A209" s="101">
        <v>80597271001</v>
      </c>
      <c r="B209" s="101">
        <v>80597271</v>
      </c>
      <c r="D209" s="1" t="s">
        <v>75</v>
      </c>
      <c r="E209" s="1" t="s">
        <v>44</v>
      </c>
      <c r="F209" s="1" t="s">
        <v>583</v>
      </c>
      <c r="AI209" s="1" t="s">
        <v>551</v>
      </c>
      <c r="AJ209" s="1" t="s">
        <v>44</v>
      </c>
      <c r="AK209" s="1" t="s">
        <v>584</v>
      </c>
      <c r="AL209" s="1" t="s">
        <v>1171</v>
      </c>
      <c r="AR209" s="1" t="s">
        <v>79</v>
      </c>
      <c r="AS209" s="1" t="s">
        <v>71</v>
      </c>
      <c r="AT209" s="1">
        <v>2.4571999999999998</v>
      </c>
      <c r="AV209" s="1" t="s">
        <v>1168</v>
      </c>
      <c r="AW209" s="1" t="s">
        <v>960</v>
      </c>
      <c r="AX209" s="1">
        <v>10010500</v>
      </c>
      <c r="BA209" s="1" t="s">
        <v>69</v>
      </c>
      <c r="BB209" s="1" t="s">
        <v>574</v>
      </c>
      <c r="BC209" s="1" t="s">
        <v>456</v>
      </c>
      <c r="BD209" s="1" t="s">
        <v>555</v>
      </c>
      <c r="BG209" s="1" t="s">
        <v>558</v>
      </c>
      <c r="BH209" s="1">
        <v>5</v>
      </c>
      <c r="BI209" s="1" t="s">
        <v>431</v>
      </c>
      <c r="BJ209" s="1" t="s">
        <v>67</v>
      </c>
      <c r="BK209" s="1" t="s">
        <v>440</v>
      </c>
      <c r="BL209" s="1">
        <v>0</v>
      </c>
      <c r="BM209" s="1" t="s">
        <v>1168</v>
      </c>
      <c r="BN209" s="1" t="s">
        <v>960</v>
      </c>
      <c r="BP209" s="1">
        <v>10010500</v>
      </c>
      <c r="BR209" s="1" t="s">
        <v>69</v>
      </c>
      <c r="BS209" s="1" t="s">
        <v>69</v>
      </c>
      <c r="BT209" s="1" t="s">
        <v>574</v>
      </c>
      <c r="BU209" s="1" t="s">
        <v>456</v>
      </c>
      <c r="BV209" s="1" t="s">
        <v>555</v>
      </c>
      <c r="BY209" s="1" t="s">
        <v>558</v>
      </c>
      <c r="BZ209" s="1">
        <v>5</v>
      </c>
      <c r="CJ209" s="1">
        <v>2.0550999999999999</v>
      </c>
      <c r="CK209" s="1">
        <v>2.0526</v>
      </c>
      <c r="CL209" s="1">
        <v>2.0575999999999999</v>
      </c>
      <c r="CR209" s="1">
        <v>-23839.286995790899</v>
      </c>
      <c r="CS209" s="1">
        <v>-24088.33</v>
      </c>
      <c r="CT209" s="1">
        <v>-23590.240000000002</v>
      </c>
      <c r="CU209" s="1">
        <v>-0.23810000000000001</v>
      </c>
      <c r="CZ209" s="1">
        <v>-23839.29</v>
      </c>
      <c r="DA209" s="1">
        <v>-23839.29</v>
      </c>
      <c r="DB209" s="1">
        <v>-29689.83</v>
      </c>
      <c r="DC209" s="1">
        <v>5850.55</v>
      </c>
      <c r="DD209" s="2">
        <v>770.3</v>
      </c>
      <c r="DG209" s="1">
        <v>157.16</v>
      </c>
      <c r="DL209" s="1">
        <v>-10097573.710000001</v>
      </c>
      <c r="DM209" s="1">
        <v>-10040178.84</v>
      </c>
      <c r="DN209" s="1">
        <v>-57394.87</v>
      </c>
      <c r="DO209" s="1">
        <v>2.4571999999999998</v>
      </c>
      <c r="DP209" s="1" t="s">
        <v>961</v>
      </c>
      <c r="DQ209" s="1" t="s">
        <v>961</v>
      </c>
      <c r="DS209" s="1">
        <v>10073734.42</v>
      </c>
      <c r="DT209" s="1">
        <v>10010489.01</v>
      </c>
      <c r="DU209" s="1">
        <v>63245.42</v>
      </c>
      <c r="DV209" s="1">
        <v>2.2178900000000001</v>
      </c>
      <c r="DW209" s="1" t="s">
        <v>961</v>
      </c>
      <c r="DX209" s="1" t="s">
        <v>961</v>
      </c>
      <c r="DY209" s="1" t="s">
        <v>725</v>
      </c>
      <c r="DZ209" s="1">
        <v>-31755</v>
      </c>
      <c r="EA209" s="1">
        <v>-15924</v>
      </c>
      <c r="ED209" s="1" t="s">
        <v>50</v>
      </c>
      <c r="EE209" s="1" t="s">
        <v>1320</v>
      </c>
      <c r="EF209" s="1" t="s">
        <v>53</v>
      </c>
      <c r="EG209" s="1" t="s">
        <v>1320</v>
      </c>
      <c r="EH209" s="1" t="s">
        <v>51</v>
      </c>
      <c r="EJ209" s="1" t="s">
        <v>55</v>
      </c>
      <c r="EL209" s="1" t="s">
        <v>57</v>
      </c>
    </row>
    <row r="210" spans="1:142" x14ac:dyDescent="0.2">
      <c r="A210" s="101">
        <v>80662305001</v>
      </c>
      <c r="B210" s="101">
        <v>80662305</v>
      </c>
      <c r="D210" s="1" t="s">
        <v>43</v>
      </c>
      <c r="E210" s="1" t="s">
        <v>44</v>
      </c>
      <c r="F210" s="1" t="s">
        <v>602</v>
      </c>
      <c r="I210" s="1">
        <v>91.88288</v>
      </c>
      <c r="J210" s="1" t="s">
        <v>589</v>
      </c>
      <c r="V210" s="1" t="s">
        <v>176</v>
      </c>
      <c r="AI210" s="1" t="s">
        <v>551</v>
      </c>
      <c r="AJ210" s="1" t="s">
        <v>44</v>
      </c>
      <c r="AK210" s="1" t="s">
        <v>602</v>
      </c>
      <c r="AL210" s="1" t="s">
        <v>1310</v>
      </c>
      <c r="AT210" s="1">
        <v>3.25</v>
      </c>
      <c r="AV210" s="1" t="s">
        <v>176</v>
      </c>
      <c r="AW210" s="1" t="s">
        <v>1106</v>
      </c>
      <c r="AX210" s="1">
        <v>38000000</v>
      </c>
      <c r="BA210" s="1" t="s">
        <v>69</v>
      </c>
      <c r="BB210" s="1" t="s">
        <v>560</v>
      </c>
      <c r="BG210" s="1" t="s">
        <v>556</v>
      </c>
      <c r="BY210" s="1" t="s">
        <v>556</v>
      </c>
      <c r="CR210" s="1">
        <v>-3047462.8083552499</v>
      </c>
      <c r="CU210" s="1">
        <v>-8.0196000000000005</v>
      </c>
      <c r="DD210" s="2">
        <v>-45435.32</v>
      </c>
      <c r="DG210" s="1">
        <v>-2644.14</v>
      </c>
      <c r="ED210" s="1" t="s">
        <v>50</v>
      </c>
      <c r="EE210" s="1" t="s">
        <v>1321</v>
      </c>
      <c r="EF210" s="1" t="s">
        <v>53</v>
      </c>
      <c r="EG210" s="1" t="s">
        <v>1321</v>
      </c>
      <c r="EH210" s="1" t="s">
        <v>51</v>
      </c>
      <c r="EJ210" s="1" t="s">
        <v>55</v>
      </c>
      <c r="EL210" s="1" t="s">
        <v>57</v>
      </c>
    </row>
    <row r="211" spans="1:142" x14ac:dyDescent="0.2">
      <c r="A211" s="101">
        <v>80908304001</v>
      </c>
      <c r="B211" s="101">
        <v>80908304</v>
      </c>
      <c r="D211" s="1" t="s">
        <v>824</v>
      </c>
      <c r="E211" s="1" t="s">
        <v>44</v>
      </c>
      <c r="F211" s="1" t="s">
        <v>602</v>
      </c>
      <c r="I211" s="1">
        <v>90.075000000000003</v>
      </c>
      <c r="J211" s="1" t="s">
        <v>589</v>
      </c>
      <c r="V211" s="1" t="s">
        <v>274</v>
      </c>
      <c r="AI211" s="1" t="s">
        <v>551</v>
      </c>
      <c r="AJ211" s="1" t="s">
        <v>44</v>
      </c>
      <c r="AK211" s="1" t="s">
        <v>602</v>
      </c>
      <c r="AL211" s="1" t="s">
        <v>846</v>
      </c>
      <c r="AT211" s="1">
        <v>3.25</v>
      </c>
      <c r="AV211" s="1" t="s">
        <v>274</v>
      </c>
      <c r="AW211" s="1" t="s">
        <v>1106</v>
      </c>
      <c r="AX211" s="1">
        <v>16500000</v>
      </c>
      <c r="BA211" s="1" t="s">
        <v>69</v>
      </c>
      <c r="BB211" s="1" t="s">
        <v>560</v>
      </c>
      <c r="BG211" s="1" t="s">
        <v>556</v>
      </c>
      <c r="BY211" s="1" t="s">
        <v>556</v>
      </c>
      <c r="CR211" s="1">
        <v>-1226126.6803981301</v>
      </c>
      <c r="CU211" s="1">
        <v>-7.4310999999999998</v>
      </c>
      <c r="DD211" s="2">
        <v>-22215.72</v>
      </c>
      <c r="DG211" s="1">
        <v>-987.44</v>
      </c>
      <c r="ED211" s="1" t="s">
        <v>50</v>
      </c>
      <c r="EE211" s="1" t="s">
        <v>1322</v>
      </c>
      <c r="EF211" s="1" t="s">
        <v>53</v>
      </c>
      <c r="EG211" s="1" t="s">
        <v>1322</v>
      </c>
      <c r="EH211" s="1" t="s">
        <v>51</v>
      </c>
      <c r="EJ211" s="1" t="s">
        <v>55</v>
      </c>
      <c r="EL211" s="1" t="s">
        <v>57</v>
      </c>
    </row>
    <row r="212" spans="1:142" x14ac:dyDescent="0.2">
      <c r="A212" s="101">
        <v>80908355001</v>
      </c>
      <c r="B212" s="101">
        <v>80908355</v>
      </c>
      <c r="D212" s="1" t="s">
        <v>824</v>
      </c>
      <c r="E212" s="1" t="s">
        <v>44</v>
      </c>
      <c r="F212" s="1" t="s">
        <v>602</v>
      </c>
      <c r="I212" s="1">
        <v>89.37</v>
      </c>
      <c r="J212" s="1" t="s">
        <v>589</v>
      </c>
      <c r="V212" s="1" t="s">
        <v>211</v>
      </c>
      <c r="AI212" s="1" t="s">
        <v>551</v>
      </c>
      <c r="AJ212" s="1" t="s">
        <v>44</v>
      </c>
      <c r="AK212" s="1" t="s">
        <v>602</v>
      </c>
      <c r="AL212" s="1" t="s">
        <v>846</v>
      </c>
      <c r="AT212" s="1">
        <v>3.25</v>
      </c>
      <c r="AV212" s="1" t="s">
        <v>211</v>
      </c>
      <c r="AW212" s="1" t="s">
        <v>1106</v>
      </c>
      <c r="AX212" s="1">
        <v>24000000</v>
      </c>
      <c r="BA212" s="1" t="s">
        <v>69</v>
      </c>
      <c r="BB212" s="1" t="s">
        <v>560</v>
      </c>
      <c r="BG212" s="1" t="s">
        <v>556</v>
      </c>
      <c r="BY212" s="1" t="s">
        <v>556</v>
      </c>
      <c r="CR212" s="1">
        <v>-1807617.60489653</v>
      </c>
      <c r="CU212" s="1">
        <v>-7.5316999999999998</v>
      </c>
      <c r="DD212" s="2">
        <v>-30907.22</v>
      </c>
      <c r="DG212" s="1">
        <v>-1537.71</v>
      </c>
      <c r="ED212" s="1" t="s">
        <v>50</v>
      </c>
      <c r="EE212" s="1" t="s">
        <v>1323</v>
      </c>
      <c r="EF212" s="1" t="s">
        <v>53</v>
      </c>
      <c r="EG212" s="1" t="s">
        <v>1323</v>
      </c>
      <c r="EH212" s="1" t="s">
        <v>51</v>
      </c>
      <c r="EJ212" s="1" t="s">
        <v>55</v>
      </c>
      <c r="EL212" s="1" t="s">
        <v>57</v>
      </c>
    </row>
    <row r="213" spans="1:142" x14ac:dyDescent="0.2">
      <c r="A213" s="101">
        <v>80986037001</v>
      </c>
      <c r="B213" s="101">
        <v>80986037</v>
      </c>
      <c r="D213" s="1" t="s">
        <v>63</v>
      </c>
      <c r="E213" s="1" t="s">
        <v>44</v>
      </c>
      <c r="F213" s="1" t="s">
        <v>583</v>
      </c>
      <c r="AI213" s="1" t="s">
        <v>551</v>
      </c>
      <c r="AJ213" s="1" t="s">
        <v>44</v>
      </c>
      <c r="AK213" s="1" t="s">
        <v>584</v>
      </c>
      <c r="AL213" s="1" t="s">
        <v>847</v>
      </c>
      <c r="AR213" s="1" t="s">
        <v>79</v>
      </c>
      <c r="AS213" s="1" t="s">
        <v>71</v>
      </c>
      <c r="AT213" s="1">
        <v>2.9237000000000002</v>
      </c>
      <c r="AV213" s="1" t="s">
        <v>936</v>
      </c>
      <c r="AW213" s="1" t="s">
        <v>1038</v>
      </c>
      <c r="AX213" s="1">
        <v>43303388</v>
      </c>
      <c r="BA213" s="1" t="s">
        <v>69</v>
      </c>
      <c r="BB213" s="1" t="s">
        <v>574</v>
      </c>
      <c r="BC213" s="1" t="s">
        <v>456</v>
      </c>
      <c r="BD213" s="1" t="s">
        <v>555</v>
      </c>
      <c r="BG213" s="1" t="s">
        <v>558</v>
      </c>
      <c r="BH213" s="1">
        <v>16</v>
      </c>
      <c r="BI213" s="1" t="s">
        <v>431</v>
      </c>
      <c r="BJ213" s="1" t="s">
        <v>67</v>
      </c>
      <c r="BK213" s="1" t="s">
        <v>440</v>
      </c>
      <c r="BL213" s="1">
        <v>0</v>
      </c>
      <c r="BM213" s="1" t="s">
        <v>936</v>
      </c>
      <c r="BN213" s="1" t="s">
        <v>1038</v>
      </c>
      <c r="BP213" s="1">
        <v>43303388</v>
      </c>
      <c r="BR213" s="1" t="s">
        <v>69</v>
      </c>
      <c r="BS213" s="1" t="s">
        <v>1023</v>
      </c>
      <c r="BT213" s="1" t="s">
        <v>574</v>
      </c>
      <c r="BU213" s="1" t="s">
        <v>456</v>
      </c>
      <c r="BV213" s="1" t="s">
        <v>555</v>
      </c>
      <c r="BY213" s="1" t="s">
        <v>558</v>
      </c>
      <c r="BZ213" s="1">
        <v>16</v>
      </c>
      <c r="CJ213" s="1">
        <v>2.4180000000000001</v>
      </c>
      <c r="CK213" s="1">
        <v>2.4155000000000002</v>
      </c>
      <c r="CL213" s="1">
        <v>2.4205000000000001</v>
      </c>
      <c r="CR213" s="1">
        <v>-7756.2329321876005</v>
      </c>
      <c r="CS213" s="1">
        <v>-8302.92</v>
      </c>
      <c r="CT213" s="1">
        <v>-7209.55</v>
      </c>
      <c r="CU213" s="1">
        <v>-1.7899999999999999E-2</v>
      </c>
      <c r="CZ213" s="1">
        <v>-7756.23</v>
      </c>
      <c r="DA213" s="1">
        <v>-7756.23</v>
      </c>
      <c r="DB213" s="1">
        <v>-9093.0300000000007</v>
      </c>
      <c r="DC213" s="1">
        <v>1336.8</v>
      </c>
      <c r="DD213" s="2">
        <v>182.73</v>
      </c>
      <c r="DG213" s="1">
        <v>-2.2599999999999998</v>
      </c>
      <c r="DL213" s="1">
        <v>-43896234.939999998</v>
      </c>
      <c r="DM213" s="1">
        <v>-43312440.07</v>
      </c>
      <c r="DN213" s="1">
        <v>-583794.87</v>
      </c>
      <c r="DO213" s="1">
        <v>2.9237000000000002</v>
      </c>
      <c r="DP213" s="1" t="s">
        <v>1119</v>
      </c>
      <c r="DQ213" s="1" t="s">
        <v>1119</v>
      </c>
      <c r="DS213" s="1">
        <v>43888478.700000003</v>
      </c>
      <c r="DT213" s="1">
        <v>43303347.039999999</v>
      </c>
      <c r="DU213" s="1">
        <v>585131.66</v>
      </c>
      <c r="DV213" s="1">
        <v>2.8882300000000001</v>
      </c>
      <c r="DW213" s="1" t="s">
        <v>1119</v>
      </c>
      <c r="DX213" s="1" t="s">
        <v>1119</v>
      </c>
      <c r="DY213" s="1" t="s">
        <v>847</v>
      </c>
      <c r="DZ213" s="1">
        <v>-9965</v>
      </c>
      <c r="EA213" s="1">
        <v>-5547</v>
      </c>
      <c r="ED213" s="1" t="s">
        <v>50</v>
      </c>
      <c r="EE213" s="1" t="s">
        <v>1325</v>
      </c>
      <c r="EF213" s="1" t="s">
        <v>53</v>
      </c>
      <c r="EG213" s="1" t="s">
        <v>1325</v>
      </c>
      <c r="EH213" s="1" t="s">
        <v>51</v>
      </c>
      <c r="EJ213" s="1" t="s">
        <v>55</v>
      </c>
      <c r="EL213" s="1" t="s">
        <v>57</v>
      </c>
    </row>
    <row r="214" spans="1:142" x14ac:dyDescent="0.2">
      <c r="A214" s="101">
        <v>81122055001</v>
      </c>
      <c r="B214" s="101">
        <v>81122055</v>
      </c>
      <c r="D214" s="1" t="s">
        <v>63</v>
      </c>
      <c r="E214" s="1" t="s">
        <v>44</v>
      </c>
      <c r="F214" s="1" t="s">
        <v>583</v>
      </c>
      <c r="AI214" s="1" t="s">
        <v>551</v>
      </c>
      <c r="AJ214" s="1" t="s">
        <v>44</v>
      </c>
      <c r="AK214" s="1" t="s">
        <v>584</v>
      </c>
      <c r="AL214" s="1" t="s">
        <v>935</v>
      </c>
      <c r="AR214" s="1" t="s">
        <v>79</v>
      </c>
      <c r="AS214" s="1" t="s">
        <v>71</v>
      </c>
      <c r="AT214" s="1">
        <v>2.2627000000000002</v>
      </c>
      <c r="AV214" s="1" t="s">
        <v>844</v>
      </c>
      <c r="AW214" s="1" t="s">
        <v>1328</v>
      </c>
      <c r="AX214" s="1">
        <v>9654000</v>
      </c>
      <c r="BA214" s="1" t="s">
        <v>69</v>
      </c>
      <c r="BB214" s="1" t="s">
        <v>574</v>
      </c>
      <c r="BC214" s="1" t="s">
        <v>456</v>
      </c>
      <c r="BD214" s="1" t="s">
        <v>555</v>
      </c>
      <c r="BG214" s="1" t="s">
        <v>558</v>
      </c>
      <c r="BH214" s="1">
        <v>13</v>
      </c>
      <c r="BI214" s="1" t="s">
        <v>431</v>
      </c>
      <c r="BJ214" s="1" t="s">
        <v>67</v>
      </c>
      <c r="BK214" s="1" t="s">
        <v>440</v>
      </c>
      <c r="BL214" s="1">
        <v>0</v>
      </c>
      <c r="BM214" s="1" t="s">
        <v>844</v>
      </c>
      <c r="BN214" s="1" t="s">
        <v>1328</v>
      </c>
      <c r="BP214" s="1">
        <v>9654000</v>
      </c>
      <c r="BR214" s="1" t="s">
        <v>69</v>
      </c>
      <c r="BS214" s="1" t="s">
        <v>69</v>
      </c>
      <c r="BT214" s="1" t="s">
        <v>574</v>
      </c>
      <c r="BU214" s="1" t="s">
        <v>456</v>
      </c>
      <c r="BV214" s="1" t="s">
        <v>555</v>
      </c>
      <c r="BY214" s="1" t="s">
        <v>558</v>
      </c>
      <c r="BZ214" s="1">
        <v>13</v>
      </c>
      <c r="CJ214" s="1">
        <v>1.97007</v>
      </c>
      <c r="CK214" s="1">
        <v>1.96757</v>
      </c>
      <c r="CL214" s="1">
        <v>1.9725699999999999</v>
      </c>
      <c r="CR214" s="1">
        <v>-5738.2254687585</v>
      </c>
      <c r="CS214" s="1">
        <v>-6155.94</v>
      </c>
      <c r="CT214" s="1">
        <v>-5320.51</v>
      </c>
      <c r="CU214" s="1">
        <v>-5.9400000000000001E-2</v>
      </c>
      <c r="CZ214" s="1">
        <v>-5738.23</v>
      </c>
      <c r="DA214" s="1">
        <v>-5738.23</v>
      </c>
      <c r="DB214" s="1">
        <v>-35140.080000000002</v>
      </c>
      <c r="DC214" s="1">
        <v>29401.86</v>
      </c>
      <c r="DD214" s="2">
        <v>1235.58</v>
      </c>
      <c r="DG214" s="1">
        <v>154.65</v>
      </c>
      <c r="DL214" s="1">
        <v>-9789239.0199999996</v>
      </c>
      <c r="DM214" s="1">
        <v>-9689120.1999999993</v>
      </c>
      <c r="DN214" s="1">
        <v>-100118.82</v>
      </c>
      <c r="DO214" s="1">
        <v>2.2627000000000002</v>
      </c>
      <c r="DP214" s="1" t="s">
        <v>1160</v>
      </c>
      <c r="DQ214" s="1" t="s">
        <v>1329</v>
      </c>
      <c r="DS214" s="1">
        <v>9783500.8000000007</v>
      </c>
      <c r="DT214" s="1">
        <v>9653980.1199999992</v>
      </c>
      <c r="DU214" s="1">
        <v>129520.67</v>
      </c>
      <c r="DV214" s="1">
        <v>2.6669</v>
      </c>
      <c r="DW214" s="1" t="s">
        <v>1160</v>
      </c>
      <c r="DX214" s="1" t="s">
        <v>1329</v>
      </c>
      <c r="DY214" s="1" t="s">
        <v>1330</v>
      </c>
      <c r="DZ214" s="1">
        <v>-17909</v>
      </c>
      <c r="EA214" s="1">
        <v>6433</v>
      </c>
      <c r="ED214" s="1" t="s">
        <v>50</v>
      </c>
      <c r="EE214" s="1" t="s">
        <v>1331</v>
      </c>
      <c r="EF214" s="1" t="s">
        <v>53</v>
      </c>
      <c r="EG214" s="1" t="s">
        <v>1331</v>
      </c>
      <c r="EH214" s="1" t="s">
        <v>51</v>
      </c>
      <c r="EJ214" s="1" t="s">
        <v>55</v>
      </c>
      <c r="EL214" s="1" t="s">
        <v>57</v>
      </c>
    </row>
    <row r="215" spans="1:142" x14ac:dyDescent="0.2">
      <c r="A215" s="101">
        <v>81183510001</v>
      </c>
      <c r="B215" s="101">
        <v>81183510</v>
      </c>
      <c r="D215" s="1" t="s">
        <v>43</v>
      </c>
      <c r="E215" s="1" t="s">
        <v>44</v>
      </c>
      <c r="F215" s="1" t="s">
        <v>583</v>
      </c>
      <c r="AI215" s="1" t="s">
        <v>551</v>
      </c>
      <c r="AJ215" s="1" t="s">
        <v>44</v>
      </c>
      <c r="AK215" s="1" t="s">
        <v>584</v>
      </c>
      <c r="AL215" s="1" t="s">
        <v>936</v>
      </c>
      <c r="AR215" s="1" t="s">
        <v>79</v>
      </c>
      <c r="AS215" s="1" t="s">
        <v>71</v>
      </c>
      <c r="AT215" s="1">
        <v>2.4872000000000001</v>
      </c>
      <c r="AV215" s="1" t="s">
        <v>591</v>
      </c>
      <c r="AW215" s="1" t="s">
        <v>1336</v>
      </c>
      <c r="AX215" s="1">
        <v>34021338</v>
      </c>
      <c r="BA215" s="1" t="s">
        <v>69</v>
      </c>
      <c r="BB215" s="1" t="s">
        <v>574</v>
      </c>
      <c r="BC215" s="1" t="s">
        <v>456</v>
      </c>
      <c r="BD215" s="1" t="s">
        <v>555</v>
      </c>
      <c r="BG215" s="1" t="s">
        <v>558</v>
      </c>
      <c r="BH215" s="1">
        <v>17</v>
      </c>
      <c r="BI215" s="1" t="s">
        <v>431</v>
      </c>
      <c r="BJ215" s="1" t="s">
        <v>67</v>
      </c>
      <c r="BK215" s="1" t="s">
        <v>440</v>
      </c>
      <c r="BL215" s="1">
        <v>0</v>
      </c>
      <c r="BM215" s="1" t="s">
        <v>591</v>
      </c>
      <c r="BN215" s="1" t="s">
        <v>1336</v>
      </c>
      <c r="BP215" s="1">
        <v>34021338</v>
      </c>
      <c r="BR215" s="1" t="s">
        <v>69</v>
      </c>
      <c r="BS215" s="1" t="s">
        <v>1023</v>
      </c>
      <c r="BT215" s="1" t="s">
        <v>574</v>
      </c>
      <c r="BU215" s="1" t="s">
        <v>456</v>
      </c>
      <c r="BV215" s="1" t="s">
        <v>555</v>
      </c>
      <c r="BY215" s="1" t="s">
        <v>558</v>
      </c>
      <c r="BZ215" s="1">
        <v>17</v>
      </c>
      <c r="CJ215" s="1">
        <v>2.1163099999999999</v>
      </c>
      <c r="CK215" s="1">
        <v>2.11381</v>
      </c>
      <c r="CL215" s="1">
        <v>2.1188099999999999</v>
      </c>
      <c r="CR215" s="1">
        <v>3501.4134736061001</v>
      </c>
      <c r="CS215" s="1">
        <v>2651.57</v>
      </c>
      <c r="CT215" s="1">
        <v>4351.25</v>
      </c>
      <c r="CU215" s="1">
        <v>1.03E-2</v>
      </c>
      <c r="CZ215" s="1">
        <v>3501.41</v>
      </c>
      <c r="DA215" s="1">
        <v>3501.41</v>
      </c>
      <c r="DB215" s="1">
        <v>-64186.35</v>
      </c>
      <c r="DC215" s="1">
        <v>67687.759999999995</v>
      </c>
      <c r="DD215" s="2">
        <v>1883.26</v>
      </c>
      <c r="DG215" s="1">
        <v>486.93</v>
      </c>
      <c r="DL215" s="1">
        <v>-34470872.210000001</v>
      </c>
      <c r="DM215" s="1">
        <v>-34085390.789999999</v>
      </c>
      <c r="DN215" s="1">
        <v>-385481.42</v>
      </c>
      <c r="DO215" s="1">
        <v>2.4872000000000001</v>
      </c>
      <c r="DP215" s="1" t="s">
        <v>841</v>
      </c>
      <c r="DQ215" s="1" t="s">
        <v>841</v>
      </c>
      <c r="DS215" s="1">
        <v>34474373.619999997</v>
      </c>
      <c r="DT215" s="1">
        <v>34021204.439999998</v>
      </c>
      <c r="DU215" s="1">
        <v>453169.18</v>
      </c>
      <c r="DV215" s="1">
        <v>2.4975000000000001</v>
      </c>
      <c r="DW215" s="1" t="s">
        <v>841</v>
      </c>
      <c r="DX215" s="1" t="s">
        <v>841</v>
      </c>
      <c r="DY215" s="1" t="s">
        <v>936</v>
      </c>
      <c r="DZ215" s="1">
        <v>-16426</v>
      </c>
      <c r="EA215" s="1">
        <v>23429</v>
      </c>
      <c r="ED215" s="1" t="s">
        <v>50</v>
      </c>
      <c r="EE215" s="1" t="s">
        <v>1337</v>
      </c>
      <c r="EF215" s="1" t="s">
        <v>53</v>
      </c>
      <c r="EG215" s="1" t="s">
        <v>1337</v>
      </c>
      <c r="EH215" s="1" t="s">
        <v>51</v>
      </c>
      <c r="EJ215" s="1" t="s">
        <v>55</v>
      </c>
      <c r="EL215" s="1" t="s">
        <v>57</v>
      </c>
    </row>
    <row r="216" spans="1:142" x14ac:dyDescent="0.2">
      <c r="A216" s="101">
        <v>81439135001</v>
      </c>
      <c r="B216" s="101">
        <v>81439135</v>
      </c>
      <c r="D216" s="1" t="s">
        <v>75</v>
      </c>
      <c r="E216" s="1" t="s">
        <v>44</v>
      </c>
      <c r="F216" s="1" t="s">
        <v>602</v>
      </c>
      <c r="I216" s="1">
        <v>89.959000000000003</v>
      </c>
      <c r="J216" s="1" t="s">
        <v>589</v>
      </c>
      <c r="V216" s="1" t="s">
        <v>1340</v>
      </c>
      <c r="AI216" s="1" t="s">
        <v>551</v>
      </c>
      <c r="AJ216" s="1" t="s">
        <v>44</v>
      </c>
      <c r="AK216" s="1" t="s">
        <v>602</v>
      </c>
      <c r="AL216" s="1" t="s">
        <v>700</v>
      </c>
      <c r="AT216" s="1">
        <v>3.25</v>
      </c>
      <c r="AV216" s="1" t="s">
        <v>1340</v>
      </c>
      <c r="AW216" s="1" t="s">
        <v>1106</v>
      </c>
      <c r="AX216" s="1">
        <v>16500000</v>
      </c>
      <c r="BA216" s="1" t="s">
        <v>69</v>
      </c>
      <c r="BB216" s="1" t="s">
        <v>560</v>
      </c>
      <c r="BG216" s="1" t="s">
        <v>556</v>
      </c>
      <c r="BY216" s="1" t="s">
        <v>556</v>
      </c>
      <c r="CR216" s="1">
        <v>-1261720.1290251501</v>
      </c>
      <c r="CU216" s="1">
        <v>-7.6467999999999998</v>
      </c>
      <c r="DD216" s="2">
        <v>-21821.4</v>
      </c>
      <c r="DG216" s="1">
        <v>-1020.21</v>
      </c>
      <c r="ED216" s="1" t="s">
        <v>50</v>
      </c>
      <c r="EE216" s="1" t="s">
        <v>1341</v>
      </c>
      <c r="EF216" s="1" t="s">
        <v>53</v>
      </c>
      <c r="EG216" s="1" t="s">
        <v>1341</v>
      </c>
      <c r="EH216" s="1" t="s">
        <v>51</v>
      </c>
      <c r="EJ216" s="1" t="s">
        <v>55</v>
      </c>
      <c r="EL216" s="1" t="s">
        <v>57</v>
      </c>
    </row>
    <row r="217" spans="1:142" x14ac:dyDescent="0.2">
      <c r="A217" s="101">
        <v>81439252001</v>
      </c>
      <c r="B217" s="101">
        <v>81439252</v>
      </c>
      <c r="D217" s="1" t="s">
        <v>77</v>
      </c>
      <c r="E217" s="1" t="s">
        <v>44</v>
      </c>
      <c r="F217" s="1" t="s">
        <v>583</v>
      </c>
      <c r="AI217" s="1" t="s">
        <v>551</v>
      </c>
      <c r="AJ217" s="1" t="s">
        <v>44</v>
      </c>
      <c r="AK217" s="1" t="s">
        <v>584</v>
      </c>
      <c r="AL217" s="1" t="s">
        <v>700</v>
      </c>
      <c r="AR217" s="1" t="s">
        <v>79</v>
      </c>
      <c r="AS217" s="1" t="s">
        <v>71</v>
      </c>
      <c r="AT217" s="1">
        <v>2.7847</v>
      </c>
      <c r="AV217" s="1" t="s">
        <v>1014</v>
      </c>
      <c r="AW217" s="1" t="s">
        <v>1013</v>
      </c>
      <c r="AX217" s="1">
        <v>39395218</v>
      </c>
      <c r="BA217" s="1" t="s">
        <v>69</v>
      </c>
      <c r="BB217" s="1" t="s">
        <v>574</v>
      </c>
      <c r="BC217" s="1" t="s">
        <v>456</v>
      </c>
      <c r="BD217" s="1" t="s">
        <v>555</v>
      </c>
      <c r="BG217" s="1" t="s">
        <v>558</v>
      </c>
      <c r="BH217" s="1">
        <v>24</v>
      </c>
      <c r="BI217" s="1" t="s">
        <v>431</v>
      </c>
      <c r="BJ217" s="1" t="s">
        <v>67</v>
      </c>
      <c r="BK217" s="1" t="s">
        <v>440</v>
      </c>
      <c r="BL217" s="1">
        <v>0</v>
      </c>
      <c r="BM217" s="1" t="s">
        <v>1014</v>
      </c>
      <c r="BN217" s="1" t="s">
        <v>1013</v>
      </c>
      <c r="BP217" s="1">
        <v>39395218</v>
      </c>
      <c r="BR217" s="1" t="s">
        <v>69</v>
      </c>
      <c r="BS217" s="1" t="s">
        <v>1023</v>
      </c>
      <c r="BT217" s="1" t="s">
        <v>574</v>
      </c>
      <c r="BU217" s="1" t="s">
        <v>456</v>
      </c>
      <c r="BV217" s="1" t="s">
        <v>555</v>
      </c>
      <c r="BY217" s="1" t="s">
        <v>558</v>
      </c>
      <c r="BZ217" s="1">
        <v>24</v>
      </c>
      <c r="CJ217" s="1">
        <v>2.41506</v>
      </c>
      <c r="CK217" s="1">
        <v>2.41256</v>
      </c>
      <c r="CL217" s="1">
        <v>2.4175599999999999</v>
      </c>
      <c r="CR217" s="1">
        <v>12392.540605403499</v>
      </c>
      <c r="CS217" s="1">
        <v>11892.73</v>
      </c>
      <c r="CT217" s="1">
        <v>12892.35</v>
      </c>
      <c r="CU217" s="1">
        <v>3.15E-2</v>
      </c>
      <c r="CZ217" s="1">
        <v>12392.54</v>
      </c>
      <c r="DA217" s="1">
        <v>12392.54</v>
      </c>
      <c r="DB217" s="1">
        <v>-8903.2000000000007</v>
      </c>
      <c r="DC217" s="1">
        <v>21295.74</v>
      </c>
      <c r="DD217" s="2">
        <v>254.46</v>
      </c>
      <c r="DG217" s="1">
        <v>73.650000000000006</v>
      </c>
      <c r="DL217" s="1">
        <v>-39888611.659999996</v>
      </c>
      <c r="DM217" s="1">
        <v>-39404086.259999998</v>
      </c>
      <c r="DN217" s="1">
        <v>-484525.4</v>
      </c>
      <c r="DO217" s="1">
        <v>2.7847</v>
      </c>
      <c r="DP217" s="1" t="s">
        <v>739</v>
      </c>
      <c r="DQ217" s="1" t="s">
        <v>739</v>
      </c>
      <c r="DS217" s="1">
        <v>39901004.200000003</v>
      </c>
      <c r="DT217" s="1">
        <v>39395183.060000002</v>
      </c>
      <c r="DU217" s="1">
        <v>505821.14</v>
      </c>
      <c r="DV217" s="1">
        <v>2.8466900000000002</v>
      </c>
      <c r="DW217" s="1" t="s">
        <v>739</v>
      </c>
      <c r="DX217" s="1" t="s">
        <v>739</v>
      </c>
      <c r="DY217" s="1" t="s">
        <v>700</v>
      </c>
      <c r="DZ217" s="1">
        <v>9320</v>
      </c>
      <c r="EA217" s="1">
        <v>15465</v>
      </c>
      <c r="ED217" s="1" t="s">
        <v>50</v>
      </c>
      <c r="EE217" s="1" t="s">
        <v>1324</v>
      </c>
      <c r="EF217" s="1" t="s">
        <v>53</v>
      </c>
      <c r="EG217" s="1" t="s">
        <v>1324</v>
      </c>
      <c r="EH217" s="1" t="s">
        <v>51</v>
      </c>
      <c r="EJ217" s="1" t="s">
        <v>55</v>
      </c>
      <c r="EL217" s="1" t="s">
        <v>57</v>
      </c>
    </row>
    <row r="218" spans="1:142" x14ac:dyDescent="0.2">
      <c r="A218" s="101">
        <v>81443854001</v>
      </c>
      <c r="B218" s="101">
        <v>81443854</v>
      </c>
      <c r="D218" s="1" t="s">
        <v>43</v>
      </c>
      <c r="E218" s="1" t="s">
        <v>44</v>
      </c>
      <c r="F218" s="1" t="s">
        <v>602</v>
      </c>
      <c r="I218" s="1">
        <v>90.92</v>
      </c>
      <c r="J218" s="1" t="s">
        <v>589</v>
      </c>
      <c r="V218" s="1" t="s">
        <v>603</v>
      </c>
      <c r="AI218" s="1" t="s">
        <v>551</v>
      </c>
      <c r="AJ218" s="1" t="s">
        <v>44</v>
      </c>
      <c r="AK218" s="1" t="s">
        <v>602</v>
      </c>
      <c r="AL218" s="1" t="s">
        <v>955</v>
      </c>
      <c r="AT218" s="1">
        <v>3.25</v>
      </c>
      <c r="AV218" s="1" t="s">
        <v>603</v>
      </c>
      <c r="AW218" s="1" t="s">
        <v>1106</v>
      </c>
      <c r="AX218" s="1">
        <v>21000000</v>
      </c>
      <c r="BA218" s="1" t="s">
        <v>69</v>
      </c>
      <c r="BB218" s="1" t="s">
        <v>560</v>
      </c>
      <c r="BG218" s="1" t="s">
        <v>556</v>
      </c>
      <c r="BY218" s="1" t="s">
        <v>556</v>
      </c>
      <c r="CR218" s="1">
        <v>-1399883.3818076199</v>
      </c>
      <c r="CU218" s="1">
        <v>-6.6661000000000001</v>
      </c>
      <c r="DD218" s="2">
        <v>-30609.040000000001</v>
      </c>
      <c r="DG218" s="1">
        <v>-1045.3699999999999</v>
      </c>
      <c r="ED218" s="1" t="s">
        <v>50</v>
      </c>
      <c r="EE218" s="1" t="s">
        <v>1326</v>
      </c>
      <c r="EF218" s="1" t="s">
        <v>53</v>
      </c>
      <c r="EG218" s="1" t="s">
        <v>1326</v>
      </c>
      <c r="EH218" s="1" t="s">
        <v>51</v>
      </c>
      <c r="EJ218" s="1" t="s">
        <v>55</v>
      </c>
      <c r="EL218" s="1" t="s">
        <v>57</v>
      </c>
    </row>
    <row r="219" spans="1:142" x14ac:dyDescent="0.2">
      <c r="A219" s="101">
        <v>83824335001</v>
      </c>
      <c r="B219" s="101">
        <v>83824335</v>
      </c>
      <c r="D219" s="1" t="s">
        <v>75</v>
      </c>
      <c r="E219" s="1" t="s">
        <v>44</v>
      </c>
      <c r="F219" s="1" t="s">
        <v>602</v>
      </c>
      <c r="I219" s="1">
        <v>89.8</v>
      </c>
      <c r="J219" s="1" t="s">
        <v>589</v>
      </c>
      <c r="V219" s="1" t="s">
        <v>608</v>
      </c>
      <c r="AI219" s="1" t="s">
        <v>551</v>
      </c>
      <c r="AJ219" s="1" t="s">
        <v>44</v>
      </c>
      <c r="AK219" s="1" t="s">
        <v>602</v>
      </c>
      <c r="AL219" s="1" t="s">
        <v>853</v>
      </c>
      <c r="AT219" s="1">
        <v>3.25</v>
      </c>
      <c r="AV219" s="1" t="s">
        <v>608</v>
      </c>
      <c r="AW219" s="1" t="s">
        <v>1106</v>
      </c>
      <c r="AX219" s="1">
        <v>20000000</v>
      </c>
      <c r="BA219" s="1" t="s">
        <v>69</v>
      </c>
      <c r="BB219" s="1" t="s">
        <v>560</v>
      </c>
      <c r="BG219" s="1" t="s">
        <v>556</v>
      </c>
      <c r="BY219" s="1" t="s">
        <v>556</v>
      </c>
      <c r="CR219" s="1">
        <v>-964010.91550750297</v>
      </c>
      <c r="CU219" s="1">
        <v>-4.8201000000000001</v>
      </c>
      <c r="DD219" s="2">
        <v>-30074.57</v>
      </c>
      <c r="DG219" s="1">
        <v>-1014.62</v>
      </c>
      <c r="ED219" s="1" t="s">
        <v>50</v>
      </c>
      <c r="EE219" s="1" t="s">
        <v>1351</v>
      </c>
      <c r="EF219" s="1" t="s">
        <v>53</v>
      </c>
      <c r="EG219" s="1" t="s">
        <v>1351</v>
      </c>
      <c r="EH219" s="1" t="s">
        <v>51</v>
      </c>
      <c r="EJ219" s="1" t="s">
        <v>55</v>
      </c>
      <c r="EL219" s="1" t="s">
        <v>57</v>
      </c>
    </row>
    <row r="220" spans="1:142" x14ac:dyDescent="0.2">
      <c r="A220" s="101">
        <v>81443857001</v>
      </c>
      <c r="B220" s="101">
        <v>81443857</v>
      </c>
      <c r="D220" s="1" t="s">
        <v>43</v>
      </c>
      <c r="E220" s="1" t="s">
        <v>44</v>
      </c>
      <c r="F220" s="1" t="s">
        <v>602</v>
      </c>
      <c r="I220" s="1">
        <v>87.895660000000007</v>
      </c>
      <c r="J220" s="1" t="s">
        <v>589</v>
      </c>
      <c r="V220" s="1" t="s">
        <v>176</v>
      </c>
      <c r="AI220" s="1" t="s">
        <v>551</v>
      </c>
      <c r="AJ220" s="1" t="s">
        <v>44</v>
      </c>
      <c r="AK220" s="1" t="s">
        <v>602</v>
      </c>
      <c r="AL220" s="1" t="s">
        <v>955</v>
      </c>
      <c r="AT220" s="1">
        <v>3.25</v>
      </c>
      <c r="AV220" s="1" t="s">
        <v>176</v>
      </c>
      <c r="AW220" s="1" t="s">
        <v>1106</v>
      </c>
      <c r="AX220" s="1">
        <v>16000000</v>
      </c>
      <c r="BA220" s="1" t="s">
        <v>69</v>
      </c>
      <c r="BB220" s="1" t="s">
        <v>560</v>
      </c>
      <c r="BG220" s="1" t="s">
        <v>556</v>
      </c>
      <c r="BY220" s="1" t="s">
        <v>556</v>
      </c>
      <c r="CR220" s="1">
        <v>-1135768.4791439599</v>
      </c>
      <c r="CU220" s="1">
        <v>-7.0986000000000002</v>
      </c>
      <c r="DD220" s="2">
        <v>-19190.3</v>
      </c>
      <c r="DG220" s="1">
        <v>-1103.29</v>
      </c>
      <c r="ED220" s="1" t="s">
        <v>50</v>
      </c>
      <c r="EE220" s="1" t="s">
        <v>1327</v>
      </c>
      <c r="EF220" s="1" t="s">
        <v>53</v>
      </c>
      <c r="EG220" s="1" t="s">
        <v>1327</v>
      </c>
      <c r="EH220" s="1" t="s">
        <v>51</v>
      </c>
      <c r="EJ220" s="1" t="s">
        <v>55</v>
      </c>
      <c r="EL220" s="1" t="s">
        <v>57</v>
      </c>
    </row>
    <row r="221" spans="1:142" x14ac:dyDescent="0.2">
      <c r="A221" s="101">
        <v>83830836001</v>
      </c>
      <c r="B221" s="101">
        <v>83830836</v>
      </c>
      <c r="D221" s="1" t="s">
        <v>43</v>
      </c>
      <c r="E221" s="1" t="s">
        <v>44</v>
      </c>
      <c r="F221" s="1" t="s">
        <v>602</v>
      </c>
      <c r="I221" s="1">
        <v>86.75</v>
      </c>
      <c r="J221" s="1" t="s">
        <v>589</v>
      </c>
      <c r="V221" s="1" t="s">
        <v>211</v>
      </c>
      <c r="AI221" s="1" t="s">
        <v>551</v>
      </c>
      <c r="AJ221" s="1" t="s">
        <v>44</v>
      </c>
      <c r="AK221" s="1" t="s">
        <v>602</v>
      </c>
      <c r="AL221" s="1" t="s">
        <v>853</v>
      </c>
      <c r="AT221" s="1">
        <v>3.25</v>
      </c>
      <c r="AV221" s="1" t="s">
        <v>211</v>
      </c>
      <c r="AW221" s="1" t="s">
        <v>1106</v>
      </c>
      <c r="AX221" s="1">
        <v>22000000</v>
      </c>
      <c r="BA221" s="1" t="s">
        <v>69</v>
      </c>
      <c r="BB221" s="1" t="s">
        <v>560</v>
      </c>
      <c r="BG221" s="1" t="s">
        <v>556</v>
      </c>
      <c r="BY221" s="1" t="s">
        <v>556</v>
      </c>
      <c r="CR221" s="1">
        <v>-1114750.48902979</v>
      </c>
      <c r="CU221" s="1">
        <v>-5.0670000000000002</v>
      </c>
      <c r="DD221" s="2">
        <v>-28492.97</v>
      </c>
      <c r="DG221" s="1">
        <v>-1375.21</v>
      </c>
      <c r="ED221" s="1" t="s">
        <v>50</v>
      </c>
      <c r="EE221" s="1" t="s">
        <v>1352</v>
      </c>
      <c r="EF221" s="1" t="s">
        <v>53</v>
      </c>
      <c r="EG221" s="1" t="s">
        <v>1352</v>
      </c>
      <c r="EH221" s="1" t="s">
        <v>51</v>
      </c>
      <c r="EJ221" s="1" t="s">
        <v>55</v>
      </c>
      <c r="EL221" s="1" t="s">
        <v>57</v>
      </c>
    </row>
    <row r="222" spans="1:142" x14ac:dyDescent="0.2">
      <c r="A222" s="101">
        <v>81514521001</v>
      </c>
      <c r="B222" s="101">
        <v>81514521</v>
      </c>
      <c r="D222" s="1" t="s">
        <v>43</v>
      </c>
      <c r="E222" s="1" t="s">
        <v>44</v>
      </c>
      <c r="F222" s="1" t="s">
        <v>583</v>
      </c>
      <c r="AI222" s="1" t="s">
        <v>551</v>
      </c>
      <c r="AJ222" s="1" t="s">
        <v>44</v>
      </c>
      <c r="AK222" s="1" t="s">
        <v>584</v>
      </c>
      <c r="AL222" s="1" t="s">
        <v>955</v>
      </c>
      <c r="AR222" s="1" t="s">
        <v>79</v>
      </c>
      <c r="AS222" s="1" t="s">
        <v>71</v>
      </c>
      <c r="AT222" s="1">
        <v>2.2187000000000001</v>
      </c>
      <c r="AV222" s="1" t="s">
        <v>699</v>
      </c>
      <c r="AW222" s="1" t="s">
        <v>1332</v>
      </c>
      <c r="AX222" s="1">
        <v>4918500</v>
      </c>
      <c r="BA222" s="1" t="s">
        <v>69</v>
      </c>
      <c r="BB222" s="1" t="s">
        <v>574</v>
      </c>
      <c r="BC222" s="1" t="s">
        <v>456</v>
      </c>
      <c r="BD222" s="1" t="s">
        <v>555</v>
      </c>
      <c r="BG222" s="1" t="s">
        <v>558</v>
      </c>
      <c r="BH222" s="1">
        <v>15</v>
      </c>
      <c r="BI222" s="1" t="s">
        <v>431</v>
      </c>
      <c r="BJ222" s="1" t="s">
        <v>67</v>
      </c>
      <c r="BK222" s="1" t="s">
        <v>440</v>
      </c>
      <c r="BL222" s="1">
        <v>0</v>
      </c>
      <c r="BM222" s="1" t="s">
        <v>699</v>
      </c>
      <c r="BN222" s="1" t="s">
        <v>1332</v>
      </c>
      <c r="BP222" s="1">
        <v>4918500</v>
      </c>
      <c r="BR222" s="1" t="s">
        <v>69</v>
      </c>
      <c r="BS222" s="1" t="s">
        <v>69</v>
      </c>
      <c r="BT222" s="1" t="s">
        <v>574</v>
      </c>
      <c r="BU222" s="1" t="s">
        <v>456</v>
      </c>
      <c r="BV222" s="1" t="s">
        <v>555</v>
      </c>
      <c r="BY222" s="1" t="s">
        <v>558</v>
      </c>
      <c r="BZ222" s="1">
        <v>15</v>
      </c>
      <c r="CJ222" s="1">
        <v>2.0022199999999999</v>
      </c>
      <c r="CK222" s="1">
        <v>1.9997199999999999</v>
      </c>
      <c r="CL222" s="1">
        <v>2.0047199999999998</v>
      </c>
      <c r="CR222" s="1">
        <v>3965.8096232684002</v>
      </c>
      <c r="CS222" s="1">
        <v>3784.7</v>
      </c>
      <c r="CT222" s="1">
        <v>4146.92</v>
      </c>
      <c r="CU222" s="1">
        <v>8.0600000000000005E-2</v>
      </c>
      <c r="CZ222" s="1">
        <v>3965.81</v>
      </c>
      <c r="DA222" s="1">
        <v>3965.81</v>
      </c>
      <c r="DB222" s="1">
        <v>-10853.46</v>
      </c>
      <c r="DC222" s="1">
        <v>14819.27</v>
      </c>
      <c r="DD222" s="2">
        <v>508.12</v>
      </c>
      <c r="DG222" s="1">
        <v>82.3</v>
      </c>
      <c r="DL222" s="1">
        <v>-4977238.71</v>
      </c>
      <c r="DM222" s="1">
        <v>-4929344.1900000004</v>
      </c>
      <c r="DN222" s="1">
        <v>-47894.52</v>
      </c>
      <c r="DO222" s="1">
        <v>2.2187000000000001</v>
      </c>
      <c r="DP222" s="1" t="s">
        <v>1038</v>
      </c>
      <c r="DQ222" s="1" t="s">
        <v>1333</v>
      </c>
      <c r="DS222" s="1">
        <v>4981204.5199999996</v>
      </c>
      <c r="DT222" s="1">
        <v>4918490.7300000004</v>
      </c>
      <c r="DU222" s="1">
        <v>62713.79</v>
      </c>
      <c r="DV222" s="1">
        <v>2.8656299999999999</v>
      </c>
      <c r="DW222" s="1" t="s">
        <v>1038</v>
      </c>
      <c r="DX222" s="1" t="s">
        <v>1333</v>
      </c>
      <c r="DY222" s="1" t="s">
        <v>1334</v>
      </c>
      <c r="DZ222" s="1">
        <v>-1121</v>
      </c>
      <c r="EA222" s="1">
        <v>9053</v>
      </c>
      <c r="ED222" s="1" t="s">
        <v>50</v>
      </c>
      <c r="EE222" s="1" t="s">
        <v>1335</v>
      </c>
      <c r="EF222" s="1" t="s">
        <v>53</v>
      </c>
      <c r="EG222" s="1" t="s">
        <v>1335</v>
      </c>
      <c r="EH222" s="1" t="s">
        <v>51</v>
      </c>
      <c r="EJ222" s="1" t="s">
        <v>55</v>
      </c>
      <c r="EL222" s="1" t="s">
        <v>57</v>
      </c>
    </row>
    <row r="223" spans="1:142" x14ac:dyDescent="0.2">
      <c r="A223" s="101">
        <v>83830912001</v>
      </c>
      <c r="B223" s="101">
        <v>83830912</v>
      </c>
      <c r="D223" s="1" t="s">
        <v>43</v>
      </c>
      <c r="E223" s="1" t="s">
        <v>44</v>
      </c>
      <c r="F223" s="1" t="s">
        <v>602</v>
      </c>
      <c r="I223" s="1">
        <v>85.67</v>
      </c>
      <c r="J223" s="1" t="s">
        <v>589</v>
      </c>
      <c r="V223" s="1" t="s">
        <v>176</v>
      </c>
      <c r="AI223" s="1" t="s">
        <v>551</v>
      </c>
      <c r="AJ223" s="1" t="s">
        <v>44</v>
      </c>
      <c r="AK223" s="1" t="s">
        <v>602</v>
      </c>
      <c r="AL223" s="1" t="s">
        <v>853</v>
      </c>
      <c r="AT223" s="1">
        <v>3.25</v>
      </c>
      <c r="AV223" s="1" t="s">
        <v>176</v>
      </c>
      <c r="AW223" s="1" t="s">
        <v>1106</v>
      </c>
      <c r="AX223" s="1">
        <v>12000000</v>
      </c>
      <c r="BA223" s="1" t="s">
        <v>69</v>
      </c>
      <c r="BB223" s="1" t="s">
        <v>560</v>
      </c>
      <c r="BG223" s="1" t="s">
        <v>556</v>
      </c>
      <c r="BY223" s="1" t="s">
        <v>556</v>
      </c>
      <c r="CR223" s="1">
        <v>-606994.466954128</v>
      </c>
      <c r="CU223" s="1">
        <v>-5.0583</v>
      </c>
      <c r="DD223" s="2">
        <v>-14491.81</v>
      </c>
      <c r="DG223" s="1">
        <v>-810.8</v>
      </c>
      <c r="ED223" s="1" t="s">
        <v>50</v>
      </c>
      <c r="EE223" s="1" t="s">
        <v>1353</v>
      </c>
      <c r="EF223" s="1" t="s">
        <v>53</v>
      </c>
      <c r="EG223" s="1" t="s">
        <v>1353</v>
      </c>
      <c r="EH223" s="1" t="s">
        <v>51</v>
      </c>
      <c r="EJ223" s="1" t="s">
        <v>55</v>
      </c>
      <c r="EL223" s="1" t="s">
        <v>57</v>
      </c>
    </row>
    <row r="224" spans="1:142" x14ac:dyDescent="0.2">
      <c r="A224" s="101">
        <v>81570074001</v>
      </c>
      <c r="B224" s="101">
        <v>81570074</v>
      </c>
      <c r="D224" s="1" t="s">
        <v>43</v>
      </c>
      <c r="E224" s="1" t="s">
        <v>44</v>
      </c>
      <c r="F224" s="1" t="s">
        <v>583</v>
      </c>
      <c r="AI224" s="1" t="s">
        <v>551</v>
      </c>
      <c r="AJ224" s="1" t="s">
        <v>44</v>
      </c>
      <c r="AK224" s="1" t="s">
        <v>584</v>
      </c>
      <c r="AL224" s="1" t="s">
        <v>1014</v>
      </c>
      <c r="AR224" s="1" t="s">
        <v>79</v>
      </c>
      <c r="AS224" s="1" t="s">
        <v>71</v>
      </c>
      <c r="AT224" s="1">
        <v>2.3521999999999998</v>
      </c>
      <c r="AV224" s="1" t="s">
        <v>698</v>
      </c>
      <c r="AW224" s="1" t="s">
        <v>216</v>
      </c>
      <c r="AX224" s="1">
        <v>29199891</v>
      </c>
      <c r="BA224" s="1" t="s">
        <v>69</v>
      </c>
      <c r="BB224" s="1" t="s">
        <v>574</v>
      </c>
      <c r="BC224" s="1" t="s">
        <v>456</v>
      </c>
      <c r="BD224" s="1" t="s">
        <v>555</v>
      </c>
      <c r="BG224" s="1" t="s">
        <v>558</v>
      </c>
      <c r="BH224" s="1">
        <v>24</v>
      </c>
      <c r="BI224" s="1" t="s">
        <v>431</v>
      </c>
      <c r="BJ224" s="1" t="s">
        <v>67</v>
      </c>
      <c r="BK224" s="1" t="s">
        <v>440</v>
      </c>
      <c r="BL224" s="1">
        <v>0</v>
      </c>
      <c r="BM224" s="1" t="s">
        <v>698</v>
      </c>
      <c r="BN224" s="1" t="s">
        <v>216</v>
      </c>
      <c r="BP224" s="1">
        <v>29199891</v>
      </c>
      <c r="BR224" s="1" t="s">
        <v>69</v>
      </c>
      <c r="BS224" s="1" t="s">
        <v>1023</v>
      </c>
      <c r="BT224" s="1" t="s">
        <v>574</v>
      </c>
      <c r="BU224" s="1" t="s">
        <v>456</v>
      </c>
      <c r="BV224" s="1" t="s">
        <v>555</v>
      </c>
      <c r="BY224" s="1" t="s">
        <v>558</v>
      </c>
      <c r="BZ224" s="1">
        <v>24</v>
      </c>
      <c r="CJ224" s="1">
        <v>2.10975</v>
      </c>
      <c r="CK224" s="1">
        <v>2.1072500000000001</v>
      </c>
      <c r="CL224" s="1">
        <v>2.11225</v>
      </c>
      <c r="CR224" s="1">
        <v>34086.796031426602</v>
      </c>
      <c r="CS224" s="1">
        <v>33357.660000000003</v>
      </c>
      <c r="CT224" s="1">
        <v>34815.93</v>
      </c>
      <c r="CU224" s="1">
        <v>0.1167</v>
      </c>
      <c r="CZ224" s="1">
        <v>34086.800000000003</v>
      </c>
      <c r="DA224" s="1">
        <v>34086.800000000003</v>
      </c>
      <c r="DB224" s="1">
        <v>-36090.15</v>
      </c>
      <c r="DC224" s="1">
        <v>70176.94</v>
      </c>
      <c r="DD224" s="2">
        <v>1669.73</v>
      </c>
      <c r="DG224" s="1">
        <v>427.07</v>
      </c>
      <c r="DL224" s="1">
        <v>-29535406.890000001</v>
      </c>
      <c r="DM224" s="1">
        <v>-29235868.41</v>
      </c>
      <c r="DN224" s="1">
        <v>-299538.48</v>
      </c>
      <c r="DO224" s="1">
        <v>2.3521999999999998</v>
      </c>
      <c r="DP224" s="1" t="s">
        <v>608</v>
      </c>
      <c r="DQ224" s="1" t="s">
        <v>608</v>
      </c>
      <c r="DS224" s="1">
        <v>29569493.690000001</v>
      </c>
      <c r="DT224" s="1">
        <v>29199778.260000002</v>
      </c>
      <c r="DU224" s="1">
        <v>369715.43</v>
      </c>
      <c r="DV224" s="1">
        <v>2.4690699999999999</v>
      </c>
      <c r="DW224" s="1" t="s">
        <v>608</v>
      </c>
      <c r="DX224" s="1" t="s">
        <v>608</v>
      </c>
      <c r="DY224" s="1" t="s">
        <v>1014</v>
      </c>
      <c r="DZ224" s="1">
        <v>16473</v>
      </c>
      <c r="EA224" s="1">
        <v>51700</v>
      </c>
      <c r="ED224" s="1" t="s">
        <v>50</v>
      </c>
      <c r="EE224" s="1" t="s">
        <v>1338</v>
      </c>
      <c r="EF224" s="1" t="s">
        <v>53</v>
      </c>
      <c r="EG224" s="1" t="s">
        <v>1338</v>
      </c>
      <c r="EH224" s="1" t="s">
        <v>51</v>
      </c>
      <c r="EJ224" s="1" t="s">
        <v>55</v>
      </c>
      <c r="EL224" s="1" t="s">
        <v>57</v>
      </c>
    </row>
    <row r="225" spans="1:142" x14ac:dyDescent="0.2">
      <c r="A225" s="101">
        <v>83830934001</v>
      </c>
      <c r="B225" s="101">
        <v>83830934</v>
      </c>
      <c r="D225" s="1" t="s">
        <v>824</v>
      </c>
      <c r="E225" s="1" t="s">
        <v>44</v>
      </c>
      <c r="F225" s="1" t="s">
        <v>602</v>
      </c>
      <c r="I225" s="1">
        <v>89.12</v>
      </c>
      <c r="J225" s="1" t="s">
        <v>589</v>
      </c>
      <c r="V225" s="1" t="s">
        <v>603</v>
      </c>
      <c r="AI225" s="1" t="s">
        <v>551</v>
      </c>
      <c r="AJ225" s="1" t="s">
        <v>44</v>
      </c>
      <c r="AK225" s="1" t="s">
        <v>602</v>
      </c>
      <c r="AL225" s="1" t="s">
        <v>853</v>
      </c>
      <c r="AT225" s="1">
        <v>3.25</v>
      </c>
      <c r="AV225" s="1" t="s">
        <v>603</v>
      </c>
      <c r="AW225" s="1" t="s">
        <v>1106</v>
      </c>
      <c r="AX225" s="1">
        <v>11000000</v>
      </c>
      <c r="BA225" s="1" t="s">
        <v>69</v>
      </c>
      <c r="BB225" s="1" t="s">
        <v>560</v>
      </c>
      <c r="BG225" s="1" t="s">
        <v>556</v>
      </c>
      <c r="BY225" s="1" t="s">
        <v>556</v>
      </c>
      <c r="CR225" s="1">
        <v>-539495.38426644006</v>
      </c>
      <c r="CU225" s="1">
        <v>-4.9044999999999996</v>
      </c>
      <c r="DD225" s="2">
        <v>-16053.98</v>
      </c>
      <c r="DG225" s="1">
        <v>-537.78</v>
      </c>
      <c r="ED225" s="1" t="s">
        <v>50</v>
      </c>
      <c r="EE225" s="1" t="s">
        <v>1354</v>
      </c>
      <c r="EF225" s="1" t="s">
        <v>53</v>
      </c>
      <c r="EG225" s="1" t="s">
        <v>1354</v>
      </c>
      <c r="EH225" s="1" t="s">
        <v>51</v>
      </c>
      <c r="EJ225" s="1" t="s">
        <v>55</v>
      </c>
      <c r="EL225" s="1" t="s">
        <v>57</v>
      </c>
    </row>
    <row r="226" spans="1:142" x14ac:dyDescent="0.2">
      <c r="A226" s="101">
        <v>85189883001</v>
      </c>
      <c r="B226" s="101">
        <v>85189883</v>
      </c>
      <c r="D226" s="1" t="s">
        <v>334</v>
      </c>
      <c r="E226" s="1" t="s">
        <v>44</v>
      </c>
      <c r="F226" s="1" t="s">
        <v>583</v>
      </c>
      <c r="AI226" s="1" t="s">
        <v>551</v>
      </c>
      <c r="AJ226" s="1" t="s">
        <v>44</v>
      </c>
      <c r="AK226" s="1" t="s">
        <v>584</v>
      </c>
      <c r="AL226" s="1" t="s">
        <v>969</v>
      </c>
      <c r="AR226" s="1" t="s">
        <v>79</v>
      </c>
      <c r="AS226" s="1" t="s">
        <v>71</v>
      </c>
      <c r="AT226" s="1">
        <v>2.1781999999999999</v>
      </c>
      <c r="AV226" s="1" t="s">
        <v>815</v>
      </c>
      <c r="AW226" s="1" t="s">
        <v>1360</v>
      </c>
      <c r="AX226" s="1">
        <v>16000000</v>
      </c>
      <c r="BA226" s="1" t="s">
        <v>69</v>
      </c>
      <c r="BB226" s="1" t="s">
        <v>574</v>
      </c>
      <c r="BC226" s="1" t="s">
        <v>456</v>
      </c>
      <c r="BD226" s="1" t="s">
        <v>555</v>
      </c>
      <c r="BG226" s="1" t="s">
        <v>558</v>
      </c>
      <c r="BH226" s="1">
        <v>25</v>
      </c>
      <c r="BI226" s="1" t="s">
        <v>431</v>
      </c>
      <c r="BJ226" s="1" t="s">
        <v>67</v>
      </c>
      <c r="BK226" s="1" t="s">
        <v>440</v>
      </c>
      <c r="BL226" s="1">
        <v>0</v>
      </c>
      <c r="BM226" s="1" t="s">
        <v>815</v>
      </c>
      <c r="BN226" s="1" t="s">
        <v>1360</v>
      </c>
      <c r="BP226" s="1">
        <v>16000000</v>
      </c>
      <c r="BR226" s="1" t="s">
        <v>69</v>
      </c>
      <c r="BS226" s="1" t="s">
        <v>1023</v>
      </c>
      <c r="BT226" s="1" t="s">
        <v>574</v>
      </c>
      <c r="BU226" s="1" t="s">
        <v>456</v>
      </c>
      <c r="BV226" s="1" t="s">
        <v>555</v>
      </c>
      <c r="BY226" s="1" t="s">
        <v>558</v>
      </c>
      <c r="BZ226" s="1">
        <v>25</v>
      </c>
      <c r="CJ226" s="1">
        <v>2.08277</v>
      </c>
      <c r="CK226" s="1">
        <v>2.0802700000000001</v>
      </c>
      <c r="CL226" s="1">
        <v>2.08527</v>
      </c>
      <c r="CR226" s="1">
        <v>25258.8468152676</v>
      </c>
      <c r="CS226" s="1">
        <v>24866.52</v>
      </c>
      <c r="CT226" s="1">
        <v>25651.17</v>
      </c>
      <c r="CU226" s="1">
        <v>0.15790000000000001</v>
      </c>
      <c r="CZ226" s="1">
        <v>25258.85</v>
      </c>
      <c r="DA226" s="1">
        <v>25258.85</v>
      </c>
      <c r="DB226" s="1">
        <v>-8104.53</v>
      </c>
      <c r="DC226" s="1">
        <v>33363.370000000003</v>
      </c>
      <c r="DD226" s="2">
        <v>1051.44</v>
      </c>
      <c r="DG226" s="1">
        <v>242.36</v>
      </c>
      <c r="DL226" s="1">
        <v>-16123288.51</v>
      </c>
      <c r="DM226" s="1">
        <v>-16008085.93</v>
      </c>
      <c r="DN226" s="1">
        <v>-115202.58</v>
      </c>
      <c r="DO226" s="1">
        <v>2.1781999999999999</v>
      </c>
      <c r="DP226" s="1" t="s">
        <v>1361</v>
      </c>
      <c r="DQ226" s="1" t="s">
        <v>1361</v>
      </c>
      <c r="DS226" s="1">
        <v>16148547.359999999</v>
      </c>
      <c r="DT226" s="1">
        <v>15999981.41</v>
      </c>
      <c r="DU226" s="1">
        <v>148565.95000000001</v>
      </c>
      <c r="DV226" s="1">
        <v>2.3391600000000001</v>
      </c>
      <c r="DW226" s="1" t="s">
        <v>1361</v>
      </c>
      <c r="DX226" s="1" t="s">
        <v>1361</v>
      </c>
      <c r="DY226" s="1" t="s">
        <v>969</v>
      </c>
      <c r="DZ226" s="1">
        <v>14309</v>
      </c>
      <c r="EA226" s="1">
        <v>36208</v>
      </c>
      <c r="ED226" s="1" t="s">
        <v>50</v>
      </c>
      <c r="EE226" s="1" t="s">
        <v>1362</v>
      </c>
      <c r="EF226" s="1" t="s">
        <v>53</v>
      </c>
      <c r="EG226" s="1" t="s">
        <v>1362</v>
      </c>
      <c r="EH226" s="1" t="s">
        <v>51</v>
      </c>
      <c r="EJ226" s="1" t="s">
        <v>55</v>
      </c>
      <c r="EL226" s="1" t="s">
        <v>57</v>
      </c>
    </row>
    <row r="227" spans="1:142" x14ac:dyDescent="0.2">
      <c r="A227" s="101">
        <v>81570080001</v>
      </c>
      <c r="B227" s="101">
        <v>81570080</v>
      </c>
      <c r="D227" s="1" t="s">
        <v>63</v>
      </c>
      <c r="E227" s="1" t="s">
        <v>44</v>
      </c>
      <c r="F227" s="1" t="s">
        <v>583</v>
      </c>
      <c r="AI227" s="1" t="s">
        <v>551</v>
      </c>
      <c r="AJ227" s="1" t="s">
        <v>44</v>
      </c>
      <c r="AK227" s="1" t="s">
        <v>584</v>
      </c>
      <c r="AL227" s="1" t="s">
        <v>1014</v>
      </c>
      <c r="AR227" s="1" t="s">
        <v>79</v>
      </c>
      <c r="AS227" s="1" t="s">
        <v>71</v>
      </c>
      <c r="AT227" s="1">
        <v>2.1257000000000001</v>
      </c>
      <c r="AV227" s="1" t="s">
        <v>698</v>
      </c>
      <c r="AW227" s="1" t="s">
        <v>1328</v>
      </c>
      <c r="AX227" s="1">
        <v>7256250</v>
      </c>
      <c r="BA227" s="1" t="s">
        <v>69</v>
      </c>
      <c r="BB227" s="1" t="s">
        <v>574</v>
      </c>
      <c r="BC227" s="1" t="s">
        <v>456</v>
      </c>
      <c r="BD227" s="1" t="s">
        <v>555</v>
      </c>
      <c r="BG227" s="1" t="s">
        <v>558</v>
      </c>
      <c r="BH227" s="1">
        <v>13</v>
      </c>
      <c r="BI227" s="1" t="s">
        <v>431</v>
      </c>
      <c r="BJ227" s="1" t="s">
        <v>67</v>
      </c>
      <c r="BK227" s="1" t="s">
        <v>440</v>
      </c>
      <c r="BL227" s="1">
        <v>0</v>
      </c>
      <c r="BM227" s="1" t="s">
        <v>698</v>
      </c>
      <c r="BN227" s="1" t="s">
        <v>1328</v>
      </c>
      <c r="BP227" s="1">
        <v>7256250</v>
      </c>
      <c r="BR227" s="1" t="s">
        <v>69</v>
      </c>
      <c r="BS227" s="1" t="s">
        <v>69</v>
      </c>
      <c r="BT227" s="1" t="s">
        <v>574</v>
      </c>
      <c r="BU227" s="1" t="s">
        <v>456</v>
      </c>
      <c r="BV227" s="1" t="s">
        <v>555</v>
      </c>
      <c r="BY227" s="1" t="s">
        <v>558</v>
      </c>
      <c r="BZ227" s="1">
        <v>13</v>
      </c>
      <c r="CJ227" s="1">
        <v>1.97007</v>
      </c>
      <c r="CK227" s="1">
        <v>1.96757</v>
      </c>
      <c r="CL227" s="1">
        <v>1.9725699999999999</v>
      </c>
      <c r="CR227" s="1">
        <v>10821.5249975966</v>
      </c>
      <c r="CS227" s="1">
        <v>10511.56</v>
      </c>
      <c r="CT227" s="1">
        <v>11131.49</v>
      </c>
      <c r="CU227" s="1">
        <v>0.14910000000000001</v>
      </c>
      <c r="CZ227" s="1">
        <v>10821.52</v>
      </c>
      <c r="DA227" s="1">
        <v>10821.52</v>
      </c>
      <c r="DB227" s="1">
        <v>-13785.29</v>
      </c>
      <c r="DC227" s="1">
        <v>24606.82</v>
      </c>
      <c r="DD227" s="2">
        <v>927.13</v>
      </c>
      <c r="DG227" s="1">
        <v>117</v>
      </c>
      <c r="DL227" s="1">
        <v>-7337289.1100000003</v>
      </c>
      <c r="DM227" s="1">
        <v>-7270020.6699999999</v>
      </c>
      <c r="DN227" s="1">
        <v>-67268.44</v>
      </c>
      <c r="DO227" s="1">
        <v>2.1257000000000001</v>
      </c>
      <c r="DP227" s="1" t="s">
        <v>1160</v>
      </c>
      <c r="DQ227" s="1" t="s">
        <v>1329</v>
      </c>
      <c r="DS227" s="1">
        <v>7348110.6299999999</v>
      </c>
      <c r="DT227" s="1">
        <v>7256235.3700000001</v>
      </c>
      <c r="DU227" s="1">
        <v>91875.26</v>
      </c>
      <c r="DV227" s="1">
        <v>2.6439499999999998</v>
      </c>
      <c r="DW227" s="1" t="s">
        <v>1160</v>
      </c>
      <c r="DX227" s="1" t="s">
        <v>1329</v>
      </c>
      <c r="DY227" s="1" t="s">
        <v>1330</v>
      </c>
      <c r="DZ227" s="1">
        <v>1689</v>
      </c>
      <c r="EA227" s="1">
        <v>19954</v>
      </c>
      <c r="ED227" s="1" t="s">
        <v>50</v>
      </c>
      <c r="EE227" s="1" t="s">
        <v>1339</v>
      </c>
      <c r="EF227" s="1" t="s">
        <v>53</v>
      </c>
      <c r="EG227" s="1" t="s">
        <v>1339</v>
      </c>
      <c r="EH227" s="1" t="s">
        <v>51</v>
      </c>
      <c r="EJ227" s="1" t="s">
        <v>55</v>
      </c>
      <c r="EL227" s="1" t="s">
        <v>57</v>
      </c>
    </row>
    <row r="228" spans="1:142" x14ac:dyDescent="0.2">
      <c r="A228" s="101">
        <v>84450438001</v>
      </c>
      <c r="B228" s="101">
        <v>84450438</v>
      </c>
      <c r="D228" s="1" t="s">
        <v>77</v>
      </c>
      <c r="E228" s="1" t="s">
        <v>44</v>
      </c>
      <c r="F228" s="1" t="s">
        <v>583</v>
      </c>
      <c r="AI228" s="1" t="s">
        <v>551</v>
      </c>
      <c r="AJ228" s="1" t="s">
        <v>44</v>
      </c>
      <c r="AK228" s="1" t="s">
        <v>584</v>
      </c>
      <c r="AL228" s="1" t="s">
        <v>864</v>
      </c>
      <c r="AR228" s="1" t="s">
        <v>79</v>
      </c>
      <c r="AS228" s="1" t="s">
        <v>71</v>
      </c>
      <c r="AT228" s="1">
        <v>2.6412</v>
      </c>
      <c r="AV228" s="1" t="s">
        <v>982</v>
      </c>
      <c r="AW228" s="1" t="s">
        <v>1053</v>
      </c>
      <c r="AX228" s="1">
        <v>14805083</v>
      </c>
      <c r="BA228" s="1" t="s">
        <v>69</v>
      </c>
      <c r="BB228" s="1" t="s">
        <v>574</v>
      </c>
      <c r="BC228" s="1" t="s">
        <v>456</v>
      </c>
      <c r="BD228" s="1" t="s">
        <v>555</v>
      </c>
      <c r="BG228" s="1" t="s">
        <v>558</v>
      </c>
      <c r="BH228" s="1">
        <v>2</v>
      </c>
      <c r="BI228" s="1" t="s">
        <v>431</v>
      </c>
      <c r="BJ228" s="1" t="s">
        <v>67</v>
      </c>
      <c r="BK228" s="1" t="s">
        <v>440</v>
      </c>
      <c r="BL228" s="1">
        <v>0</v>
      </c>
      <c r="BM228" s="1" t="s">
        <v>982</v>
      </c>
      <c r="BN228" s="1" t="s">
        <v>1053</v>
      </c>
      <c r="BP228" s="1">
        <v>14805083</v>
      </c>
      <c r="BR228" s="1" t="s">
        <v>69</v>
      </c>
      <c r="BS228" s="1" t="s">
        <v>1023</v>
      </c>
      <c r="BT228" s="1" t="s">
        <v>574</v>
      </c>
      <c r="BU228" s="1" t="s">
        <v>456</v>
      </c>
      <c r="BV228" s="1" t="s">
        <v>555</v>
      </c>
      <c r="BY228" s="1" t="s">
        <v>558</v>
      </c>
      <c r="BZ228" s="1">
        <v>2</v>
      </c>
      <c r="CJ228" s="1">
        <v>2.3647</v>
      </c>
      <c r="CK228" s="1">
        <v>2.3622000000000001</v>
      </c>
      <c r="CL228" s="1">
        <v>2.3672</v>
      </c>
      <c r="CR228" s="1">
        <v>7897.5625314712997</v>
      </c>
      <c r="CS228" s="1">
        <v>7729.33</v>
      </c>
      <c r="CT228" s="1">
        <v>8065.79</v>
      </c>
      <c r="CU228" s="1">
        <v>5.33E-2</v>
      </c>
      <c r="CZ228" s="1">
        <v>7897.56</v>
      </c>
      <c r="DA228" s="1">
        <v>7897.56</v>
      </c>
      <c r="DB228" s="1">
        <v>-3284.94</v>
      </c>
      <c r="DC228" s="1">
        <v>11182.51</v>
      </c>
      <c r="DD228" s="2">
        <v>128.47</v>
      </c>
      <c r="DG228" s="1">
        <v>81</v>
      </c>
      <c r="DL228" s="1">
        <v>-14951712.18</v>
      </c>
      <c r="DM228" s="1">
        <v>-14808333.83</v>
      </c>
      <c r="DN228" s="1">
        <v>-143378.35</v>
      </c>
      <c r="DO228" s="1">
        <v>2.6412</v>
      </c>
      <c r="DP228" s="1" t="s">
        <v>1010</v>
      </c>
      <c r="DQ228" s="1" t="s">
        <v>1010</v>
      </c>
      <c r="DS228" s="1">
        <v>14959609.74</v>
      </c>
      <c r="DT228" s="1">
        <v>14805048.890000001</v>
      </c>
      <c r="DU228" s="1">
        <v>154560.85</v>
      </c>
      <c r="DV228" s="1">
        <v>2.7585600000000001</v>
      </c>
      <c r="DW228" s="1" t="s">
        <v>1010</v>
      </c>
      <c r="DX228" s="1" t="s">
        <v>1010</v>
      </c>
      <c r="DY228" s="1" t="s">
        <v>864</v>
      </c>
      <c r="DZ228" s="1">
        <v>6379</v>
      </c>
      <c r="EA228" s="1">
        <v>9417</v>
      </c>
      <c r="ED228" s="1" t="s">
        <v>50</v>
      </c>
      <c r="EE228" s="1" t="s">
        <v>1355</v>
      </c>
      <c r="EF228" s="1" t="s">
        <v>53</v>
      </c>
      <c r="EG228" s="1" t="s">
        <v>1355</v>
      </c>
      <c r="EH228" s="1" t="s">
        <v>51</v>
      </c>
      <c r="EJ228" s="1" t="s">
        <v>55</v>
      </c>
      <c r="EL228" s="1" t="s">
        <v>57</v>
      </c>
    </row>
    <row r="229" spans="1:142" x14ac:dyDescent="0.2">
      <c r="A229" s="101">
        <v>85824792001</v>
      </c>
      <c r="B229" s="101">
        <v>85824792</v>
      </c>
      <c r="D229" s="1" t="s">
        <v>334</v>
      </c>
      <c r="E229" s="1" t="s">
        <v>44</v>
      </c>
      <c r="F229" s="1" t="s">
        <v>583</v>
      </c>
      <c r="AI229" s="1" t="s">
        <v>551</v>
      </c>
      <c r="AJ229" s="1" t="s">
        <v>44</v>
      </c>
      <c r="AK229" s="1" t="s">
        <v>584</v>
      </c>
      <c r="AL229" s="1" t="s">
        <v>708</v>
      </c>
      <c r="AR229" s="1" t="s">
        <v>79</v>
      </c>
      <c r="AS229" s="1" t="s">
        <v>71</v>
      </c>
      <c r="AT229" s="1">
        <v>2.6619999999999999</v>
      </c>
      <c r="AV229" s="1" t="s">
        <v>1017</v>
      </c>
      <c r="AW229" s="1" t="s">
        <v>1293</v>
      </c>
      <c r="AX229" s="1">
        <v>22764332</v>
      </c>
      <c r="BA229" s="1" t="s">
        <v>69</v>
      </c>
      <c r="BB229" s="1" t="s">
        <v>574</v>
      </c>
      <c r="BC229" s="1" t="s">
        <v>456</v>
      </c>
      <c r="BD229" s="1" t="s">
        <v>555</v>
      </c>
      <c r="BG229" s="1" t="s">
        <v>558</v>
      </c>
      <c r="BH229" s="1">
        <v>14</v>
      </c>
      <c r="BI229" s="1" t="s">
        <v>431</v>
      </c>
      <c r="BJ229" s="1" t="s">
        <v>67</v>
      </c>
      <c r="BK229" s="1" t="s">
        <v>440</v>
      </c>
      <c r="BL229" s="1">
        <v>0</v>
      </c>
      <c r="BM229" s="1" t="s">
        <v>1017</v>
      </c>
      <c r="BN229" s="1" t="s">
        <v>1293</v>
      </c>
      <c r="BP229" s="1">
        <v>22764332</v>
      </c>
      <c r="BR229" s="1" t="s">
        <v>69</v>
      </c>
      <c r="BS229" s="1" t="s">
        <v>1023</v>
      </c>
      <c r="BT229" s="1" t="s">
        <v>574</v>
      </c>
      <c r="BU229" s="1" t="s">
        <v>456</v>
      </c>
      <c r="BV229" s="1" t="s">
        <v>555</v>
      </c>
      <c r="BY229" s="1" t="s">
        <v>558</v>
      </c>
      <c r="BZ229" s="1">
        <v>14</v>
      </c>
      <c r="CJ229" s="1">
        <v>2.41778</v>
      </c>
      <c r="CK229" s="1">
        <v>2.4152800000000001</v>
      </c>
      <c r="CL229" s="1">
        <v>2.42028</v>
      </c>
      <c r="CR229" s="1">
        <v>5722.9212117195002</v>
      </c>
      <c r="CS229" s="1">
        <v>5528.67</v>
      </c>
      <c r="CT229" s="1">
        <v>5917.17</v>
      </c>
      <c r="CU229" s="1">
        <v>2.5100000000000001E-2</v>
      </c>
      <c r="CZ229" s="1">
        <v>5722.92</v>
      </c>
      <c r="DA229" s="1">
        <v>5722.92</v>
      </c>
      <c r="DB229" s="1">
        <v>-1987.12</v>
      </c>
      <c r="DC229" s="1">
        <v>7710.04</v>
      </c>
      <c r="DD229" s="2">
        <v>82.8</v>
      </c>
      <c r="DG229" s="1">
        <v>-0.73</v>
      </c>
      <c r="DL229" s="1">
        <v>-22949784.890000001</v>
      </c>
      <c r="DM229" s="1">
        <v>-22766305.640000001</v>
      </c>
      <c r="DN229" s="1">
        <v>-183479.25</v>
      </c>
      <c r="DO229" s="1">
        <v>2.6619999999999999</v>
      </c>
      <c r="DP229" s="1" t="s">
        <v>1037</v>
      </c>
      <c r="DQ229" s="1" t="s">
        <v>1037</v>
      </c>
      <c r="DS229" s="1">
        <v>22955507.809999999</v>
      </c>
      <c r="DT229" s="1">
        <v>22764318.52</v>
      </c>
      <c r="DU229" s="1">
        <v>191189.3</v>
      </c>
      <c r="DV229" s="1">
        <v>2.7356500000000001</v>
      </c>
      <c r="DW229" s="1" t="s">
        <v>1037</v>
      </c>
      <c r="DX229" s="1" t="s">
        <v>1037</v>
      </c>
      <c r="DY229" s="1" t="s">
        <v>1144</v>
      </c>
      <c r="DZ229" s="1">
        <v>4722</v>
      </c>
      <c r="EA229" s="1">
        <v>6724</v>
      </c>
      <c r="ED229" s="1" t="s">
        <v>50</v>
      </c>
      <c r="EE229" s="1" t="s">
        <v>1364</v>
      </c>
      <c r="EF229" s="1" t="s">
        <v>53</v>
      </c>
      <c r="EG229" s="1" t="s">
        <v>1364</v>
      </c>
      <c r="EH229" s="1" t="s">
        <v>51</v>
      </c>
      <c r="EJ229" s="1" t="s">
        <v>55</v>
      </c>
      <c r="EL229" s="1" t="s">
        <v>57</v>
      </c>
    </row>
    <row r="230" spans="1:142" x14ac:dyDescent="0.2">
      <c r="A230" s="101">
        <v>81570094001</v>
      </c>
      <c r="B230" s="101">
        <v>81570094</v>
      </c>
      <c r="D230" s="1" t="s">
        <v>63</v>
      </c>
      <c r="E230" s="1" t="s">
        <v>44</v>
      </c>
      <c r="F230" s="1" t="s">
        <v>583</v>
      </c>
      <c r="AI230" s="1" t="s">
        <v>551</v>
      </c>
      <c r="AJ230" s="1" t="s">
        <v>44</v>
      </c>
      <c r="AK230" s="1" t="s">
        <v>584</v>
      </c>
      <c r="AL230" s="1" t="s">
        <v>1014</v>
      </c>
      <c r="AR230" s="1" t="s">
        <v>79</v>
      </c>
      <c r="AS230" s="1" t="s">
        <v>71</v>
      </c>
      <c r="AT230" s="1">
        <v>2.1772</v>
      </c>
      <c r="AV230" s="1" t="s">
        <v>698</v>
      </c>
      <c r="AW230" s="1" t="s">
        <v>1342</v>
      </c>
      <c r="AX230" s="1">
        <v>1752240</v>
      </c>
      <c r="BA230" s="1" t="s">
        <v>69</v>
      </c>
      <c r="BB230" s="1" t="s">
        <v>574</v>
      </c>
      <c r="BC230" s="1" t="s">
        <v>456</v>
      </c>
      <c r="BD230" s="1" t="s">
        <v>555</v>
      </c>
      <c r="BG230" s="1" t="s">
        <v>558</v>
      </c>
      <c r="BH230" s="1">
        <v>10</v>
      </c>
      <c r="BI230" s="1" t="s">
        <v>431</v>
      </c>
      <c r="BJ230" s="1" t="s">
        <v>67</v>
      </c>
      <c r="BK230" s="1" t="s">
        <v>440</v>
      </c>
      <c r="BL230" s="1">
        <v>0</v>
      </c>
      <c r="BM230" s="1" t="s">
        <v>698</v>
      </c>
      <c r="BN230" s="1" t="s">
        <v>1342</v>
      </c>
      <c r="BP230" s="1">
        <v>1752240</v>
      </c>
      <c r="BR230" s="1" t="s">
        <v>69</v>
      </c>
      <c r="BS230" s="1" t="s">
        <v>69</v>
      </c>
      <c r="BT230" s="1" t="s">
        <v>574</v>
      </c>
      <c r="BU230" s="1" t="s">
        <v>456</v>
      </c>
      <c r="BV230" s="1" t="s">
        <v>555</v>
      </c>
      <c r="BY230" s="1" t="s">
        <v>558</v>
      </c>
      <c r="BZ230" s="1">
        <v>10</v>
      </c>
      <c r="CJ230" s="1">
        <v>2.00475</v>
      </c>
      <c r="CK230" s="1">
        <v>2.0022500000000001</v>
      </c>
      <c r="CL230" s="1">
        <v>2.00725</v>
      </c>
      <c r="CR230" s="1">
        <v>2515.1008712552002</v>
      </c>
      <c r="CS230" s="1">
        <v>2451.3000000000002</v>
      </c>
      <c r="CT230" s="1">
        <v>2578.9</v>
      </c>
      <c r="CU230" s="1">
        <v>0.14349999999999999</v>
      </c>
      <c r="CZ230" s="1">
        <v>2515.1</v>
      </c>
      <c r="DA230" s="1">
        <v>2515.1</v>
      </c>
      <c r="DB230" s="1">
        <v>-3033.41</v>
      </c>
      <c r="DC230" s="1">
        <v>5548.51</v>
      </c>
      <c r="DD230" s="2">
        <v>178.57</v>
      </c>
      <c r="DG230" s="1">
        <v>29.44</v>
      </c>
      <c r="DL230" s="1">
        <v>-1771904.19</v>
      </c>
      <c r="DM230" s="1">
        <v>-1755266.65</v>
      </c>
      <c r="DN230" s="1">
        <v>-16637.54</v>
      </c>
      <c r="DO230" s="1">
        <v>2.1772</v>
      </c>
      <c r="DP230" s="1" t="s">
        <v>1334</v>
      </c>
      <c r="DQ230" s="1" t="s">
        <v>1343</v>
      </c>
      <c r="DS230" s="1">
        <v>1774419.29</v>
      </c>
      <c r="DT230" s="1">
        <v>1752233.24</v>
      </c>
      <c r="DU230" s="1">
        <v>22186.05</v>
      </c>
      <c r="DV230" s="1">
        <v>2.87601</v>
      </c>
      <c r="DW230" s="1" t="s">
        <v>1334</v>
      </c>
      <c r="DX230" s="1" t="s">
        <v>1343</v>
      </c>
      <c r="DY230" s="1" t="s">
        <v>1344</v>
      </c>
      <c r="DZ230" s="1">
        <v>725</v>
      </c>
      <c r="EA230" s="1">
        <v>4305</v>
      </c>
      <c r="ED230" s="1" t="s">
        <v>50</v>
      </c>
      <c r="EE230" s="1" t="s">
        <v>1345</v>
      </c>
      <c r="EF230" s="1" t="s">
        <v>53</v>
      </c>
      <c r="EG230" s="1" t="s">
        <v>1345</v>
      </c>
      <c r="EH230" s="1" t="s">
        <v>51</v>
      </c>
      <c r="EJ230" s="1" t="s">
        <v>55</v>
      </c>
      <c r="EL230" s="1" t="s">
        <v>57</v>
      </c>
    </row>
    <row r="231" spans="1:142" x14ac:dyDescent="0.2">
      <c r="A231" s="101">
        <v>84669201001</v>
      </c>
      <c r="B231" s="101">
        <v>84669201</v>
      </c>
      <c r="D231" s="1" t="s">
        <v>220</v>
      </c>
      <c r="E231" s="1" t="s">
        <v>44</v>
      </c>
      <c r="F231" s="1" t="s">
        <v>583</v>
      </c>
      <c r="AI231" s="1" t="s">
        <v>551</v>
      </c>
      <c r="AJ231" s="1" t="s">
        <v>44</v>
      </c>
      <c r="AK231" s="1" t="s">
        <v>584</v>
      </c>
      <c r="AL231" s="1" t="s">
        <v>1074</v>
      </c>
      <c r="AR231" s="1" t="s">
        <v>79</v>
      </c>
      <c r="AS231" s="1" t="s">
        <v>71</v>
      </c>
      <c r="AT231" s="1">
        <v>2.4011999999999998</v>
      </c>
      <c r="AV231" s="1" t="s">
        <v>1140</v>
      </c>
      <c r="AW231" s="1" t="s">
        <v>1196</v>
      </c>
      <c r="AX231" s="1">
        <v>1000000</v>
      </c>
      <c r="BA231" s="1" t="s">
        <v>69</v>
      </c>
      <c r="BB231" s="1" t="s">
        <v>574</v>
      </c>
      <c r="BC231" s="1" t="s">
        <v>456</v>
      </c>
      <c r="BD231" s="1" t="s">
        <v>555</v>
      </c>
      <c r="BG231" s="1" t="s">
        <v>558</v>
      </c>
      <c r="BH231" s="1">
        <v>22</v>
      </c>
      <c r="BI231" s="1" t="s">
        <v>431</v>
      </c>
      <c r="BJ231" s="1" t="s">
        <v>67</v>
      </c>
      <c r="BK231" s="1" t="s">
        <v>440</v>
      </c>
      <c r="BL231" s="1">
        <v>0</v>
      </c>
      <c r="BM231" s="1" t="s">
        <v>1140</v>
      </c>
      <c r="BN231" s="1" t="s">
        <v>1196</v>
      </c>
      <c r="BP231" s="1">
        <v>1000000</v>
      </c>
      <c r="BR231" s="1" t="s">
        <v>69</v>
      </c>
      <c r="BS231" s="1" t="s">
        <v>1023</v>
      </c>
      <c r="BT231" s="1" t="s">
        <v>574</v>
      </c>
      <c r="BU231" s="1" t="s">
        <v>456</v>
      </c>
      <c r="BV231" s="1" t="s">
        <v>555</v>
      </c>
      <c r="BY231" s="1" t="s">
        <v>558</v>
      </c>
      <c r="BZ231" s="1">
        <v>22</v>
      </c>
      <c r="CJ231" s="1">
        <v>2.1754099999999998</v>
      </c>
      <c r="CK231" s="1">
        <v>2.1729099999999999</v>
      </c>
      <c r="CL231" s="1">
        <v>2.1779099999999998</v>
      </c>
      <c r="CR231" s="1">
        <v>762.1037089399</v>
      </c>
      <c r="CS231" s="1">
        <v>743.31</v>
      </c>
      <c r="CT231" s="1">
        <v>780.9</v>
      </c>
      <c r="CU231" s="1">
        <v>7.6200000000000004E-2</v>
      </c>
      <c r="CZ231" s="1">
        <v>762.1</v>
      </c>
      <c r="DA231" s="1">
        <v>762.1</v>
      </c>
      <c r="DB231" s="1">
        <v>-806.71</v>
      </c>
      <c r="DC231" s="1">
        <v>1568.82</v>
      </c>
      <c r="DD231" s="2">
        <v>39.75</v>
      </c>
      <c r="DG231" s="1">
        <v>12.09</v>
      </c>
      <c r="DL231" s="1">
        <v>-1009407.94</v>
      </c>
      <c r="DM231" s="1">
        <v>-1000803.64</v>
      </c>
      <c r="DN231" s="1">
        <v>-8604.2999999999993</v>
      </c>
      <c r="DO231" s="1">
        <v>2.4011999999999998</v>
      </c>
      <c r="DP231" s="1" t="s">
        <v>1277</v>
      </c>
      <c r="DQ231" s="1" t="s">
        <v>1277</v>
      </c>
      <c r="DS231" s="1">
        <v>1010170.05</v>
      </c>
      <c r="DT231" s="1">
        <v>999996.93</v>
      </c>
      <c r="DU231" s="1">
        <v>10173.120000000001</v>
      </c>
      <c r="DV231" s="1">
        <v>2.5025900000000001</v>
      </c>
      <c r="DW231" s="1" t="s">
        <v>1277</v>
      </c>
      <c r="DX231" s="1" t="s">
        <v>1277</v>
      </c>
      <c r="DY231" s="1" t="s">
        <v>1074</v>
      </c>
      <c r="DZ231" s="1">
        <v>330</v>
      </c>
      <c r="EA231" s="1">
        <v>1194</v>
      </c>
      <c r="ED231" s="1" t="s">
        <v>50</v>
      </c>
      <c r="EE231" s="1" t="s">
        <v>1356</v>
      </c>
      <c r="EF231" s="1" t="s">
        <v>53</v>
      </c>
      <c r="EG231" s="1" t="s">
        <v>1356</v>
      </c>
      <c r="EH231" s="1" t="s">
        <v>51</v>
      </c>
      <c r="EJ231" s="1" t="s">
        <v>55</v>
      </c>
      <c r="EL231" s="1" t="s">
        <v>57</v>
      </c>
    </row>
    <row r="232" spans="1:142" x14ac:dyDescent="0.2">
      <c r="A232" s="101">
        <v>83606374001</v>
      </c>
      <c r="B232" s="101">
        <v>83606374</v>
      </c>
      <c r="D232" s="1" t="s">
        <v>43</v>
      </c>
      <c r="E232" s="1" t="s">
        <v>44</v>
      </c>
      <c r="F232" s="1" t="s">
        <v>583</v>
      </c>
      <c r="AI232" s="1" t="s">
        <v>551</v>
      </c>
      <c r="AJ232" s="1" t="s">
        <v>44</v>
      </c>
      <c r="AK232" s="1" t="s">
        <v>584</v>
      </c>
      <c r="AL232" s="1" t="s">
        <v>1116</v>
      </c>
      <c r="AR232" s="1" t="s">
        <v>79</v>
      </c>
      <c r="AS232" s="1" t="s">
        <v>71</v>
      </c>
      <c r="AT232" s="1">
        <v>2.1966999999999999</v>
      </c>
      <c r="AV232" s="1" t="s">
        <v>854</v>
      </c>
      <c r="AW232" s="1" t="s">
        <v>1346</v>
      </c>
      <c r="AX232" s="1">
        <v>7611200</v>
      </c>
      <c r="BA232" s="1" t="s">
        <v>69</v>
      </c>
      <c r="BB232" s="1" t="s">
        <v>574</v>
      </c>
      <c r="BC232" s="1" t="s">
        <v>456</v>
      </c>
      <c r="BD232" s="1" t="s">
        <v>555</v>
      </c>
      <c r="BG232" s="1" t="s">
        <v>558</v>
      </c>
      <c r="BH232" s="1">
        <v>9</v>
      </c>
      <c r="BI232" s="1" t="s">
        <v>431</v>
      </c>
      <c r="BJ232" s="1" t="s">
        <v>67</v>
      </c>
      <c r="BK232" s="1" t="s">
        <v>440</v>
      </c>
      <c r="BL232" s="1">
        <v>0</v>
      </c>
      <c r="BM232" s="1" t="s">
        <v>854</v>
      </c>
      <c r="BN232" s="1" t="s">
        <v>1346</v>
      </c>
      <c r="BP232" s="1">
        <v>7611200</v>
      </c>
      <c r="BR232" s="1" t="s">
        <v>69</v>
      </c>
      <c r="BS232" s="1" t="s">
        <v>69</v>
      </c>
      <c r="BT232" s="1" t="s">
        <v>574</v>
      </c>
      <c r="BU232" s="1" t="s">
        <v>456</v>
      </c>
      <c r="BV232" s="1" t="s">
        <v>555</v>
      </c>
      <c r="BY232" s="1" t="s">
        <v>558</v>
      </c>
      <c r="BZ232" s="1">
        <v>9</v>
      </c>
      <c r="CJ232" s="1">
        <v>1.9534899999999999</v>
      </c>
      <c r="CK232" s="1">
        <v>1.95099</v>
      </c>
      <c r="CL232" s="1">
        <v>1.9559899999999999</v>
      </c>
      <c r="CR232" s="1">
        <v>-7958.3485335466003</v>
      </c>
      <c r="CS232" s="1">
        <v>-8336.2099999999991</v>
      </c>
      <c r="CT232" s="1">
        <v>-7580.49</v>
      </c>
      <c r="CU232" s="1">
        <v>-0.1046</v>
      </c>
      <c r="CZ232" s="1">
        <v>-7958.35</v>
      </c>
      <c r="DA232" s="1">
        <v>-7958.35</v>
      </c>
      <c r="DB232" s="1">
        <v>-28441.3</v>
      </c>
      <c r="DC232" s="1">
        <v>20482.96</v>
      </c>
      <c r="DD232" s="2">
        <v>1218.01</v>
      </c>
      <c r="DG232" s="1">
        <v>107.69</v>
      </c>
      <c r="DL232" s="1">
        <v>-7706038.1600000001</v>
      </c>
      <c r="DM232" s="1">
        <v>-7639624.5</v>
      </c>
      <c r="DN232" s="1">
        <v>-66413.66</v>
      </c>
      <c r="DO232" s="1">
        <v>2.1966999999999999</v>
      </c>
      <c r="DP232" s="1" t="s">
        <v>1092</v>
      </c>
      <c r="DQ232" s="1" t="s">
        <v>1347</v>
      </c>
      <c r="DS232" s="1">
        <v>7698079.8200000003</v>
      </c>
      <c r="DT232" s="1">
        <v>7611183.2000000002</v>
      </c>
      <c r="DU232" s="1">
        <v>86896.62</v>
      </c>
      <c r="DV232" s="1">
        <v>2.4149600000000002</v>
      </c>
      <c r="DW232" s="1" t="s">
        <v>1092</v>
      </c>
      <c r="DX232" s="1" t="s">
        <v>1347</v>
      </c>
      <c r="DY232" s="1" t="s">
        <v>1348</v>
      </c>
      <c r="DZ232" s="1">
        <v>-19855</v>
      </c>
      <c r="EA232" s="1">
        <v>3939</v>
      </c>
      <c r="ED232" s="1" t="s">
        <v>50</v>
      </c>
      <c r="EE232" s="1" t="s">
        <v>1349</v>
      </c>
      <c r="EF232" s="1" t="s">
        <v>53</v>
      </c>
      <c r="EG232" s="1" t="s">
        <v>1349</v>
      </c>
      <c r="EH232" s="1" t="s">
        <v>51</v>
      </c>
      <c r="EJ232" s="1" t="s">
        <v>55</v>
      </c>
      <c r="EL232" s="1" t="s">
        <v>57</v>
      </c>
    </row>
    <row r="233" spans="1:142" x14ac:dyDescent="0.2">
      <c r="A233" s="101">
        <v>84669219001</v>
      </c>
      <c r="B233" s="101">
        <v>84669219</v>
      </c>
      <c r="D233" s="1" t="s">
        <v>63</v>
      </c>
      <c r="E233" s="1" t="s">
        <v>44</v>
      </c>
      <c r="F233" s="1" t="s">
        <v>583</v>
      </c>
      <c r="AI233" s="1" t="s">
        <v>551</v>
      </c>
      <c r="AJ233" s="1" t="s">
        <v>44</v>
      </c>
      <c r="AK233" s="1" t="s">
        <v>584</v>
      </c>
      <c r="AL233" s="1" t="s">
        <v>1074</v>
      </c>
      <c r="AR233" s="1" t="s">
        <v>79</v>
      </c>
      <c r="AS233" s="1" t="s">
        <v>71</v>
      </c>
      <c r="AT233" s="1">
        <v>2.2602000000000002</v>
      </c>
      <c r="AV233" s="1" t="s">
        <v>982</v>
      </c>
      <c r="AW233" s="1" t="s">
        <v>1314</v>
      </c>
      <c r="AX233" s="1">
        <v>33344608</v>
      </c>
      <c r="BA233" s="1" t="s">
        <v>69</v>
      </c>
      <c r="BB233" s="1" t="s">
        <v>574</v>
      </c>
      <c r="BC233" s="1" t="s">
        <v>456</v>
      </c>
      <c r="BD233" s="1" t="s">
        <v>555</v>
      </c>
      <c r="BG233" s="1" t="s">
        <v>558</v>
      </c>
      <c r="BH233" s="1">
        <v>13</v>
      </c>
      <c r="BI233" s="1" t="s">
        <v>431</v>
      </c>
      <c r="BJ233" s="1" t="s">
        <v>67</v>
      </c>
      <c r="BK233" s="1" t="s">
        <v>440</v>
      </c>
      <c r="BL233" s="1">
        <v>0</v>
      </c>
      <c r="BM233" s="1" t="s">
        <v>982</v>
      </c>
      <c r="BN233" s="1" t="s">
        <v>1314</v>
      </c>
      <c r="BP233" s="1">
        <v>33344608</v>
      </c>
      <c r="BR233" s="1" t="s">
        <v>69</v>
      </c>
      <c r="BS233" s="1" t="s">
        <v>1023</v>
      </c>
      <c r="BT233" s="1" t="s">
        <v>574</v>
      </c>
      <c r="BU233" s="1" t="s">
        <v>456</v>
      </c>
      <c r="BV233" s="1" t="s">
        <v>555</v>
      </c>
      <c r="BY233" s="1" t="s">
        <v>558</v>
      </c>
      <c r="BZ233" s="1">
        <v>13</v>
      </c>
      <c r="CJ233" s="1">
        <v>2.1201099999999999</v>
      </c>
      <c r="CK233" s="1">
        <v>2.11761</v>
      </c>
      <c r="CL233" s="1">
        <v>2.1226099999999999</v>
      </c>
      <c r="CR233" s="1">
        <v>50376.101396627702</v>
      </c>
      <c r="CS233" s="1">
        <v>49625.31</v>
      </c>
      <c r="CT233" s="1">
        <v>51126.9</v>
      </c>
      <c r="CU233" s="1">
        <v>0.15110000000000001</v>
      </c>
      <c r="CZ233" s="1">
        <v>50376.1</v>
      </c>
      <c r="DA233" s="1">
        <v>50376.1</v>
      </c>
      <c r="DB233" s="1">
        <v>-21392.01</v>
      </c>
      <c r="DC233" s="1">
        <v>71768.11</v>
      </c>
      <c r="DD233" s="2">
        <v>1801.6</v>
      </c>
      <c r="DG233" s="1">
        <v>472.54</v>
      </c>
      <c r="DL233" s="1">
        <v>-33642302.549999997</v>
      </c>
      <c r="DM233" s="1">
        <v>-33365962.440000001</v>
      </c>
      <c r="DN233" s="1">
        <v>-276340.09999999998</v>
      </c>
      <c r="DO233" s="1">
        <v>2.2602000000000002</v>
      </c>
      <c r="DP233" s="1" t="s">
        <v>1357</v>
      </c>
      <c r="DQ233" s="1" t="s">
        <v>1357</v>
      </c>
      <c r="DS233" s="1">
        <v>33692678.649999999</v>
      </c>
      <c r="DT233" s="1">
        <v>33344570.43</v>
      </c>
      <c r="DU233" s="1">
        <v>348108.22</v>
      </c>
      <c r="DV233" s="1">
        <v>2.42794</v>
      </c>
      <c r="DW233" s="1" t="s">
        <v>1357</v>
      </c>
      <c r="DX233" s="1" t="s">
        <v>1357</v>
      </c>
      <c r="DY233" s="1" t="s">
        <v>864</v>
      </c>
      <c r="DZ233" s="1">
        <v>31278</v>
      </c>
      <c r="EA233" s="1">
        <v>69474</v>
      </c>
      <c r="ED233" s="1" t="s">
        <v>50</v>
      </c>
      <c r="EE233" s="1" t="s">
        <v>1358</v>
      </c>
      <c r="EF233" s="1" t="s">
        <v>53</v>
      </c>
      <c r="EG233" s="1" t="s">
        <v>1358</v>
      </c>
      <c r="EH233" s="1" t="s">
        <v>51</v>
      </c>
      <c r="EJ233" s="1" t="s">
        <v>55</v>
      </c>
      <c r="EL233" s="1" t="s">
        <v>57</v>
      </c>
    </row>
    <row r="234" spans="1:142" x14ac:dyDescent="0.2">
      <c r="A234" s="101">
        <v>85020997001</v>
      </c>
      <c r="B234" s="101">
        <v>85020997</v>
      </c>
      <c r="D234" s="1" t="s">
        <v>63</v>
      </c>
      <c r="E234" s="1" t="s">
        <v>44</v>
      </c>
      <c r="F234" s="1" t="s">
        <v>583</v>
      </c>
      <c r="AI234" s="1" t="s">
        <v>551</v>
      </c>
      <c r="AJ234" s="1" t="s">
        <v>44</v>
      </c>
      <c r="AK234" s="1" t="s">
        <v>584</v>
      </c>
      <c r="AL234" s="1" t="s">
        <v>872</v>
      </c>
      <c r="AR234" s="1" t="s">
        <v>79</v>
      </c>
      <c r="AS234" s="1" t="s">
        <v>71</v>
      </c>
      <c r="AT234" s="1">
        <v>2.2292000000000001</v>
      </c>
      <c r="AV234" s="1" t="s">
        <v>969</v>
      </c>
      <c r="AW234" s="1" t="s">
        <v>1314</v>
      </c>
      <c r="AX234" s="1">
        <v>14917170</v>
      </c>
      <c r="BA234" s="1" t="s">
        <v>69</v>
      </c>
      <c r="BB234" s="1" t="s">
        <v>574</v>
      </c>
      <c r="BC234" s="1" t="s">
        <v>456</v>
      </c>
      <c r="BD234" s="1" t="s">
        <v>555</v>
      </c>
      <c r="BG234" s="1" t="s">
        <v>558</v>
      </c>
      <c r="BH234" s="1">
        <v>13</v>
      </c>
      <c r="BI234" s="1" t="s">
        <v>431</v>
      </c>
      <c r="BJ234" s="1" t="s">
        <v>67</v>
      </c>
      <c r="BK234" s="1" t="s">
        <v>440</v>
      </c>
      <c r="BL234" s="1">
        <v>0</v>
      </c>
      <c r="BM234" s="1" t="s">
        <v>969</v>
      </c>
      <c r="BN234" s="1" t="s">
        <v>1314</v>
      </c>
      <c r="BP234" s="1">
        <v>14917170</v>
      </c>
      <c r="BR234" s="1" t="s">
        <v>69</v>
      </c>
      <c r="BS234" s="1" t="s">
        <v>1023</v>
      </c>
      <c r="BT234" s="1" t="s">
        <v>574</v>
      </c>
      <c r="BU234" s="1" t="s">
        <v>456</v>
      </c>
      <c r="BV234" s="1" t="s">
        <v>555</v>
      </c>
      <c r="BY234" s="1" t="s">
        <v>558</v>
      </c>
      <c r="BZ234" s="1">
        <v>13</v>
      </c>
      <c r="CJ234" s="1">
        <v>2.1201099999999999</v>
      </c>
      <c r="CK234" s="1">
        <v>2.11761</v>
      </c>
      <c r="CL234" s="1">
        <v>2.1226099999999999</v>
      </c>
      <c r="CR234" s="1">
        <v>22992.331330984802</v>
      </c>
      <c r="CS234" s="1">
        <v>22665.67</v>
      </c>
      <c r="CT234" s="1">
        <v>23318.99</v>
      </c>
      <c r="CU234" s="1">
        <v>0.15409999999999999</v>
      </c>
      <c r="CZ234" s="1">
        <v>22992.33</v>
      </c>
      <c r="DA234" s="1">
        <v>22992.33</v>
      </c>
      <c r="DB234" s="1">
        <v>-7195.51</v>
      </c>
      <c r="DC234" s="1">
        <v>30187.84</v>
      </c>
      <c r="DD234" s="2">
        <v>805.31</v>
      </c>
      <c r="DG234" s="1">
        <v>211.25</v>
      </c>
      <c r="DL234" s="1">
        <v>-15037964.970000001</v>
      </c>
      <c r="DM234" s="1">
        <v>-14924349.34</v>
      </c>
      <c r="DN234" s="1">
        <v>-113615.63</v>
      </c>
      <c r="DO234" s="1">
        <v>2.2292000000000001</v>
      </c>
      <c r="DP234" s="1" t="s">
        <v>1357</v>
      </c>
      <c r="DQ234" s="1" t="s">
        <v>1357</v>
      </c>
      <c r="DS234" s="1">
        <v>15060957.300000001</v>
      </c>
      <c r="DT234" s="1">
        <v>14917153.83</v>
      </c>
      <c r="DU234" s="1">
        <v>143803.47</v>
      </c>
      <c r="DV234" s="1">
        <v>2.40516</v>
      </c>
      <c r="DW234" s="1" t="s">
        <v>1357</v>
      </c>
      <c r="DX234" s="1" t="s">
        <v>1357</v>
      </c>
      <c r="DY234" s="1" t="s">
        <v>872</v>
      </c>
      <c r="DZ234" s="1">
        <v>14456</v>
      </c>
      <c r="EA234" s="1">
        <v>31529</v>
      </c>
      <c r="ED234" s="1" t="s">
        <v>50</v>
      </c>
      <c r="EE234" s="1" t="s">
        <v>1359</v>
      </c>
      <c r="EF234" s="1" t="s">
        <v>53</v>
      </c>
      <c r="EG234" s="1" t="s">
        <v>1359</v>
      </c>
      <c r="EH234" s="1" t="s">
        <v>51</v>
      </c>
      <c r="EJ234" s="1" t="s">
        <v>55</v>
      </c>
      <c r="EL234" s="1" t="s">
        <v>57</v>
      </c>
    </row>
    <row r="235" spans="1:142" x14ac:dyDescent="0.2">
      <c r="A235" s="101">
        <v>85955642001</v>
      </c>
      <c r="B235" s="101">
        <v>85955642</v>
      </c>
      <c r="D235" s="1" t="s">
        <v>334</v>
      </c>
      <c r="E235" s="1" t="s">
        <v>44</v>
      </c>
      <c r="F235" s="1" t="s">
        <v>583</v>
      </c>
      <c r="AI235" s="1" t="s">
        <v>551</v>
      </c>
      <c r="AJ235" s="1" t="s">
        <v>44</v>
      </c>
      <c r="AK235" s="1" t="s">
        <v>584</v>
      </c>
      <c r="AL235" s="1" t="s">
        <v>1363</v>
      </c>
      <c r="AR235" s="1" t="s">
        <v>79</v>
      </c>
      <c r="AS235" s="1" t="s">
        <v>71</v>
      </c>
      <c r="AT235" s="1">
        <v>2.4582000000000002</v>
      </c>
      <c r="AV235" s="1" t="s">
        <v>1251</v>
      </c>
      <c r="AW235" s="1" t="s">
        <v>1110</v>
      </c>
      <c r="AX235" s="1">
        <v>49323000</v>
      </c>
      <c r="BA235" s="1" t="s">
        <v>69</v>
      </c>
      <c r="BB235" s="1" t="s">
        <v>574</v>
      </c>
      <c r="BC235" s="1" t="s">
        <v>456</v>
      </c>
      <c r="BD235" s="1" t="s">
        <v>555</v>
      </c>
      <c r="BG235" s="1" t="s">
        <v>558</v>
      </c>
      <c r="BH235" s="1">
        <v>13</v>
      </c>
      <c r="BI235" s="1" t="s">
        <v>431</v>
      </c>
      <c r="BJ235" s="1" t="s">
        <v>67</v>
      </c>
      <c r="BK235" s="1" t="s">
        <v>440</v>
      </c>
      <c r="BL235" s="1">
        <v>0</v>
      </c>
      <c r="BM235" s="1" t="s">
        <v>1251</v>
      </c>
      <c r="BN235" s="1" t="s">
        <v>1110</v>
      </c>
      <c r="BP235" s="1">
        <v>49323000</v>
      </c>
      <c r="BR235" s="1" t="s">
        <v>69</v>
      </c>
      <c r="BS235" s="1" t="s">
        <v>1023</v>
      </c>
      <c r="BT235" s="1" t="s">
        <v>574</v>
      </c>
      <c r="BU235" s="1" t="s">
        <v>456</v>
      </c>
      <c r="BV235" s="1" t="s">
        <v>555</v>
      </c>
      <c r="BY235" s="1" t="s">
        <v>558</v>
      </c>
      <c r="BZ235" s="1">
        <v>13</v>
      </c>
      <c r="CJ235" s="1">
        <v>2.2820399999999998</v>
      </c>
      <c r="CK235" s="1">
        <v>2.2795399999999999</v>
      </c>
      <c r="CL235" s="1">
        <v>2.2845399999999998</v>
      </c>
      <c r="CR235" s="1">
        <v>30453.886769503399</v>
      </c>
      <c r="CS235" s="1">
        <v>29833.52</v>
      </c>
      <c r="CT235" s="1">
        <v>31074.25</v>
      </c>
      <c r="CU235" s="1">
        <v>6.1699999999999998E-2</v>
      </c>
      <c r="CZ235" s="1">
        <v>30453.89</v>
      </c>
      <c r="DA235" s="1">
        <v>30453.89</v>
      </c>
      <c r="DB235" s="1">
        <v>-15683.58</v>
      </c>
      <c r="DC235" s="1">
        <v>46137.47</v>
      </c>
      <c r="DD235" s="2">
        <v>1003.11</v>
      </c>
      <c r="DG235" s="1">
        <v>391.17</v>
      </c>
      <c r="DL235" s="1">
        <v>-49702309.380000003</v>
      </c>
      <c r="DM235" s="1">
        <v>-49338571.979999997</v>
      </c>
      <c r="DN235" s="1">
        <v>-363737.4</v>
      </c>
      <c r="DO235" s="1">
        <v>2.4582000000000002</v>
      </c>
      <c r="DP235" s="1" t="s">
        <v>740</v>
      </c>
      <c r="DQ235" s="1" t="s">
        <v>740</v>
      </c>
      <c r="DS235" s="1">
        <v>49732763.270000003</v>
      </c>
      <c r="DT235" s="1">
        <v>49322888.399999999</v>
      </c>
      <c r="DU235" s="1">
        <v>409874.86</v>
      </c>
      <c r="DV235" s="1">
        <v>2.5809299999999999</v>
      </c>
      <c r="DW235" s="1" t="s">
        <v>740</v>
      </c>
      <c r="DX235" s="1" t="s">
        <v>740</v>
      </c>
      <c r="DY235" s="1" t="s">
        <v>1363</v>
      </c>
      <c r="DZ235" s="1">
        <v>19008</v>
      </c>
      <c r="EA235" s="1">
        <v>41900</v>
      </c>
      <c r="ED235" s="1" t="s">
        <v>50</v>
      </c>
      <c r="EE235" s="1" t="s">
        <v>1365</v>
      </c>
      <c r="EF235" s="1" t="s">
        <v>53</v>
      </c>
      <c r="EG235" s="1" t="s">
        <v>1365</v>
      </c>
      <c r="EH235" s="1" t="s">
        <v>51</v>
      </c>
      <c r="EJ235" s="1" t="s">
        <v>55</v>
      </c>
      <c r="EL235" s="1" t="s">
        <v>57</v>
      </c>
    </row>
    <row r="236" spans="1:142" x14ac:dyDescent="0.2">
      <c r="A236" s="101">
        <v>86639455001</v>
      </c>
      <c r="B236" s="101">
        <v>86639455</v>
      </c>
      <c r="D236" s="1" t="s">
        <v>63</v>
      </c>
      <c r="E236" s="1" t="s">
        <v>44</v>
      </c>
      <c r="F236" s="1" t="s">
        <v>583</v>
      </c>
      <c r="AI236" s="1" t="s">
        <v>551</v>
      </c>
      <c r="AJ236" s="1" t="s">
        <v>44</v>
      </c>
      <c r="AK236" s="1" t="s">
        <v>584</v>
      </c>
      <c r="AL236" s="1" t="s">
        <v>1272</v>
      </c>
      <c r="AR236" s="1" t="s">
        <v>79</v>
      </c>
      <c r="AS236" s="1" t="s">
        <v>71</v>
      </c>
      <c r="AT236" s="1">
        <v>2.0354999999999999</v>
      </c>
      <c r="AV236" s="1" t="s">
        <v>724</v>
      </c>
      <c r="AW236" s="1" t="s">
        <v>1366</v>
      </c>
      <c r="AX236" s="1">
        <v>250000000</v>
      </c>
      <c r="BA236" s="1" t="s">
        <v>69</v>
      </c>
      <c r="BB236" s="1" t="s">
        <v>574</v>
      </c>
      <c r="BC236" s="1" t="s">
        <v>456</v>
      </c>
      <c r="BD236" s="1" t="s">
        <v>555</v>
      </c>
      <c r="BG236" s="1" t="s">
        <v>558</v>
      </c>
      <c r="BH236" s="1">
        <v>31</v>
      </c>
      <c r="BI236" s="1" t="s">
        <v>431</v>
      </c>
      <c r="BJ236" s="1" t="s">
        <v>67</v>
      </c>
      <c r="BK236" s="1" t="s">
        <v>440</v>
      </c>
      <c r="BL236" s="1">
        <v>0</v>
      </c>
      <c r="BM236" s="1" t="s">
        <v>724</v>
      </c>
      <c r="BN236" s="1" t="s">
        <v>1366</v>
      </c>
      <c r="BP236" s="1">
        <v>250000000</v>
      </c>
      <c r="BR236" s="1" t="s">
        <v>69</v>
      </c>
      <c r="BS236" s="1" t="s">
        <v>69</v>
      </c>
      <c r="BT236" s="1" t="s">
        <v>574</v>
      </c>
      <c r="BU236" s="1" t="s">
        <v>456</v>
      </c>
      <c r="BV236" s="1" t="s">
        <v>555</v>
      </c>
      <c r="BY236" s="1" t="s">
        <v>558</v>
      </c>
      <c r="BZ236" s="1">
        <v>31</v>
      </c>
      <c r="CJ236" s="1">
        <v>2.0098699999999998</v>
      </c>
      <c r="CK236" s="1">
        <v>2.0073699999999999</v>
      </c>
      <c r="CL236" s="1">
        <v>2.0123700000000002</v>
      </c>
      <c r="CR236" s="1">
        <v>415668.22837013</v>
      </c>
      <c r="CS236" s="1">
        <v>407774.53</v>
      </c>
      <c r="CT236" s="1">
        <v>423561.93</v>
      </c>
      <c r="CU236" s="1">
        <v>0.1663</v>
      </c>
      <c r="CZ236" s="1">
        <v>415668.23</v>
      </c>
      <c r="DA236" s="1">
        <v>415668.23</v>
      </c>
      <c r="DB236" s="1">
        <v>-57481.93</v>
      </c>
      <c r="DC236" s="1">
        <v>473150.16</v>
      </c>
      <c r="DD236" s="2">
        <v>24778.65</v>
      </c>
      <c r="DG236" s="1">
        <v>-468943.48</v>
      </c>
      <c r="DL236" s="1">
        <v>-251428250.38999999</v>
      </c>
      <c r="DM236" s="1">
        <v>-250057114.97999999</v>
      </c>
      <c r="DN236" s="1">
        <v>-1371135.42</v>
      </c>
      <c r="DO236" s="1">
        <v>2.0354999999999999</v>
      </c>
      <c r="DP236" s="1" t="s">
        <v>1367</v>
      </c>
      <c r="DQ236" s="1" t="s">
        <v>1367</v>
      </c>
      <c r="DS236" s="1">
        <v>251843918.62</v>
      </c>
      <c r="DT236" s="1">
        <v>249999633.05000001</v>
      </c>
      <c r="DU236" s="1">
        <v>1844285.58</v>
      </c>
      <c r="DV236" s="1">
        <v>2.0123700000000002</v>
      </c>
      <c r="DW236" s="1" t="s">
        <v>1367</v>
      </c>
      <c r="DX236" s="1" t="s">
        <v>1367</v>
      </c>
      <c r="DY236" s="1" t="s">
        <v>1187</v>
      </c>
      <c r="DZ236" s="1">
        <v>166659</v>
      </c>
      <c r="EA236" s="1">
        <v>664678</v>
      </c>
      <c r="ED236" s="1" t="s">
        <v>50</v>
      </c>
      <c r="EE236" s="1" t="s">
        <v>1368</v>
      </c>
      <c r="EF236" s="1" t="s">
        <v>53</v>
      </c>
      <c r="EG236" s="1" t="s">
        <v>1368</v>
      </c>
      <c r="EH236" s="1" t="s">
        <v>51</v>
      </c>
      <c r="EJ236" s="1" t="s">
        <v>55</v>
      </c>
      <c r="EL236" s="1" t="s">
        <v>57</v>
      </c>
    </row>
    <row r="237" spans="1:142" x14ac:dyDescent="0.2">
      <c r="A237" s="101">
        <v>87021461001</v>
      </c>
      <c r="B237" s="101">
        <v>87021461</v>
      </c>
      <c r="D237" s="1" t="s">
        <v>43</v>
      </c>
      <c r="E237" s="1" t="s">
        <v>44</v>
      </c>
      <c r="F237" s="1" t="s">
        <v>583</v>
      </c>
      <c r="AI237" s="1" t="s">
        <v>551</v>
      </c>
      <c r="AJ237" s="1" t="s">
        <v>44</v>
      </c>
      <c r="AK237" s="1" t="s">
        <v>584</v>
      </c>
      <c r="AL237" s="1" t="s">
        <v>724</v>
      </c>
      <c r="AR237" s="1" t="s">
        <v>79</v>
      </c>
      <c r="AS237" s="1" t="s">
        <v>71</v>
      </c>
      <c r="AT237" s="1">
        <v>3.3632</v>
      </c>
      <c r="AV237" s="1" t="s">
        <v>868</v>
      </c>
      <c r="AW237" s="1" t="s">
        <v>1113</v>
      </c>
      <c r="AX237" s="1">
        <v>4100000</v>
      </c>
      <c r="BA237" s="1" t="s">
        <v>69</v>
      </c>
      <c r="BB237" s="1" t="s">
        <v>574</v>
      </c>
      <c r="BC237" s="1" t="s">
        <v>456</v>
      </c>
      <c r="BD237" s="1" t="s">
        <v>555</v>
      </c>
      <c r="BG237" s="1" t="s">
        <v>558</v>
      </c>
      <c r="BH237" s="1">
        <v>24</v>
      </c>
      <c r="BI237" s="1" t="s">
        <v>431</v>
      </c>
      <c r="BJ237" s="1" t="s">
        <v>67</v>
      </c>
      <c r="BK237" s="1" t="s">
        <v>440</v>
      </c>
      <c r="BL237" s="1">
        <v>0</v>
      </c>
      <c r="BM237" s="1" t="s">
        <v>868</v>
      </c>
      <c r="BN237" s="1" t="s">
        <v>1113</v>
      </c>
      <c r="BP237" s="1">
        <v>4100000</v>
      </c>
      <c r="BR237" s="1" t="s">
        <v>69</v>
      </c>
      <c r="BS237" s="1" t="s">
        <v>1023</v>
      </c>
      <c r="BT237" s="1" t="s">
        <v>574</v>
      </c>
      <c r="BU237" s="1" t="s">
        <v>456</v>
      </c>
      <c r="BV237" s="1" t="s">
        <v>555</v>
      </c>
      <c r="BY237" s="1" t="s">
        <v>558</v>
      </c>
      <c r="BZ237" s="1">
        <v>24</v>
      </c>
      <c r="CJ237" s="1">
        <v>2.25983</v>
      </c>
      <c r="CK237" s="1">
        <v>2.2573300000000001</v>
      </c>
      <c r="CL237" s="1">
        <v>2.26233</v>
      </c>
      <c r="CR237" s="1">
        <v>-14667.6846065233</v>
      </c>
      <c r="CS237" s="1">
        <v>-14768.22</v>
      </c>
      <c r="CT237" s="1">
        <v>-14567.15</v>
      </c>
      <c r="CU237" s="1">
        <v>-0.35770000000000002</v>
      </c>
      <c r="CZ237" s="1">
        <v>-14667.68</v>
      </c>
      <c r="DA237" s="1">
        <v>-14667.68</v>
      </c>
      <c r="DB237" s="1">
        <v>-10035.379999999999</v>
      </c>
      <c r="DC237" s="1">
        <v>-4632.3</v>
      </c>
      <c r="DD237" s="2">
        <v>97.81</v>
      </c>
      <c r="DG237" s="1">
        <v>37.99</v>
      </c>
      <c r="DL237" s="1">
        <v>-4213446.96</v>
      </c>
      <c r="DM237" s="1">
        <v>-4110028.56</v>
      </c>
      <c r="DN237" s="1">
        <v>-103418.4</v>
      </c>
      <c r="DO237" s="1">
        <v>3.3632</v>
      </c>
      <c r="DP237" s="1" t="s">
        <v>1114</v>
      </c>
      <c r="DQ237" s="1" t="s">
        <v>1114</v>
      </c>
      <c r="DS237" s="1">
        <v>4198779.28</v>
      </c>
      <c r="DT237" s="1">
        <v>4099993.18</v>
      </c>
      <c r="DU237" s="1">
        <v>98786.1</v>
      </c>
      <c r="DV237" s="1">
        <v>2.9984500000000001</v>
      </c>
      <c r="DW237" s="1" t="s">
        <v>1114</v>
      </c>
      <c r="DX237" s="1" t="s">
        <v>1114</v>
      </c>
      <c r="DY237" s="1" t="s">
        <v>929</v>
      </c>
      <c r="DZ237" s="1">
        <v>-15773</v>
      </c>
      <c r="EA237" s="1">
        <v>-13563</v>
      </c>
      <c r="ED237" s="1" t="s">
        <v>50</v>
      </c>
      <c r="EE237" s="1" t="s">
        <v>1151</v>
      </c>
      <c r="EF237" s="1" t="s">
        <v>53</v>
      </c>
      <c r="EG237" s="1" t="s">
        <v>1151</v>
      </c>
      <c r="EH237" s="1" t="s">
        <v>51</v>
      </c>
      <c r="EJ237" s="1" t="s">
        <v>55</v>
      </c>
      <c r="EL237" s="1" t="s">
        <v>57</v>
      </c>
    </row>
    <row r="238" spans="1:142" x14ac:dyDescent="0.2">
      <c r="A238" s="101">
        <v>87086121001</v>
      </c>
      <c r="B238" s="101">
        <v>87086121</v>
      </c>
      <c r="D238" s="1" t="s">
        <v>43</v>
      </c>
      <c r="E238" s="1" t="s">
        <v>44</v>
      </c>
      <c r="F238" s="1" t="s">
        <v>583</v>
      </c>
      <c r="AI238" s="1" t="s">
        <v>551</v>
      </c>
      <c r="AJ238" s="1" t="s">
        <v>44</v>
      </c>
      <c r="AK238" s="1" t="s">
        <v>584</v>
      </c>
      <c r="AL238" s="1" t="s">
        <v>1131</v>
      </c>
      <c r="AR238" s="1" t="s">
        <v>79</v>
      </c>
      <c r="AS238" s="1" t="s">
        <v>71</v>
      </c>
      <c r="AT238" s="1">
        <v>1.9852000000000001</v>
      </c>
      <c r="AV238" s="1" t="s">
        <v>725</v>
      </c>
      <c r="AW238" s="1" t="s">
        <v>1407</v>
      </c>
      <c r="AX238" s="1">
        <v>50000000</v>
      </c>
      <c r="BA238" s="1" t="s">
        <v>69</v>
      </c>
      <c r="BB238" s="1" t="s">
        <v>574</v>
      </c>
      <c r="BC238" s="1" t="s">
        <v>456</v>
      </c>
      <c r="BD238" s="1" t="s">
        <v>555</v>
      </c>
      <c r="BG238" s="1" t="s">
        <v>558</v>
      </c>
      <c r="BH238" s="1">
        <v>31</v>
      </c>
      <c r="BI238" s="1" t="s">
        <v>431</v>
      </c>
      <c r="BJ238" s="1" t="s">
        <v>67</v>
      </c>
      <c r="BK238" s="1" t="s">
        <v>440</v>
      </c>
      <c r="BL238" s="1">
        <v>0</v>
      </c>
      <c r="BM238" s="1" t="s">
        <v>725</v>
      </c>
      <c r="BN238" s="1" t="s">
        <v>1407</v>
      </c>
      <c r="BP238" s="1">
        <v>50000000</v>
      </c>
      <c r="BR238" s="1" t="s">
        <v>69</v>
      </c>
      <c r="BS238" s="1" t="s">
        <v>69</v>
      </c>
      <c r="BT238" s="1" t="s">
        <v>574</v>
      </c>
      <c r="BU238" s="1" t="s">
        <v>456</v>
      </c>
      <c r="BV238" s="1" t="s">
        <v>555</v>
      </c>
      <c r="BY238" s="1" t="s">
        <v>558</v>
      </c>
      <c r="BZ238" s="1">
        <v>31</v>
      </c>
      <c r="CJ238" s="1">
        <v>1.9538199999999999</v>
      </c>
      <c r="CK238" s="1">
        <v>1.9513199999999999</v>
      </c>
      <c r="CL238" s="1">
        <v>1.9563200000000001</v>
      </c>
      <c r="CR238" s="1">
        <v>67536.988110236794</v>
      </c>
      <c r="CS238" s="1">
        <v>65072.05</v>
      </c>
      <c r="CT238" s="1">
        <v>70001.919999999998</v>
      </c>
      <c r="CU238" s="1">
        <v>0.1351</v>
      </c>
      <c r="CZ238" s="1">
        <v>67536.990000000005</v>
      </c>
      <c r="DA238" s="1">
        <v>67536.990000000005</v>
      </c>
      <c r="DB238" s="1">
        <v>-22044.36</v>
      </c>
      <c r="DC238" s="1">
        <v>89581.35</v>
      </c>
      <c r="DD238" s="2">
        <v>8663.2999999999993</v>
      </c>
      <c r="DG238" s="1">
        <v>659.15</v>
      </c>
      <c r="DL238" s="1">
        <v>-50264368.600000001</v>
      </c>
      <c r="DM238" s="1">
        <v>-50021733.049999997</v>
      </c>
      <c r="DN238" s="1">
        <v>-242635.56</v>
      </c>
      <c r="DO238" s="1">
        <v>1.9852000000000001</v>
      </c>
      <c r="DP238" s="1" t="s">
        <v>1408</v>
      </c>
      <c r="DQ238" s="1" t="s">
        <v>1409</v>
      </c>
      <c r="DS238" s="1">
        <v>50331905.590000004</v>
      </c>
      <c r="DT238" s="1">
        <v>49999688.689999998</v>
      </c>
      <c r="DU238" s="1">
        <v>332216.90000000002</v>
      </c>
      <c r="DV238" s="1">
        <v>2.2307899999999998</v>
      </c>
      <c r="DW238" s="1" t="s">
        <v>1408</v>
      </c>
      <c r="DX238" s="1" t="s">
        <v>1409</v>
      </c>
      <c r="DY238" s="1" t="s">
        <v>1410</v>
      </c>
      <c r="DZ238" s="1">
        <v>-17096</v>
      </c>
      <c r="EA238" s="1">
        <v>152170</v>
      </c>
      <c r="ED238" s="1" t="s">
        <v>50</v>
      </c>
      <c r="EE238" s="1" t="s">
        <v>1411</v>
      </c>
      <c r="EF238" s="1" t="s">
        <v>53</v>
      </c>
      <c r="EG238" s="1" t="s">
        <v>1411</v>
      </c>
      <c r="EH238" s="1" t="s">
        <v>51</v>
      </c>
      <c r="EJ238" s="1" t="s">
        <v>55</v>
      </c>
      <c r="EL238" s="1" t="s">
        <v>57</v>
      </c>
    </row>
    <row r="239" spans="1:142" x14ac:dyDescent="0.2">
      <c r="A239" s="101">
        <v>87382287001</v>
      </c>
      <c r="B239" s="101">
        <v>87382287</v>
      </c>
      <c r="D239" s="1" t="s">
        <v>63</v>
      </c>
      <c r="E239" s="1" t="s">
        <v>44</v>
      </c>
      <c r="F239" s="1" t="s">
        <v>583</v>
      </c>
      <c r="AI239" s="1" t="s">
        <v>551</v>
      </c>
      <c r="AJ239" s="1" t="s">
        <v>44</v>
      </c>
      <c r="AK239" s="1" t="s">
        <v>584</v>
      </c>
      <c r="AL239" s="1" t="s">
        <v>927</v>
      </c>
      <c r="AR239" s="1" t="s">
        <v>79</v>
      </c>
      <c r="AS239" s="1" t="s">
        <v>71</v>
      </c>
      <c r="AT239" s="1">
        <v>2.4007000000000001</v>
      </c>
      <c r="AV239" s="1" t="s">
        <v>926</v>
      </c>
      <c r="AW239" s="1" t="s">
        <v>795</v>
      </c>
      <c r="AX239" s="1">
        <v>98697400</v>
      </c>
      <c r="BA239" s="1" t="s">
        <v>69</v>
      </c>
      <c r="BB239" s="1" t="s">
        <v>574</v>
      </c>
      <c r="BC239" s="1" t="s">
        <v>456</v>
      </c>
      <c r="BD239" s="1" t="s">
        <v>555</v>
      </c>
      <c r="BG239" s="1" t="s">
        <v>558</v>
      </c>
      <c r="BH239" s="1">
        <v>7</v>
      </c>
      <c r="BI239" s="1" t="s">
        <v>431</v>
      </c>
      <c r="BJ239" s="1" t="s">
        <v>67</v>
      </c>
      <c r="BK239" s="1" t="s">
        <v>440</v>
      </c>
      <c r="BL239" s="1">
        <v>0</v>
      </c>
      <c r="BM239" s="1" t="s">
        <v>926</v>
      </c>
      <c r="BN239" s="1" t="s">
        <v>795</v>
      </c>
      <c r="BP239" s="1">
        <v>98697400</v>
      </c>
      <c r="BR239" s="1" t="s">
        <v>69</v>
      </c>
      <c r="BS239" s="1" t="s">
        <v>1023</v>
      </c>
      <c r="BT239" s="1" t="s">
        <v>574</v>
      </c>
      <c r="BU239" s="1" t="s">
        <v>456</v>
      </c>
      <c r="BV239" s="1" t="s">
        <v>555</v>
      </c>
      <c r="BY239" s="1" t="s">
        <v>558</v>
      </c>
      <c r="BZ239" s="1">
        <v>7</v>
      </c>
      <c r="CJ239" s="1">
        <v>2.2350099999999999</v>
      </c>
      <c r="CK239" s="1">
        <v>2.23251</v>
      </c>
      <c r="CL239" s="1">
        <v>2.2375099999999999</v>
      </c>
      <c r="CR239" s="1">
        <v>29356.525283589999</v>
      </c>
      <c r="CS239" s="1">
        <v>28123.54</v>
      </c>
      <c r="CT239" s="1">
        <v>30589.51</v>
      </c>
      <c r="CU239" s="1">
        <v>2.9700000000000001E-2</v>
      </c>
      <c r="CZ239" s="1">
        <v>29356.53</v>
      </c>
      <c r="DA239" s="1">
        <v>29356.53</v>
      </c>
      <c r="DB239" s="1">
        <v>-39872.54</v>
      </c>
      <c r="DC239" s="1">
        <v>69229.070000000007</v>
      </c>
      <c r="DD239" s="2">
        <v>2659.21</v>
      </c>
      <c r="DG239" s="1">
        <v>982.22</v>
      </c>
      <c r="DL239" s="1">
        <v>-99283491.420000002</v>
      </c>
      <c r="DM239" s="1">
        <v>-98737206.519999996</v>
      </c>
      <c r="DN239" s="1">
        <v>-546284.9</v>
      </c>
      <c r="DO239" s="1">
        <v>2.4007000000000001</v>
      </c>
      <c r="DP239" s="1" t="s">
        <v>1426</v>
      </c>
      <c r="DQ239" s="1" t="s">
        <v>1426</v>
      </c>
      <c r="DS239" s="1">
        <v>99312847.939999998</v>
      </c>
      <c r="DT239" s="1">
        <v>98697333.980000004</v>
      </c>
      <c r="DU239" s="1">
        <v>615513.97</v>
      </c>
      <c r="DV239" s="1">
        <v>2.4602200000000001</v>
      </c>
      <c r="DW239" s="1" t="s">
        <v>1426</v>
      </c>
      <c r="DX239" s="1" t="s">
        <v>1426</v>
      </c>
      <c r="DY239" s="1" t="s">
        <v>927</v>
      </c>
      <c r="DZ239" s="1">
        <v>-360</v>
      </c>
      <c r="EA239" s="1">
        <v>59073</v>
      </c>
      <c r="ED239" s="1" t="s">
        <v>50</v>
      </c>
      <c r="EE239" s="1" t="s">
        <v>1427</v>
      </c>
      <c r="EF239" s="1" t="s">
        <v>53</v>
      </c>
      <c r="EG239" s="1" t="s">
        <v>1427</v>
      </c>
      <c r="EH239" s="1" t="s">
        <v>51</v>
      </c>
      <c r="EJ239" s="1" t="s">
        <v>55</v>
      </c>
      <c r="EL239" s="1" t="s">
        <v>57</v>
      </c>
    </row>
    <row r="240" spans="1:142" x14ac:dyDescent="0.2">
      <c r="A240" s="101">
        <v>87382294001</v>
      </c>
      <c r="B240" s="101">
        <v>87382294</v>
      </c>
      <c r="D240" s="1" t="s">
        <v>334</v>
      </c>
      <c r="E240" s="1" t="s">
        <v>44</v>
      </c>
      <c r="F240" s="1" t="s">
        <v>583</v>
      </c>
      <c r="AI240" s="1" t="s">
        <v>551</v>
      </c>
      <c r="AJ240" s="1" t="s">
        <v>44</v>
      </c>
      <c r="AK240" s="1" t="s">
        <v>584</v>
      </c>
      <c r="AL240" s="1" t="s">
        <v>927</v>
      </c>
      <c r="AR240" s="1" t="s">
        <v>79</v>
      </c>
      <c r="AS240" s="1" t="s">
        <v>71</v>
      </c>
      <c r="AT240" s="1">
        <v>2.5596999999999999</v>
      </c>
      <c r="AV240" s="1" t="s">
        <v>926</v>
      </c>
      <c r="AW240" s="1" t="s">
        <v>743</v>
      </c>
      <c r="AX240" s="1">
        <v>99088387</v>
      </c>
      <c r="BA240" s="1" t="s">
        <v>69</v>
      </c>
      <c r="BB240" s="1" t="s">
        <v>574</v>
      </c>
      <c r="BC240" s="1" t="s">
        <v>456</v>
      </c>
      <c r="BD240" s="1" t="s">
        <v>555</v>
      </c>
      <c r="BG240" s="1" t="s">
        <v>558</v>
      </c>
      <c r="BH240" s="1">
        <v>7</v>
      </c>
      <c r="BI240" s="1" t="s">
        <v>431</v>
      </c>
      <c r="BJ240" s="1" t="s">
        <v>67</v>
      </c>
      <c r="BK240" s="1" t="s">
        <v>440</v>
      </c>
      <c r="BL240" s="1">
        <v>0</v>
      </c>
      <c r="BM240" s="1" t="s">
        <v>926</v>
      </c>
      <c r="BN240" s="1" t="s">
        <v>743</v>
      </c>
      <c r="BP240" s="1">
        <v>99088387</v>
      </c>
      <c r="BR240" s="1" t="s">
        <v>69</v>
      </c>
      <c r="BS240" s="1" t="s">
        <v>1023</v>
      </c>
      <c r="BT240" s="1" t="s">
        <v>574</v>
      </c>
      <c r="BU240" s="1" t="s">
        <v>456</v>
      </c>
      <c r="BV240" s="1" t="s">
        <v>555</v>
      </c>
      <c r="BY240" s="1" t="s">
        <v>558</v>
      </c>
      <c r="BZ240" s="1">
        <v>7</v>
      </c>
      <c r="CJ240" s="1">
        <v>2.3475000000000001</v>
      </c>
      <c r="CK240" s="1">
        <v>2.3450000000000002</v>
      </c>
      <c r="CL240" s="1">
        <v>2.35</v>
      </c>
      <c r="CR240" s="1">
        <v>13438.909901589201</v>
      </c>
      <c r="CS240" s="1">
        <v>12615.22</v>
      </c>
      <c r="CT240" s="1">
        <v>14262.6</v>
      </c>
      <c r="CU240" s="1">
        <v>1.3599999999999999E-2</v>
      </c>
      <c r="CZ240" s="1">
        <v>13438.91</v>
      </c>
      <c r="DA240" s="1">
        <v>13438.91</v>
      </c>
      <c r="DB240" s="1">
        <v>-19740.25</v>
      </c>
      <c r="DC240" s="1">
        <v>33179.160000000003</v>
      </c>
      <c r="DD240" s="2">
        <v>994.65</v>
      </c>
      <c r="DG240" s="1">
        <v>482.12</v>
      </c>
      <c r="DL240" s="1">
        <v>-99692850.459999993</v>
      </c>
      <c r="DM240" s="1">
        <v>-99108077.310000002</v>
      </c>
      <c r="DN240" s="1">
        <v>-584773.14</v>
      </c>
      <c r="DO240" s="1">
        <v>2.5596999999999999</v>
      </c>
      <c r="DP240" s="1" t="s">
        <v>1296</v>
      </c>
      <c r="DQ240" s="1" t="s">
        <v>1296</v>
      </c>
      <c r="DS240" s="1">
        <v>99706289.370000005</v>
      </c>
      <c r="DT240" s="1">
        <v>99088337.060000002</v>
      </c>
      <c r="DU240" s="1">
        <v>617952.31000000006</v>
      </c>
      <c r="DV240" s="1">
        <v>2.6004900000000002</v>
      </c>
      <c r="DW240" s="1" t="s">
        <v>1296</v>
      </c>
      <c r="DX240" s="1" t="s">
        <v>1296</v>
      </c>
      <c r="DY240" s="1" t="s">
        <v>927</v>
      </c>
      <c r="DZ240" s="1">
        <v>1764</v>
      </c>
      <c r="EA240" s="1">
        <v>25114</v>
      </c>
      <c r="ED240" s="1" t="s">
        <v>50</v>
      </c>
      <c r="EE240" s="1" t="s">
        <v>1430</v>
      </c>
      <c r="EF240" s="1" t="s">
        <v>53</v>
      </c>
      <c r="EG240" s="1" t="s">
        <v>1430</v>
      </c>
      <c r="EH240" s="1" t="s">
        <v>51</v>
      </c>
      <c r="EJ240" s="1" t="s">
        <v>55</v>
      </c>
      <c r="EL240" s="1" t="s">
        <v>57</v>
      </c>
    </row>
    <row r="241" spans="1:142" x14ac:dyDescent="0.2">
      <c r="A241" s="101">
        <v>87457621001</v>
      </c>
      <c r="B241" s="101">
        <v>87457621</v>
      </c>
      <c r="D241" s="1" t="s">
        <v>334</v>
      </c>
      <c r="E241" s="1" t="s">
        <v>44</v>
      </c>
      <c r="F241" s="1" t="s">
        <v>583</v>
      </c>
      <c r="AI241" s="1" t="s">
        <v>551</v>
      </c>
      <c r="AJ241" s="1" t="s">
        <v>44</v>
      </c>
      <c r="AK241" s="1" t="s">
        <v>584</v>
      </c>
      <c r="AL241" s="1" t="s">
        <v>922</v>
      </c>
      <c r="AR241" s="1" t="s">
        <v>79</v>
      </c>
      <c r="AS241" s="1" t="s">
        <v>71</v>
      </c>
      <c r="AT241" s="1">
        <v>2.5642</v>
      </c>
      <c r="AV241" s="1" t="s">
        <v>933</v>
      </c>
      <c r="AW241" s="1" t="s">
        <v>1022</v>
      </c>
      <c r="AX241" s="1">
        <v>59428006</v>
      </c>
      <c r="BA241" s="1" t="s">
        <v>69</v>
      </c>
      <c r="BB241" s="1" t="s">
        <v>574</v>
      </c>
      <c r="BC241" s="1" t="s">
        <v>456</v>
      </c>
      <c r="BD241" s="1" t="s">
        <v>555</v>
      </c>
      <c r="BG241" s="1" t="s">
        <v>558</v>
      </c>
      <c r="BH241" s="1">
        <v>14</v>
      </c>
      <c r="BI241" s="1" t="s">
        <v>431</v>
      </c>
      <c r="BJ241" s="1" t="s">
        <v>67</v>
      </c>
      <c r="BK241" s="1" t="s">
        <v>440</v>
      </c>
      <c r="BL241" s="1">
        <v>0</v>
      </c>
      <c r="BM241" s="1" t="s">
        <v>933</v>
      </c>
      <c r="BN241" s="1" t="s">
        <v>1022</v>
      </c>
      <c r="BP241" s="1">
        <v>59428006</v>
      </c>
      <c r="BR241" s="1" t="s">
        <v>69</v>
      </c>
      <c r="BS241" s="1" t="s">
        <v>1023</v>
      </c>
      <c r="BT241" s="1" t="s">
        <v>574</v>
      </c>
      <c r="BU241" s="1" t="s">
        <v>456</v>
      </c>
      <c r="BV241" s="1" t="s">
        <v>555</v>
      </c>
      <c r="BY241" s="1" t="s">
        <v>558</v>
      </c>
      <c r="BZ241" s="1">
        <v>14</v>
      </c>
      <c r="CJ241" s="1">
        <v>2.3311500000000001</v>
      </c>
      <c r="CK241" s="1">
        <v>2.3286500000000001</v>
      </c>
      <c r="CL241" s="1">
        <v>2.33365</v>
      </c>
      <c r="CR241" s="1">
        <v>3079.7459501550002</v>
      </c>
      <c r="CS241" s="1">
        <v>2561.2600000000002</v>
      </c>
      <c r="CT241" s="1">
        <v>3598.23</v>
      </c>
      <c r="CU241" s="1">
        <v>5.1999999999999998E-3</v>
      </c>
      <c r="CZ241" s="1">
        <v>3079.75</v>
      </c>
      <c r="DA241" s="1">
        <v>3079.75</v>
      </c>
      <c r="DB241" s="1">
        <v>-15589.11</v>
      </c>
      <c r="DC241" s="1">
        <v>18668.86</v>
      </c>
      <c r="DD241" s="2">
        <v>712.22</v>
      </c>
      <c r="DG241" s="1">
        <v>285.51</v>
      </c>
      <c r="DL241" s="1">
        <v>-59790663.68</v>
      </c>
      <c r="DM241" s="1">
        <v>-59443563.840000004</v>
      </c>
      <c r="DN241" s="1">
        <v>-347099.83</v>
      </c>
      <c r="DO241" s="1">
        <v>2.5642</v>
      </c>
      <c r="DP241" s="1" t="s">
        <v>745</v>
      </c>
      <c r="DQ241" s="1" t="s">
        <v>745</v>
      </c>
      <c r="DS241" s="1">
        <v>59793743.420000002</v>
      </c>
      <c r="DT241" s="1">
        <v>59427974.729999997</v>
      </c>
      <c r="DU241" s="1">
        <v>365768.69</v>
      </c>
      <c r="DV241" s="1">
        <v>2.5790500000000001</v>
      </c>
      <c r="DW241" s="1" t="s">
        <v>745</v>
      </c>
      <c r="DX241" s="1" t="s">
        <v>745</v>
      </c>
      <c r="DY241" s="1" t="s">
        <v>922</v>
      </c>
      <c r="DZ241" s="1">
        <v>-5222</v>
      </c>
      <c r="EA241" s="1">
        <v>11381</v>
      </c>
      <c r="ED241" s="1" t="s">
        <v>50</v>
      </c>
      <c r="EE241" s="1" t="s">
        <v>1424</v>
      </c>
      <c r="EF241" s="1" t="s">
        <v>53</v>
      </c>
      <c r="EG241" s="1" t="s">
        <v>1424</v>
      </c>
      <c r="EH241" s="1" t="s">
        <v>51</v>
      </c>
      <c r="EJ241" s="1" t="s">
        <v>55</v>
      </c>
      <c r="EL241" s="1" t="s">
        <v>57</v>
      </c>
    </row>
    <row r="242" spans="1:142" x14ac:dyDescent="0.2">
      <c r="A242" s="101">
        <v>87457623001</v>
      </c>
      <c r="B242" s="101">
        <v>87457623</v>
      </c>
      <c r="D242" s="1" t="s">
        <v>334</v>
      </c>
      <c r="E242" s="1" t="s">
        <v>44</v>
      </c>
      <c r="F242" s="1" t="s">
        <v>583</v>
      </c>
      <c r="AI242" s="1" t="s">
        <v>551</v>
      </c>
      <c r="AJ242" s="1" t="s">
        <v>44</v>
      </c>
      <c r="AK242" s="1" t="s">
        <v>584</v>
      </c>
      <c r="AL242" s="1" t="s">
        <v>922</v>
      </c>
      <c r="AR242" s="1" t="s">
        <v>79</v>
      </c>
      <c r="AS242" s="1" t="s">
        <v>71</v>
      </c>
      <c r="AT242" s="1">
        <v>2.6682000000000001</v>
      </c>
      <c r="AV242" s="1" t="s">
        <v>933</v>
      </c>
      <c r="AW242" s="1" t="s">
        <v>1344</v>
      </c>
      <c r="AX242" s="1">
        <v>11912591</v>
      </c>
      <c r="BA242" s="1" t="s">
        <v>69</v>
      </c>
      <c r="BB242" s="1" t="s">
        <v>574</v>
      </c>
      <c r="BC242" s="1" t="s">
        <v>456</v>
      </c>
      <c r="BD242" s="1" t="s">
        <v>555</v>
      </c>
      <c r="BG242" s="1" t="s">
        <v>558</v>
      </c>
      <c r="BH242" s="1">
        <v>8</v>
      </c>
      <c r="BI242" s="1" t="s">
        <v>431</v>
      </c>
      <c r="BJ242" s="1" t="s">
        <v>67</v>
      </c>
      <c r="BK242" s="1" t="s">
        <v>440</v>
      </c>
      <c r="BL242" s="1">
        <v>0</v>
      </c>
      <c r="BM242" s="1" t="s">
        <v>933</v>
      </c>
      <c r="BN242" s="1" t="s">
        <v>1344</v>
      </c>
      <c r="BP242" s="1">
        <v>11912591</v>
      </c>
      <c r="BR242" s="1" t="s">
        <v>69</v>
      </c>
      <c r="BS242" s="1" t="s">
        <v>1023</v>
      </c>
      <c r="BT242" s="1" t="s">
        <v>574</v>
      </c>
      <c r="BU242" s="1" t="s">
        <v>456</v>
      </c>
      <c r="BV242" s="1" t="s">
        <v>555</v>
      </c>
      <c r="BY242" s="1" t="s">
        <v>558</v>
      </c>
      <c r="BZ242" s="1">
        <v>8</v>
      </c>
      <c r="CJ242" s="1">
        <v>2.4168400000000001</v>
      </c>
      <c r="CK242" s="1">
        <v>2.4143400000000002</v>
      </c>
      <c r="CL242" s="1">
        <v>2.41934</v>
      </c>
      <c r="CR242" s="1">
        <v>294.53173216990001</v>
      </c>
      <c r="CS242" s="1">
        <v>220.12</v>
      </c>
      <c r="CT242" s="1">
        <v>368.94</v>
      </c>
      <c r="CU242" s="1">
        <v>2.5000000000000001E-3</v>
      </c>
      <c r="CZ242" s="1">
        <v>294.52999999999997</v>
      </c>
      <c r="DA242" s="1">
        <v>294.52999999999997</v>
      </c>
      <c r="DB242" s="1">
        <v>-625.76</v>
      </c>
      <c r="DC242" s="1">
        <v>920.29</v>
      </c>
      <c r="DD242" s="2">
        <v>23.3</v>
      </c>
      <c r="DG242" s="1">
        <v>-0.33</v>
      </c>
      <c r="DL242" s="1">
        <v>-11985611.390000001</v>
      </c>
      <c r="DM242" s="1">
        <v>-11913211.82</v>
      </c>
      <c r="DN242" s="1">
        <v>-72399.570000000007</v>
      </c>
      <c r="DO242" s="1">
        <v>2.6682000000000001</v>
      </c>
      <c r="DP242" s="1" t="s">
        <v>1055</v>
      </c>
      <c r="DQ242" s="1" t="s">
        <v>1055</v>
      </c>
      <c r="DS242" s="1">
        <v>11985905.92</v>
      </c>
      <c r="DT242" s="1">
        <v>11912586.060000001</v>
      </c>
      <c r="DU242" s="1">
        <v>73319.86</v>
      </c>
      <c r="DV242" s="1">
        <v>2.6781000000000001</v>
      </c>
      <c r="DW242" s="1" t="s">
        <v>1055</v>
      </c>
      <c r="DX242" s="1" t="s">
        <v>1055</v>
      </c>
      <c r="DY242" s="1" t="s">
        <v>922</v>
      </c>
      <c r="DZ242" s="1">
        <v>13</v>
      </c>
      <c r="EA242" s="1">
        <v>576</v>
      </c>
      <c r="ED242" s="1" t="s">
        <v>50</v>
      </c>
      <c r="EE242" s="1" t="s">
        <v>1425</v>
      </c>
      <c r="EF242" s="1" t="s">
        <v>53</v>
      </c>
      <c r="EG242" s="1" t="s">
        <v>1425</v>
      </c>
      <c r="EH242" s="1" t="s">
        <v>51</v>
      </c>
      <c r="EJ242" s="1" t="s">
        <v>55</v>
      </c>
      <c r="EL242" s="1" t="s">
        <v>57</v>
      </c>
    </row>
    <row r="243" spans="1:142" x14ac:dyDescent="0.2">
      <c r="A243" s="101">
        <v>87457630001</v>
      </c>
      <c r="B243" s="101">
        <v>87457630</v>
      </c>
      <c r="D243" s="1" t="s">
        <v>334</v>
      </c>
      <c r="E243" s="1" t="s">
        <v>44</v>
      </c>
      <c r="F243" s="1" t="s">
        <v>583</v>
      </c>
      <c r="AI243" s="1" t="s">
        <v>551</v>
      </c>
      <c r="AJ243" s="1" t="s">
        <v>44</v>
      </c>
      <c r="AK243" s="1" t="s">
        <v>584</v>
      </c>
      <c r="AL243" s="1" t="s">
        <v>922</v>
      </c>
      <c r="AR243" s="1" t="s">
        <v>79</v>
      </c>
      <c r="AS243" s="1" t="s">
        <v>71</v>
      </c>
      <c r="AT243" s="1">
        <v>2.4432</v>
      </c>
      <c r="AV243" s="1" t="s">
        <v>933</v>
      </c>
      <c r="AW243" s="1" t="s">
        <v>1426</v>
      </c>
      <c r="AX243" s="1">
        <v>59214032</v>
      </c>
      <c r="BA243" s="1" t="s">
        <v>69</v>
      </c>
      <c r="BB243" s="1" t="s">
        <v>574</v>
      </c>
      <c r="BC243" s="1" t="s">
        <v>456</v>
      </c>
      <c r="BD243" s="1" t="s">
        <v>555</v>
      </c>
      <c r="BG243" s="1" t="s">
        <v>558</v>
      </c>
      <c r="BH243" s="1">
        <v>8</v>
      </c>
      <c r="BI243" s="1" t="s">
        <v>431</v>
      </c>
      <c r="BJ243" s="1" t="s">
        <v>67</v>
      </c>
      <c r="BK243" s="1" t="s">
        <v>440</v>
      </c>
      <c r="BL243" s="1">
        <v>0</v>
      </c>
      <c r="BM243" s="1" t="s">
        <v>933</v>
      </c>
      <c r="BN243" s="1" t="s">
        <v>1426</v>
      </c>
      <c r="BP243" s="1">
        <v>59214032</v>
      </c>
      <c r="BR243" s="1" t="s">
        <v>69</v>
      </c>
      <c r="BS243" s="1" t="s">
        <v>1023</v>
      </c>
      <c r="BT243" s="1" t="s">
        <v>574</v>
      </c>
      <c r="BU243" s="1" t="s">
        <v>456</v>
      </c>
      <c r="BV243" s="1" t="s">
        <v>555</v>
      </c>
      <c r="BY243" s="1" t="s">
        <v>558</v>
      </c>
      <c r="BZ243" s="1">
        <v>8</v>
      </c>
      <c r="CJ243" s="1">
        <v>2.2333400000000001</v>
      </c>
      <c r="CK243" s="1">
        <v>2.2308400000000002</v>
      </c>
      <c r="CL243" s="1">
        <v>2.23584</v>
      </c>
      <c r="CR243" s="1">
        <v>3617.9727472588002</v>
      </c>
      <c r="CS243" s="1">
        <v>2878.28</v>
      </c>
      <c r="CT243" s="1">
        <v>4357.67</v>
      </c>
      <c r="CU243" s="1">
        <v>6.1000000000000004E-3</v>
      </c>
      <c r="CZ243" s="1">
        <v>3617.97</v>
      </c>
      <c r="DA243" s="1">
        <v>3617.97</v>
      </c>
      <c r="DB243" s="1">
        <v>-31303.71</v>
      </c>
      <c r="DC243" s="1">
        <v>34921.69</v>
      </c>
      <c r="DD243" s="2">
        <v>1612.02</v>
      </c>
      <c r="DG243" s="1">
        <v>587.97</v>
      </c>
      <c r="DL243" s="1">
        <v>-59574826.219999999</v>
      </c>
      <c r="DM243" s="1">
        <v>-59245296.18</v>
      </c>
      <c r="DN243" s="1">
        <v>-329530.03999999998</v>
      </c>
      <c r="DO243" s="1">
        <v>2.4432</v>
      </c>
      <c r="DP243" s="1" t="s">
        <v>1428</v>
      </c>
      <c r="DQ243" s="1" t="s">
        <v>1428</v>
      </c>
      <c r="DS243" s="1">
        <v>59578444.189999998</v>
      </c>
      <c r="DT243" s="1">
        <v>59213992.469999999</v>
      </c>
      <c r="DU243" s="1">
        <v>364451.72</v>
      </c>
      <c r="DV243" s="1">
        <v>2.4554299999999998</v>
      </c>
      <c r="DW243" s="1" t="s">
        <v>1428</v>
      </c>
      <c r="DX243" s="1" t="s">
        <v>1428</v>
      </c>
      <c r="DY243" s="1" t="s">
        <v>922</v>
      </c>
      <c r="DZ243" s="1">
        <v>-14383</v>
      </c>
      <c r="EA243" s="1">
        <v>21619</v>
      </c>
      <c r="ED243" s="1" t="s">
        <v>50</v>
      </c>
      <c r="EE243" s="1" t="s">
        <v>1429</v>
      </c>
      <c r="EF243" s="1" t="s">
        <v>53</v>
      </c>
      <c r="EG243" s="1" t="s">
        <v>1429</v>
      </c>
      <c r="EH243" s="1" t="s">
        <v>51</v>
      </c>
      <c r="EJ243" s="1" t="s">
        <v>55</v>
      </c>
      <c r="EL243" s="1" t="s">
        <v>57</v>
      </c>
    </row>
    <row r="244" spans="1:142" x14ac:dyDescent="0.2">
      <c r="A244" s="101">
        <v>87457634001</v>
      </c>
      <c r="B244" s="101">
        <v>87457634</v>
      </c>
      <c r="D244" s="1" t="s">
        <v>334</v>
      </c>
      <c r="E244" s="1" t="s">
        <v>44</v>
      </c>
      <c r="F244" s="1" t="s">
        <v>583</v>
      </c>
      <c r="AI244" s="1" t="s">
        <v>551</v>
      </c>
      <c r="AJ244" s="1" t="s">
        <v>44</v>
      </c>
      <c r="AK244" s="1" t="s">
        <v>584</v>
      </c>
      <c r="AL244" s="1" t="s">
        <v>922</v>
      </c>
      <c r="AR244" s="1" t="s">
        <v>79</v>
      </c>
      <c r="AS244" s="1" t="s">
        <v>71</v>
      </c>
      <c r="AT244" s="1">
        <v>2.6751999999999998</v>
      </c>
      <c r="AV244" s="1" t="s">
        <v>933</v>
      </c>
      <c r="AW244" s="1" t="s">
        <v>1344</v>
      </c>
      <c r="AX244" s="1">
        <v>49646270</v>
      </c>
      <c r="BA244" s="1" t="s">
        <v>69</v>
      </c>
      <c r="BB244" s="1" t="s">
        <v>574</v>
      </c>
      <c r="BC244" s="1" t="s">
        <v>456</v>
      </c>
      <c r="BD244" s="1" t="s">
        <v>555</v>
      </c>
      <c r="BG244" s="1" t="s">
        <v>558</v>
      </c>
      <c r="BH244" s="1">
        <v>8</v>
      </c>
      <c r="BI244" s="1" t="s">
        <v>431</v>
      </c>
      <c r="BJ244" s="1" t="s">
        <v>67</v>
      </c>
      <c r="BK244" s="1" t="s">
        <v>440</v>
      </c>
      <c r="BL244" s="1">
        <v>0</v>
      </c>
      <c r="BM244" s="1" t="s">
        <v>933</v>
      </c>
      <c r="BN244" s="1" t="s">
        <v>1344</v>
      </c>
      <c r="BP244" s="1">
        <v>49646270</v>
      </c>
      <c r="BR244" s="1" t="s">
        <v>69</v>
      </c>
      <c r="BS244" s="1" t="s">
        <v>1023</v>
      </c>
      <c r="BT244" s="1" t="s">
        <v>574</v>
      </c>
      <c r="BU244" s="1" t="s">
        <v>456</v>
      </c>
      <c r="BV244" s="1" t="s">
        <v>555</v>
      </c>
      <c r="BY244" s="1" t="s">
        <v>558</v>
      </c>
      <c r="BZ244" s="1">
        <v>8</v>
      </c>
      <c r="CJ244" s="1">
        <v>2.4168400000000001</v>
      </c>
      <c r="CK244" s="1">
        <v>2.4143400000000002</v>
      </c>
      <c r="CL244" s="1">
        <v>2.41934</v>
      </c>
      <c r="CR244" s="1">
        <v>359.18945691729999</v>
      </c>
      <c r="CS244" s="1">
        <v>49.09</v>
      </c>
      <c r="CT244" s="1">
        <v>669.29</v>
      </c>
      <c r="CU244" s="1">
        <v>6.9999999999999999E-4</v>
      </c>
      <c r="CZ244" s="1">
        <v>359.19</v>
      </c>
      <c r="DA244" s="1">
        <v>359.19</v>
      </c>
      <c r="DB244" s="1">
        <v>-2684.58</v>
      </c>
      <c r="DC244" s="1">
        <v>3043.77</v>
      </c>
      <c r="DD244" s="2">
        <v>97.09</v>
      </c>
      <c r="DG244" s="1">
        <v>-1.44</v>
      </c>
      <c r="DL244" s="1">
        <v>-49951454.100000001</v>
      </c>
      <c r="DM244" s="1">
        <v>-49648934</v>
      </c>
      <c r="DN244" s="1">
        <v>-302520.09999999998</v>
      </c>
      <c r="DO244" s="1">
        <v>2.6751999999999998</v>
      </c>
      <c r="DP244" s="1" t="s">
        <v>1055</v>
      </c>
      <c r="DQ244" s="1" t="s">
        <v>1055</v>
      </c>
      <c r="DS244" s="1">
        <v>49951813.289999999</v>
      </c>
      <c r="DT244" s="1">
        <v>49646249.420000002</v>
      </c>
      <c r="DU244" s="1">
        <v>305563.87</v>
      </c>
      <c r="DV244" s="1">
        <v>2.6781000000000001</v>
      </c>
      <c r="DW244" s="1" t="s">
        <v>1055</v>
      </c>
      <c r="DX244" s="1" t="s">
        <v>1055</v>
      </c>
      <c r="DY244" s="1" t="s">
        <v>922</v>
      </c>
      <c r="DZ244" s="1">
        <v>-814</v>
      </c>
      <c r="EA244" s="1">
        <v>1532</v>
      </c>
      <c r="ED244" s="1" t="s">
        <v>50</v>
      </c>
      <c r="EE244" s="1" t="s">
        <v>1431</v>
      </c>
      <c r="EF244" s="1" t="s">
        <v>53</v>
      </c>
      <c r="EG244" s="1" t="s">
        <v>1431</v>
      </c>
      <c r="EH244" s="1" t="s">
        <v>51</v>
      </c>
      <c r="EJ244" s="1" t="s">
        <v>55</v>
      </c>
      <c r="EL244" s="1" t="s">
        <v>57</v>
      </c>
    </row>
    <row r="245" spans="1:142" x14ac:dyDescent="0.2">
      <c r="A245" s="101">
        <v>87457641001</v>
      </c>
      <c r="B245" s="101">
        <v>87457641</v>
      </c>
      <c r="D245" s="1" t="s">
        <v>334</v>
      </c>
      <c r="E245" s="1" t="s">
        <v>44</v>
      </c>
      <c r="F245" s="1" t="s">
        <v>583</v>
      </c>
      <c r="AI245" s="1" t="s">
        <v>551</v>
      </c>
      <c r="AJ245" s="1" t="s">
        <v>44</v>
      </c>
      <c r="AK245" s="1" t="s">
        <v>584</v>
      </c>
      <c r="AL245" s="1" t="s">
        <v>922</v>
      </c>
      <c r="AR245" s="1" t="s">
        <v>79</v>
      </c>
      <c r="AS245" s="1" t="s">
        <v>71</v>
      </c>
      <c r="AT245" s="1">
        <v>2.2606999999999999</v>
      </c>
      <c r="AV245" s="1" t="s">
        <v>933</v>
      </c>
      <c r="AW245" s="1" t="s">
        <v>967</v>
      </c>
      <c r="AX245" s="1">
        <v>7790817</v>
      </c>
      <c r="BA245" s="1" t="s">
        <v>69</v>
      </c>
      <c r="BB245" s="1" t="s">
        <v>574</v>
      </c>
      <c r="BC245" s="1" t="s">
        <v>456</v>
      </c>
      <c r="BD245" s="1" t="s">
        <v>555</v>
      </c>
      <c r="BG245" s="1" t="s">
        <v>558</v>
      </c>
      <c r="BH245" s="1">
        <v>1</v>
      </c>
      <c r="BI245" s="1" t="s">
        <v>431</v>
      </c>
      <c r="BJ245" s="1" t="s">
        <v>67</v>
      </c>
      <c r="BK245" s="1" t="s">
        <v>440</v>
      </c>
      <c r="BL245" s="1">
        <v>0</v>
      </c>
      <c r="BM245" s="1" t="s">
        <v>933</v>
      </c>
      <c r="BN245" s="1" t="s">
        <v>967</v>
      </c>
      <c r="BP245" s="1">
        <v>7790817</v>
      </c>
      <c r="BR245" s="1" t="s">
        <v>69</v>
      </c>
      <c r="BS245" s="1" t="s">
        <v>1023</v>
      </c>
      <c r="BT245" s="1" t="s">
        <v>574</v>
      </c>
      <c r="BU245" s="1" t="s">
        <v>456</v>
      </c>
      <c r="BV245" s="1" t="s">
        <v>555</v>
      </c>
      <c r="BY245" s="1" t="s">
        <v>558</v>
      </c>
      <c r="BZ245" s="1">
        <v>1</v>
      </c>
      <c r="CJ245" s="1">
        <v>2.0783200000000002</v>
      </c>
      <c r="CK245" s="1">
        <v>2.0758200000000002</v>
      </c>
      <c r="CL245" s="1">
        <v>2.0808200000000001</v>
      </c>
      <c r="CR245" s="1">
        <v>-982.18038467320002</v>
      </c>
      <c r="CS245" s="1">
        <v>-1156.6199999999999</v>
      </c>
      <c r="CT245" s="1">
        <v>-807.74</v>
      </c>
      <c r="CU245" s="1">
        <v>-1.26E-2</v>
      </c>
      <c r="CZ245" s="1">
        <v>-982.18</v>
      </c>
      <c r="DA245" s="1">
        <v>-982.18</v>
      </c>
      <c r="DB245" s="1">
        <v>-8815.44</v>
      </c>
      <c r="DC245" s="1">
        <v>7833.26</v>
      </c>
      <c r="DD245" s="2">
        <v>523.98</v>
      </c>
      <c r="DG245" s="1">
        <v>117.55</v>
      </c>
      <c r="DL245" s="1">
        <v>-7839742.3600000003</v>
      </c>
      <c r="DM245" s="1">
        <v>-7799624.5499999998</v>
      </c>
      <c r="DN245" s="1">
        <v>-40117.82</v>
      </c>
      <c r="DO245" s="1">
        <v>2.2606999999999999</v>
      </c>
      <c r="DP245" s="1" t="s">
        <v>968</v>
      </c>
      <c r="DQ245" s="1" t="s">
        <v>968</v>
      </c>
      <c r="DS245" s="1">
        <v>7838760.1799999997</v>
      </c>
      <c r="DT245" s="1">
        <v>7790809.1100000003</v>
      </c>
      <c r="DU245" s="1">
        <v>47951.08</v>
      </c>
      <c r="DV245" s="1">
        <v>2.2466200000000001</v>
      </c>
      <c r="DW245" s="1" t="s">
        <v>968</v>
      </c>
      <c r="DX245" s="1" t="s">
        <v>968</v>
      </c>
      <c r="DY245" s="1" t="s">
        <v>922</v>
      </c>
      <c r="DZ245" s="1">
        <v>-6427</v>
      </c>
      <c r="EA245" s="1">
        <v>4463</v>
      </c>
      <c r="ED245" s="1" t="s">
        <v>50</v>
      </c>
      <c r="EE245" s="1" t="s">
        <v>1432</v>
      </c>
      <c r="EF245" s="1" t="s">
        <v>53</v>
      </c>
      <c r="EG245" s="1" t="s">
        <v>1432</v>
      </c>
      <c r="EH245" s="1" t="s">
        <v>51</v>
      </c>
      <c r="EJ245" s="1" t="s">
        <v>55</v>
      </c>
      <c r="EL245" s="1" t="s">
        <v>57</v>
      </c>
    </row>
    <row r="246" spans="1:142" x14ac:dyDescent="0.2">
      <c r="A246" s="101">
        <v>87524073001</v>
      </c>
      <c r="B246" s="101">
        <v>87524073</v>
      </c>
      <c r="D246" s="1" t="s">
        <v>334</v>
      </c>
      <c r="E246" s="1" t="s">
        <v>44</v>
      </c>
      <c r="F246" s="1" t="s">
        <v>583</v>
      </c>
      <c r="AI246" s="1" t="s">
        <v>551</v>
      </c>
      <c r="AJ246" s="1" t="s">
        <v>44</v>
      </c>
      <c r="AK246" s="1" t="s">
        <v>584</v>
      </c>
      <c r="AL246" s="1" t="s">
        <v>926</v>
      </c>
      <c r="AR246" s="1" t="s">
        <v>79</v>
      </c>
      <c r="AS246" s="1" t="s">
        <v>71</v>
      </c>
      <c r="AT246" s="1">
        <v>2.4432</v>
      </c>
      <c r="AV246" s="1" t="s">
        <v>1155</v>
      </c>
      <c r="AW246" s="1" t="s">
        <v>1428</v>
      </c>
      <c r="AX246" s="1">
        <v>59196409</v>
      </c>
      <c r="BA246" s="1" t="s">
        <v>69</v>
      </c>
      <c r="BB246" s="1" t="s">
        <v>574</v>
      </c>
      <c r="BC246" s="1" t="s">
        <v>456</v>
      </c>
      <c r="BD246" s="1" t="s">
        <v>555</v>
      </c>
      <c r="BG246" s="1" t="s">
        <v>558</v>
      </c>
      <c r="BH246" s="1">
        <v>9</v>
      </c>
      <c r="BI246" s="1" t="s">
        <v>431</v>
      </c>
      <c r="BJ246" s="1" t="s">
        <v>67</v>
      </c>
      <c r="BK246" s="1" t="s">
        <v>440</v>
      </c>
      <c r="BL246" s="1">
        <v>0</v>
      </c>
      <c r="BM246" s="1" t="s">
        <v>1155</v>
      </c>
      <c r="BN246" s="1" t="s">
        <v>1428</v>
      </c>
      <c r="BP246" s="1">
        <v>59196409</v>
      </c>
      <c r="BR246" s="1" t="s">
        <v>69</v>
      </c>
      <c r="BS246" s="1" t="s">
        <v>1023</v>
      </c>
      <c r="BT246" s="1" t="s">
        <v>574</v>
      </c>
      <c r="BU246" s="1" t="s">
        <v>456</v>
      </c>
      <c r="BV246" s="1" t="s">
        <v>555</v>
      </c>
      <c r="BY246" s="1" t="s">
        <v>558</v>
      </c>
      <c r="BZ246" s="1">
        <v>9</v>
      </c>
      <c r="CJ246" s="1">
        <v>2.2317</v>
      </c>
      <c r="CK246" s="1">
        <v>2.2292000000000001</v>
      </c>
      <c r="CL246" s="1">
        <v>2.2342</v>
      </c>
      <c r="CR246" s="1">
        <v>2200.3834838495</v>
      </c>
      <c r="CS246" s="1">
        <v>1460.95</v>
      </c>
      <c r="CT246" s="1">
        <v>2939.81</v>
      </c>
      <c r="CU246" s="1">
        <v>3.7000000000000002E-3</v>
      </c>
      <c r="CZ246" s="1">
        <v>2200.38</v>
      </c>
      <c r="DA246" s="1">
        <v>2200.38</v>
      </c>
      <c r="DB246" s="1">
        <v>-31902.69</v>
      </c>
      <c r="DC246" s="1">
        <v>34103.07</v>
      </c>
      <c r="DD246" s="2">
        <v>1627.8</v>
      </c>
      <c r="DG246" s="1">
        <v>587.34</v>
      </c>
      <c r="DL246" s="1">
        <v>-59553686.75</v>
      </c>
      <c r="DM246" s="1">
        <v>-59228272.25</v>
      </c>
      <c r="DN246" s="1">
        <v>-325414.5</v>
      </c>
      <c r="DO246" s="1">
        <v>2.4432</v>
      </c>
      <c r="DP246" s="1" t="s">
        <v>1330</v>
      </c>
      <c r="DQ246" s="1" t="s">
        <v>1330</v>
      </c>
      <c r="DS246" s="1">
        <v>59555887.130000003</v>
      </c>
      <c r="DT246" s="1">
        <v>59196369.560000002</v>
      </c>
      <c r="DU246" s="1">
        <v>359517.57</v>
      </c>
      <c r="DV246" s="1">
        <v>2.4506399999999999</v>
      </c>
      <c r="DW246" s="1" t="s">
        <v>1330</v>
      </c>
      <c r="DX246" s="1" t="s">
        <v>1330</v>
      </c>
      <c r="DY246" s="1" t="s">
        <v>926</v>
      </c>
      <c r="DZ246" s="1">
        <v>-15963</v>
      </c>
      <c r="EA246" s="1">
        <v>20364</v>
      </c>
      <c r="ED246" s="1" t="s">
        <v>50</v>
      </c>
      <c r="EE246" s="1" t="s">
        <v>1433</v>
      </c>
      <c r="EF246" s="1" t="s">
        <v>53</v>
      </c>
      <c r="EG246" s="1" t="s">
        <v>1433</v>
      </c>
      <c r="EH246" s="1" t="s">
        <v>51</v>
      </c>
      <c r="EJ246" s="1" t="s">
        <v>55</v>
      </c>
      <c r="EL246" s="1" t="s">
        <v>57</v>
      </c>
    </row>
    <row r="247" spans="1:142" x14ac:dyDescent="0.2">
      <c r="A247" s="101">
        <v>87524259001</v>
      </c>
      <c r="B247" s="101">
        <v>87524259</v>
      </c>
      <c r="D247" s="1" t="s">
        <v>63</v>
      </c>
      <c r="E247" s="1" t="s">
        <v>44</v>
      </c>
      <c r="F247" s="1" t="s">
        <v>602</v>
      </c>
      <c r="I247" s="1">
        <v>86.912999999999997</v>
      </c>
      <c r="J247" s="1" t="s">
        <v>589</v>
      </c>
      <c r="V247" s="1" t="s">
        <v>1340</v>
      </c>
      <c r="AI247" s="1" t="s">
        <v>551</v>
      </c>
      <c r="AJ247" s="1" t="s">
        <v>44</v>
      </c>
      <c r="AK247" s="1" t="s">
        <v>602</v>
      </c>
      <c r="AL247" s="1" t="s">
        <v>926</v>
      </c>
      <c r="AT247" s="1">
        <v>3.25</v>
      </c>
      <c r="AV247" s="1" t="s">
        <v>1340</v>
      </c>
      <c r="AW247" s="1" t="s">
        <v>1106</v>
      </c>
      <c r="AX247" s="1">
        <v>23000000</v>
      </c>
      <c r="BA247" s="1" t="s">
        <v>69</v>
      </c>
      <c r="BB247" s="1" t="s">
        <v>560</v>
      </c>
      <c r="BG247" s="1" t="s">
        <v>556</v>
      </c>
      <c r="BY247" s="1" t="s">
        <v>556</v>
      </c>
      <c r="CR247" s="1">
        <v>-1093667.55527943</v>
      </c>
      <c r="CU247" s="1">
        <v>-4.7550999999999997</v>
      </c>
      <c r="DD247" s="2">
        <v>-30588.75</v>
      </c>
      <c r="DG247" s="1">
        <v>-1381.74</v>
      </c>
      <c r="ED247" s="1" t="s">
        <v>50</v>
      </c>
      <c r="EE247" s="1" t="s">
        <v>1434</v>
      </c>
      <c r="EF247" s="1" t="s">
        <v>53</v>
      </c>
      <c r="EG247" s="1" t="s">
        <v>1434</v>
      </c>
      <c r="EH247" s="1" t="s">
        <v>51</v>
      </c>
      <c r="EJ247" s="1" t="s">
        <v>55</v>
      </c>
      <c r="EL247" s="1" t="s">
        <v>57</v>
      </c>
    </row>
    <row r="248" spans="1:142" x14ac:dyDescent="0.2">
      <c r="A248" s="101">
        <v>87524261001</v>
      </c>
      <c r="B248" s="101">
        <v>87524261</v>
      </c>
      <c r="D248" s="1" t="s">
        <v>172</v>
      </c>
      <c r="E248" s="1" t="s">
        <v>44</v>
      </c>
      <c r="F248" s="1" t="s">
        <v>602</v>
      </c>
      <c r="I248" s="1">
        <v>86.351969999999994</v>
      </c>
      <c r="J248" s="1" t="s">
        <v>589</v>
      </c>
      <c r="V248" s="1" t="s">
        <v>211</v>
      </c>
      <c r="AI248" s="1" t="s">
        <v>551</v>
      </c>
      <c r="AJ248" s="1" t="s">
        <v>44</v>
      </c>
      <c r="AK248" s="1" t="s">
        <v>602</v>
      </c>
      <c r="AL248" s="1" t="s">
        <v>926</v>
      </c>
      <c r="AT248" s="1">
        <v>3.25</v>
      </c>
      <c r="AV248" s="1" t="s">
        <v>211</v>
      </c>
      <c r="AW248" s="1" t="s">
        <v>1106</v>
      </c>
      <c r="AX248" s="1">
        <v>22700000</v>
      </c>
      <c r="BA248" s="1" t="s">
        <v>69</v>
      </c>
      <c r="BB248" s="1" t="s">
        <v>560</v>
      </c>
      <c r="BG248" s="1" t="s">
        <v>556</v>
      </c>
      <c r="BY248" s="1" t="s">
        <v>556</v>
      </c>
      <c r="CR248" s="1">
        <v>-1065222.9223995099</v>
      </c>
      <c r="CU248" s="1">
        <v>-4.6925999999999997</v>
      </c>
      <c r="DD248" s="2">
        <v>-29424.86</v>
      </c>
      <c r="DG248" s="1">
        <v>-1413.58</v>
      </c>
      <c r="ED248" s="1" t="s">
        <v>50</v>
      </c>
      <c r="EE248" s="1" t="s">
        <v>1435</v>
      </c>
      <c r="EF248" s="1" t="s">
        <v>53</v>
      </c>
      <c r="EG248" s="1" t="s">
        <v>1435</v>
      </c>
      <c r="EH248" s="1" t="s">
        <v>51</v>
      </c>
      <c r="EJ248" s="1" t="s">
        <v>55</v>
      </c>
      <c r="EL248" s="1" t="s">
        <v>57</v>
      </c>
    </row>
    <row r="249" spans="1:142" x14ac:dyDescent="0.2">
      <c r="A249" s="101">
        <v>87524263001</v>
      </c>
      <c r="B249" s="101">
        <v>87524263</v>
      </c>
      <c r="D249" s="1" t="s">
        <v>172</v>
      </c>
      <c r="E249" s="1" t="s">
        <v>44</v>
      </c>
      <c r="F249" s="1" t="s">
        <v>602</v>
      </c>
      <c r="I249" s="1">
        <v>85.492000000000004</v>
      </c>
      <c r="J249" s="1" t="s">
        <v>589</v>
      </c>
      <c r="V249" s="1" t="s">
        <v>176</v>
      </c>
      <c r="AI249" s="1" t="s">
        <v>551</v>
      </c>
      <c r="AJ249" s="1" t="s">
        <v>44</v>
      </c>
      <c r="AK249" s="1" t="s">
        <v>602</v>
      </c>
      <c r="AL249" s="1" t="s">
        <v>926</v>
      </c>
      <c r="AT249" s="1">
        <v>3.25</v>
      </c>
      <c r="AV249" s="1" t="s">
        <v>176</v>
      </c>
      <c r="AW249" s="1" t="s">
        <v>1106</v>
      </c>
      <c r="AX249" s="1">
        <v>11000000</v>
      </c>
      <c r="BA249" s="1" t="s">
        <v>69</v>
      </c>
      <c r="BB249" s="1" t="s">
        <v>560</v>
      </c>
      <c r="BG249" s="1" t="s">
        <v>556</v>
      </c>
      <c r="BY249" s="1" t="s">
        <v>556</v>
      </c>
      <c r="CR249" s="1">
        <v>-538462.58013374603</v>
      </c>
      <c r="CU249" s="1">
        <v>-4.8951000000000002</v>
      </c>
      <c r="DD249" s="2">
        <v>-13291.42</v>
      </c>
      <c r="DG249" s="1">
        <v>-742.01</v>
      </c>
      <c r="ED249" s="1" t="s">
        <v>50</v>
      </c>
      <c r="EE249" s="1" t="s">
        <v>1436</v>
      </c>
      <c r="EF249" s="1" t="s">
        <v>53</v>
      </c>
      <c r="EG249" s="1" t="s">
        <v>1436</v>
      </c>
      <c r="EH249" s="1" t="s">
        <v>51</v>
      </c>
      <c r="EJ249" s="1" t="s">
        <v>55</v>
      </c>
      <c r="EL249" s="1" t="s">
        <v>57</v>
      </c>
    </row>
    <row r="250" spans="1:142" x14ac:dyDescent="0.2">
      <c r="A250" s="101">
        <v>87579585001</v>
      </c>
      <c r="B250" s="101">
        <v>87579585</v>
      </c>
      <c r="D250" s="1" t="s">
        <v>63</v>
      </c>
      <c r="E250" s="1" t="s">
        <v>44</v>
      </c>
      <c r="F250" s="1" t="s">
        <v>583</v>
      </c>
      <c r="AI250" s="1" t="s">
        <v>551</v>
      </c>
      <c r="AJ250" s="1" t="s">
        <v>44</v>
      </c>
      <c r="AK250" s="1" t="s">
        <v>584</v>
      </c>
      <c r="AL250" s="1" t="s">
        <v>933</v>
      </c>
      <c r="AR250" s="1" t="s">
        <v>79</v>
      </c>
      <c r="AS250" s="1" t="s">
        <v>71</v>
      </c>
      <c r="AT250" s="1">
        <v>2.5731999999999999</v>
      </c>
      <c r="AV250" s="1" t="s">
        <v>1156</v>
      </c>
      <c r="AW250" s="1" t="s">
        <v>1019</v>
      </c>
      <c r="AX250" s="1">
        <v>32676646</v>
      </c>
      <c r="BA250" s="1" t="s">
        <v>69</v>
      </c>
      <c r="BB250" s="1" t="s">
        <v>574</v>
      </c>
      <c r="BC250" s="1" t="s">
        <v>456</v>
      </c>
      <c r="BD250" s="1" t="s">
        <v>555</v>
      </c>
      <c r="BG250" s="1" t="s">
        <v>558</v>
      </c>
      <c r="BH250" s="1">
        <v>12</v>
      </c>
      <c r="BI250" s="1" t="s">
        <v>431</v>
      </c>
      <c r="BJ250" s="1" t="s">
        <v>67</v>
      </c>
      <c r="BK250" s="1" t="s">
        <v>440</v>
      </c>
      <c r="BL250" s="1">
        <v>0</v>
      </c>
      <c r="BM250" s="1" t="s">
        <v>1156</v>
      </c>
      <c r="BN250" s="1" t="s">
        <v>1019</v>
      </c>
      <c r="BP250" s="1">
        <v>32676646</v>
      </c>
      <c r="BR250" s="1" t="s">
        <v>69</v>
      </c>
      <c r="BS250" s="1" t="s">
        <v>1023</v>
      </c>
      <c r="BT250" s="1" t="s">
        <v>574</v>
      </c>
      <c r="BU250" s="1" t="s">
        <v>456</v>
      </c>
      <c r="BV250" s="1" t="s">
        <v>555</v>
      </c>
      <c r="BY250" s="1" t="s">
        <v>558</v>
      </c>
      <c r="BZ250" s="1">
        <v>12</v>
      </c>
      <c r="CJ250" s="1">
        <v>2.3351999999999999</v>
      </c>
      <c r="CK250" s="1">
        <v>2.3327</v>
      </c>
      <c r="CL250" s="1">
        <v>2.3376999999999999</v>
      </c>
      <c r="CR250" s="1">
        <v>555.18078080559997</v>
      </c>
      <c r="CS250" s="1">
        <v>279.11</v>
      </c>
      <c r="CT250" s="1">
        <v>831.25</v>
      </c>
      <c r="CU250" s="1">
        <v>1.6999999999999999E-3</v>
      </c>
      <c r="CZ250" s="1">
        <v>555.17999999999995</v>
      </c>
      <c r="DA250" s="1">
        <v>555.17999999999995</v>
      </c>
      <c r="DB250" s="1">
        <v>-8381.26</v>
      </c>
      <c r="DC250" s="1">
        <v>8936.44</v>
      </c>
      <c r="DD250" s="2">
        <v>373.4</v>
      </c>
      <c r="DG250" s="1">
        <v>156.58000000000001</v>
      </c>
      <c r="DL250" s="1">
        <v>-32871862.969999999</v>
      </c>
      <c r="DM250" s="1">
        <v>-32685010.649999999</v>
      </c>
      <c r="DN250" s="1">
        <v>-186852.32</v>
      </c>
      <c r="DO250" s="1">
        <v>2.5731999999999999</v>
      </c>
      <c r="DP250" s="1" t="s">
        <v>1419</v>
      </c>
      <c r="DQ250" s="1" t="s">
        <v>1419</v>
      </c>
      <c r="DS250" s="1">
        <v>32872418.149999999</v>
      </c>
      <c r="DT250" s="1">
        <v>32676629.390000001</v>
      </c>
      <c r="DU250" s="1">
        <v>195788.77</v>
      </c>
      <c r="DV250" s="1">
        <v>2.57823</v>
      </c>
      <c r="DW250" s="1" t="s">
        <v>1419</v>
      </c>
      <c r="DX250" s="1" t="s">
        <v>1419</v>
      </c>
      <c r="DY250" s="1" t="s">
        <v>933</v>
      </c>
      <c r="DZ250" s="1">
        <v>-3805</v>
      </c>
      <c r="EA250" s="1">
        <v>4915</v>
      </c>
      <c r="ED250" s="1" t="s">
        <v>50</v>
      </c>
      <c r="EE250" s="1" t="s">
        <v>1437</v>
      </c>
      <c r="EF250" s="1" t="s">
        <v>53</v>
      </c>
      <c r="EG250" s="1" t="s">
        <v>1437</v>
      </c>
      <c r="EH250" s="1" t="s">
        <v>51</v>
      </c>
      <c r="EJ250" s="1" t="s">
        <v>55</v>
      </c>
      <c r="EL250" s="1" t="s">
        <v>57</v>
      </c>
    </row>
    <row r="251" spans="1:142" x14ac:dyDescent="0.2">
      <c r="A251" s="101">
        <v>87579592001</v>
      </c>
      <c r="B251" s="101">
        <v>87579592</v>
      </c>
      <c r="D251" s="1" t="s">
        <v>63</v>
      </c>
      <c r="E251" s="1" t="s">
        <v>44</v>
      </c>
      <c r="F251" s="1" t="s">
        <v>583</v>
      </c>
      <c r="AI251" s="1" t="s">
        <v>551</v>
      </c>
      <c r="AJ251" s="1" t="s">
        <v>44</v>
      </c>
      <c r="AK251" s="1" t="s">
        <v>584</v>
      </c>
      <c r="AL251" s="1" t="s">
        <v>933</v>
      </c>
      <c r="AR251" s="1" t="s">
        <v>79</v>
      </c>
      <c r="AS251" s="1" t="s">
        <v>71</v>
      </c>
      <c r="AT251" s="1">
        <v>2.4426999999999999</v>
      </c>
      <c r="AV251" s="1" t="s">
        <v>1156</v>
      </c>
      <c r="AW251" s="1" t="s">
        <v>1330</v>
      </c>
      <c r="AX251" s="1">
        <v>49330340</v>
      </c>
      <c r="BA251" s="1" t="s">
        <v>69</v>
      </c>
      <c r="BB251" s="1" t="s">
        <v>574</v>
      </c>
      <c r="BC251" s="1" t="s">
        <v>456</v>
      </c>
      <c r="BD251" s="1" t="s">
        <v>555</v>
      </c>
      <c r="BG251" s="1" t="s">
        <v>558</v>
      </c>
      <c r="BH251" s="1">
        <v>10</v>
      </c>
      <c r="BI251" s="1" t="s">
        <v>431</v>
      </c>
      <c r="BJ251" s="1" t="s">
        <v>67</v>
      </c>
      <c r="BK251" s="1" t="s">
        <v>440</v>
      </c>
      <c r="BL251" s="1">
        <v>0</v>
      </c>
      <c r="BM251" s="1" t="s">
        <v>1156</v>
      </c>
      <c r="BN251" s="1" t="s">
        <v>1330</v>
      </c>
      <c r="BP251" s="1">
        <v>49330340</v>
      </c>
      <c r="BR251" s="1" t="s">
        <v>69</v>
      </c>
      <c r="BS251" s="1" t="s">
        <v>1023</v>
      </c>
      <c r="BT251" s="1" t="s">
        <v>574</v>
      </c>
      <c r="BU251" s="1" t="s">
        <v>456</v>
      </c>
      <c r="BV251" s="1" t="s">
        <v>555</v>
      </c>
      <c r="BY251" s="1" t="s">
        <v>558</v>
      </c>
      <c r="BZ251" s="1">
        <v>10</v>
      </c>
      <c r="CJ251" s="1">
        <v>2.2301000000000002</v>
      </c>
      <c r="CK251" s="1">
        <v>2.2275999999999998</v>
      </c>
      <c r="CL251" s="1">
        <v>2.2326000000000001</v>
      </c>
      <c r="CR251" s="1">
        <v>772.64927178619996</v>
      </c>
      <c r="CS251" s="1">
        <v>156.49</v>
      </c>
      <c r="CT251" s="1">
        <v>1388.81</v>
      </c>
      <c r="CU251" s="1">
        <v>1.6000000000000001E-3</v>
      </c>
      <c r="CZ251" s="1">
        <v>772.65</v>
      </c>
      <c r="DA251" s="1">
        <v>772.65</v>
      </c>
      <c r="DB251" s="1">
        <v>-27024.06</v>
      </c>
      <c r="DC251" s="1">
        <v>27796.71</v>
      </c>
      <c r="DD251" s="2">
        <v>1370.04</v>
      </c>
      <c r="DG251" s="1">
        <v>489.19</v>
      </c>
      <c r="DL251" s="1">
        <v>-49625107.310000002</v>
      </c>
      <c r="DM251" s="1">
        <v>-49357331.259999998</v>
      </c>
      <c r="DN251" s="1">
        <v>-267776.05</v>
      </c>
      <c r="DO251" s="1">
        <v>2.4426999999999999</v>
      </c>
      <c r="DP251" s="1" t="s">
        <v>1158</v>
      </c>
      <c r="DQ251" s="1" t="s">
        <v>1158</v>
      </c>
      <c r="DS251" s="1">
        <v>49625879.960000001</v>
      </c>
      <c r="DT251" s="1">
        <v>49330307.200000003</v>
      </c>
      <c r="DU251" s="1">
        <v>295572.76</v>
      </c>
      <c r="DV251" s="1">
        <v>2.4458299999999999</v>
      </c>
      <c r="DW251" s="1" t="s">
        <v>1158</v>
      </c>
      <c r="DX251" s="1" t="s">
        <v>1158</v>
      </c>
      <c r="DY251" s="1" t="s">
        <v>933</v>
      </c>
      <c r="DZ251" s="1">
        <v>-14504</v>
      </c>
      <c r="EA251" s="1">
        <v>16049</v>
      </c>
      <c r="ED251" s="1" t="s">
        <v>50</v>
      </c>
      <c r="EE251" s="1" t="s">
        <v>1438</v>
      </c>
      <c r="EF251" s="1" t="s">
        <v>53</v>
      </c>
      <c r="EG251" s="1" t="s">
        <v>1438</v>
      </c>
      <c r="EH251" s="1" t="s">
        <v>51</v>
      </c>
      <c r="EJ251" s="1" t="s">
        <v>55</v>
      </c>
      <c r="EL251" s="1" t="s">
        <v>57</v>
      </c>
    </row>
    <row r="252" spans="1:142" x14ac:dyDescent="0.2">
      <c r="A252" s="101">
        <v>87579601001</v>
      </c>
      <c r="B252" s="101">
        <v>87579601</v>
      </c>
      <c r="D252" s="1" t="s">
        <v>334</v>
      </c>
      <c r="E252" s="1" t="s">
        <v>44</v>
      </c>
      <c r="F252" s="1" t="s">
        <v>583</v>
      </c>
      <c r="AI252" s="1" t="s">
        <v>551</v>
      </c>
      <c r="AJ252" s="1" t="s">
        <v>44</v>
      </c>
      <c r="AK252" s="1" t="s">
        <v>584</v>
      </c>
      <c r="AL252" s="1" t="s">
        <v>933</v>
      </c>
      <c r="AR252" s="1" t="s">
        <v>79</v>
      </c>
      <c r="AS252" s="1" t="s">
        <v>71</v>
      </c>
      <c r="AT252" s="1">
        <v>2.6646999999999998</v>
      </c>
      <c r="AV252" s="1" t="s">
        <v>1156</v>
      </c>
      <c r="AW252" s="1" t="s">
        <v>1056</v>
      </c>
      <c r="AX252" s="1">
        <v>79439950</v>
      </c>
      <c r="BA252" s="1" t="s">
        <v>69</v>
      </c>
      <c r="BB252" s="1" t="s">
        <v>574</v>
      </c>
      <c r="BC252" s="1" t="s">
        <v>456</v>
      </c>
      <c r="BD252" s="1" t="s">
        <v>555</v>
      </c>
      <c r="BG252" s="1" t="s">
        <v>558</v>
      </c>
      <c r="BH252" s="1">
        <v>10</v>
      </c>
      <c r="BI252" s="1" t="s">
        <v>431</v>
      </c>
      <c r="BJ252" s="1" t="s">
        <v>67</v>
      </c>
      <c r="BK252" s="1" t="s">
        <v>440</v>
      </c>
      <c r="BL252" s="1">
        <v>0</v>
      </c>
      <c r="BM252" s="1" t="s">
        <v>1156</v>
      </c>
      <c r="BN252" s="1" t="s">
        <v>1056</v>
      </c>
      <c r="BP252" s="1">
        <v>79439950</v>
      </c>
      <c r="BR252" s="1" t="s">
        <v>69</v>
      </c>
      <c r="BS252" s="1" t="s">
        <v>1023</v>
      </c>
      <c r="BT252" s="1" t="s">
        <v>574</v>
      </c>
      <c r="BU252" s="1" t="s">
        <v>456</v>
      </c>
      <c r="BV252" s="1" t="s">
        <v>555</v>
      </c>
      <c r="BY252" s="1" t="s">
        <v>558</v>
      </c>
      <c r="BZ252" s="1">
        <v>10</v>
      </c>
      <c r="CJ252" s="1">
        <v>2.41716</v>
      </c>
      <c r="CK252" s="1">
        <v>2.41466</v>
      </c>
      <c r="CL252" s="1">
        <v>2.4196599999999999</v>
      </c>
      <c r="CR252" s="1">
        <v>432.46769993010003</v>
      </c>
      <c r="CS252" s="1">
        <v>-63.67</v>
      </c>
      <c r="CT252" s="1">
        <v>928.6</v>
      </c>
      <c r="CU252" s="1">
        <v>5.0000000000000001E-4</v>
      </c>
      <c r="CZ252" s="1">
        <v>432.47</v>
      </c>
      <c r="DA252" s="1">
        <v>432.47</v>
      </c>
      <c r="DB252" s="1">
        <v>-5140.0600000000004</v>
      </c>
      <c r="DC252" s="1">
        <v>5572.53</v>
      </c>
      <c r="DD252" s="2">
        <v>199.68</v>
      </c>
      <c r="DG252" s="1">
        <v>-3.1</v>
      </c>
      <c r="DL252" s="1">
        <v>-79915465.359999999</v>
      </c>
      <c r="DM252" s="1">
        <v>-79445057.280000001</v>
      </c>
      <c r="DN252" s="1">
        <v>-470408.08</v>
      </c>
      <c r="DO252" s="1">
        <v>2.6646999999999998</v>
      </c>
      <c r="DP252" s="1" t="s">
        <v>1334</v>
      </c>
      <c r="DQ252" s="1" t="s">
        <v>1334</v>
      </c>
      <c r="DS252" s="1">
        <v>79915897.819999993</v>
      </c>
      <c r="DT252" s="1">
        <v>79439917.219999999</v>
      </c>
      <c r="DU252" s="1">
        <v>475980.61</v>
      </c>
      <c r="DV252" s="1">
        <v>2.6668799999999999</v>
      </c>
      <c r="DW252" s="1" t="s">
        <v>1334</v>
      </c>
      <c r="DX252" s="1" t="s">
        <v>1334</v>
      </c>
      <c r="DY252" s="1" t="s">
        <v>933</v>
      </c>
      <c r="DZ252" s="1">
        <v>-1981</v>
      </c>
      <c r="EA252" s="1">
        <v>2846</v>
      </c>
      <c r="ED252" s="1" t="s">
        <v>50</v>
      </c>
      <c r="EE252" s="1" t="s">
        <v>1439</v>
      </c>
      <c r="EF252" s="1" t="s">
        <v>53</v>
      </c>
      <c r="EG252" s="1" t="s">
        <v>1439</v>
      </c>
      <c r="EH252" s="1" t="s">
        <v>51</v>
      </c>
      <c r="EJ252" s="1" t="s">
        <v>55</v>
      </c>
      <c r="EL252" s="1" t="s">
        <v>57</v>
      </c>
    </row>
    <row r="253" spans="1:142" x14ac:dyDescent="0.2">
      <c r="A253" s="101">
        <v>87579665001</v>
      </c>
      <c r="B253" s="101">
        <v>87579665</v>
      </c>
      <c r="D253" s="1" t="s">
        <v>334</v>
      </c>
      <c r="E253" s="1" t="s">
        <v>44</v>
      </c>
      <c r="F253" s="1" t="s">
        <v>583</v>
      </c>
      <c r="AI253" s="1" t="s">
        <v>551</v>
      </c>
      <c r="AJ253" s="1" t="s">
        <v>44</v>
      </c>
      <c r="AK253" s="1" t="s">
        <v>584</v>
      </c>
      <c r="AL253" s="1" t="s">
        <v>933</v>
      </c>
      <c r="AR253" s="1" t="s">
        <v>79</v>
      </c>
      <c r="AS253" s="1" t="s">
        <v>71</v>
      </c>
      <c r="AT253" s="1">
        <v>2.6631999999999998</v>
      </c>
      <c r="AV253" s="1" t="s">
        <v>1156</v>
      </c>
      <c r="AW253" s="1" t="s">
        <v>1056</v>
      </c>
      <c r="AX253" s="1">
        <v>49330340</v>
      </c>
      <c r="BA253" s="1" t="s">
        <v>69</v>
      </c>
      <c r="BB253" s="1" t="s">
        <v>574</v>
      </c>
      <c r="BC253" s="1" t="s">
        <v>456</v>
      </c>
      <c r="BD253" s="1" t="s">
        <v>555</v>
      </c>
      <c r="BG253" s="1" t="s">
        <v>558</v>
      </c>
      <c r="BH253" s="1">
        <v>10</v>
      </c>
      <c r="BI253" s="1" t="s">
        <v>431</v>
      </c>
      <c r="BJ253" s="1" t="s">
        <v>67</v>
      </c>
      <c r="BK253" s="1" t="s">
        <v>440</v>
      </c>
      <c r="BL253" s="1">
        <v>0</v>
      </c>
      <c r="BM253" s="1" t="s">
        <v>1156</v>
      </c>
      <c r="BN253" s="1" t="s">
        <v>1056</v>
      </c>
      <c r="BP253" s="1">
        <v>49330340</v>
      </c>
      <c r="BR253" s="1" t="s">
        <v>69</v>
      </c>
      <c r="BS253" s="1" t="s">
        <v>1023</v>
      </c>
      <c r="BT253" s="1" t="s">
        <v>574</v>
      </c>
      <c r="BU253" s="1" t="s">
        <v>456</v>
      </c>
      <c r="BV253" s="1" t="s">
        <v>555</v>
      </c>
      <c r="BY253" s="1" t="s">
        <v>558</v>
      </c>
      <c r="BZ253" s="1">
        <v>10</v>
      </c>
      <c r="CJ253" s="1">
        <v>2.41716</v>
      </c>
      <c r="CK253" s="1">
        <v>2.41466</v>
      </c>
      <c r="CL253" s="1">
        <v>2.4196599999999999</v>
      </c>
      <c r="CR253" s="1">
        <v>453.40450453009998</v>
      </c>
      <c r="CS253" s="1">
        <v>145.32</v>
      </c>
      <c r="CT253" s="1">
        <v>761.49</v>
      </c>
      <c r="CU253" s="1">
        <v>8.9999999999999998E-4</v>
      </c>
      <c r="CZ253" s="1">
        <v>453.4</v>
      </c>
      <c r="DA253" s="1">
        <v>453.4</v>
      </c>
      <c r="DB253" s="1">
        <v>-3171.44</v>
      </c>
      <c r="DC253" s="1">
        <v>3624.84</v>
      </c>
      <c r="DD253" s="2">
        <v>124</v>
      </c>
      <c r="DG253" s="1">
        <v>-1.92</v>
      </c>
      <c r="DL253" s="1">
        <v>-49625439</v>
      </c>
      <c r="DM253" s="1">
        <v>-49333491.079999998</v>
      </c>
      <c r="DN253" s="1">
        <v>-291947.90999999997</v>
      </c>
      <c r="DO253" s="1">
        <v>2.6631999999999998</v>
      </c>
      <c r="DP253" s="1" t="s">
        <v>1334</v>
      </c>
      <c r="DQ253" s="1" t="s">
        <v>1334</v>
      </c>
      <c r="DS253" s="1">
        <v>49625892.399999999</v>
      </c>
      <c r="DT253" s="1">
        <v>49330319.640000001</v>
      </c>
      <c r="DU253" s="1">
        <v>295572.76</v>
      </c>
      <c r="DV253" s="1">
        <v>2.6668799999999999</v>
      </c>
      <c r="DW253" s="1" t="s">
        <v>1334</v>
      </c>
      <c r="DX253" s="1" t="s">
        <v>1334</v>
      </c>
      <c r="DY253" s="1" t="s">
        <v>933</v>
      </c>
      <c r="DZ253" s="1">
        <v>-1045</v>
      </c>
      <c r="EA253" s="1">
        <v>1952</v>
      </c>
      <c r="ED253" s="1" t="s">
        <v>50</v>
      </c>
      <c r="EE253" s="1" t="s">
        <v>1440</v>
      </c>
      <c r="EF253" s="1" t="s">
        <v>53</v>
      </c>
      <c r="EG253" s="1" t="s">
        <v>1440</v>
      </c>
      <c r="EH253" s="1" t="s">
        <v>51</v>
      </c>
      <c r="EJ253" s="1" t="s">
        <v>55</v>
      </c>
      <c r="EL253" s="1" t="s">
        <v>57</v>
      </c>
    </row>
    <row r="254" spans="1:142" x14ac:dyDescent="0.2">
      <c r="A254" s="101">
        <v>87683953001</v>
      </c>
      <c r="B254" s="101">
        <v>87683953</v>
      </c>
      <c r="D254" s="1" t="s">
        <v>334</v>
      </c>
      <c r="E254" s="1" t="s">
        <v>44</v>
      </c>
      <c r="F254" s="1" t="s">
        <v>583</v>
      </c>
      <c r="AI254" s="1" t="s">
        <v>551</v>
      </c>
      <c r="AJ254" s="1" t="s">
        <v>44</v>
      </c>
      <c r="AK254" s="1" t="s">
        <v>584</v>
      </c>
      <c r="AL254" s="1" t="s">
        <v>1155</v>
      </c>
      <c r="AR254" s="1" t="s">
        <v>79</v>
      </c>
      <c r="AS254" s="1" t="s">
        <v>71</v>
      </c>
      <c r="AT254" s="1">
        <v>2.2387000000000001</v>
      </c>
      <c r="AV254" s="1" t="s">
        <v>923</v>
      </c>
      <c r="AW254" s="1" t="s">
        <v>1441</v>
      </c>
      <c r="AX254" s="1">
        <v>14610010</v>
      </c>
      <c r="BA254" s="1" t="s">
        <v>69</v>
      </c>
      <c r="BB254" s="1" t="s">
        <v>574</v>
      </c>
      <c r="BC254" s="1" t="s">
        <v>456</v>
      </c>
      <c r="BD254" s="1" t="s">
        <v>555</v>
      </c>
      <c r="BG254" s="1" t="s">
        <v>558</v>
      </c>
      <c r="BH254" s="1">
        <v>12</v>
      </c>
      <c r="BI254" s="1" t="s">
        <v>431</v>
      </c>
      <c r="BJ254" s="1" t="s">
        <v>67</v>
      </c>
      <c r="BK254" s="1" t="s">
        <v>440</v>
      </c>
      <c r="BL254" s="1">
        <v>0</v>
      </c>
      <c r="BM254" s="1" t="s">
        <v>923</v>
      </c>
      <c r="BN254" s="1" t="s">
        <v>1441</v>
      </c>
      <c r="BP254" s="1">
        <v>14610010</v>
      </c>
      <c r="BR254" s="1" t="s">
        <v>69</v>
      </c>
      <c r="BS254" s="1" t="s">
        <v>1023</v>
      </c>
      <c r="BT254" s="1" t="s">
        <v>574</v>
      </c>
      <c r="BU254" s="1" t="s">
        <v>456</v>
      </c>
      <c r="BV254" s="1" t="s">
        <v>555</v>
      </c>
      <c r="BY254" s="1" t="s">
        <v>558</v>
      </c>
      <c r="BZ254" s="1">
        <v>12</v>
      </c>
      <c r="CJ254" s="1">
        <v>2.0506099999999998</v>
      </c>
      <c r="CK254" s="1">
        <v>2.0481099999999999</v>
      </c>
      <c r="CL254" s="1">
        <v>2.0531100000000002</v>
      </c>
      <c r="CR254" s="1">
        <v>-6094.9173858537997</v>
      </c>
      <c r="CS254" s="1">
        <v>-6458.26</v>
      </c>
      <c r="CT254" s="1">
        <v>-5731.58</v>
      </c>
      <c r="CU254" s="1">
        <v>-4.1700000000000001E-2</v>
      </c>
      <c r="CZ254" s="1">
        <v>-6094.92</v>
      </c>
      <c r="DA254" s="1">
        <v>-6094.92</v>
      </c>
      <c r="DB254" s="1">
        <v>-20104.34</v>
      </c>
      <c r="DC254" s="1">
        <v>14009.43</v>
      </c>
      <c r="DD254" s="2">
        <v>1149.0999999999999</v>
      </c>
      <c r="DG254" s="1">
        <v>235.53</v>
      </c>
      <c r="DL254" s="1">
        <v>-14700056.119999999</v>
      </c>
      <c r="DM254" s="1">
        <v>-14630098.560000001</v>
      </c>
      <c r="DN254" s="1">
        <v>-69957.56</v>
      </c>
      <c r="DO254" s="1">
        <v>2.2387000000000001</v>
      </c>
      <c r="DP254" s="1" t="s">
        <v>1418</v>
      </c>
      <c r="DQ254" s="1" t="s">
        <v>1418</v>
      </c>
      <c r="DS254" s="1">
        <v>14693961.199999999</v>
      </c>
      <c r="DT254" s="1">
        <v>14609994.220000001</v>
      </c>
      <c r="DU254" s="1">
        <v>83966.98</v>
      </c>
      <c r="DV254" s="1">
        <v>2.1967599999999998</v>
      </c>
      <c r="DW254" s="1" t="s">
        <v>1418</v>
      </c>
      <c r="DX254" s="1" t="s">
        <v>1418</v>
      </c>
      <c r="DY254" s="1" t="s">
        <v>1155</v>
      </c>
      <c r="DZ254" s="1">
        <v>-17877</v>
      </c>
      <c r="EA254" s="1">
        <v>5687</v>
      </c>
      <c r="ED254" s="1" t="s">
        <v>50</v>
      </c>
      <c r="EE254" s="1" t="s">
        <v>1442</v>
      </c>
      <c r="EF254" s="1" t="s">
        <v>53</v>
      </c>
      <c r="EG254" s="1" t="s">
        <v>1442</v>
      </c>
      <c r="EH254" s="1" t="s">
        <v>51</v>
      </c>
      <c r="EJ254" s="1" t="s">
        <v>55</v>
      </c>
      <c r="EL254" s="1" t="s">
        <v>57</v>
      </c>
    </row>
    <row r="255" spans="1:142" x14ac:dyDescent="0.2">
      <c r="A255" s="101">
        <v>87683954001</v>
      </c>
      <c r="B255" s="101">
        <v>87683954</v>
      </c>
      <c r="D255" s="1" t="s">
        <v>334</v>
      </c>
      <c r="E255" s="1" t="s">
        <v>44</v>
      </c>
      <c r="F255" s="1" t="s">
        <v>583</v>
      </c>
      <c r="AI255" s="1" t="s">
        <v>551</v>
      </c>
      <c r="AJ255" s="1" t="s">
        <v>44</v>
      </c>
      <c r="AK255" s="1" t="s">
        <v>584</v>
      </c>
      <c r="AL255" s="1" t="s">
        <v>1155</v>
      </c>
      <c r="AR255" s="1" t="s">
        <v>79</v>
      </c>
      <c r="AS255" s="1" t="s">
        <v>71</v>
      </c>
      <c r="AT255" s="1">
        <v>2.2256999999999998</v>
      </c>
      <c r="AV255" s="1" t="s">
        <v>923</v>
      </c>
      <c r="AW255" s="1" t="s">
        <v>1441</v>
      </c>
      <c r="AX255" s="1">
        <v>19489610</v>
      </c>
      <c r="BA255" s="1" t="s">
        <v>69</v>
      </c>
      <c r="BB255" s="1" t="s">
        <v>574</v>
      </c>
      <c r="BC255" s="1" t="s">
        <v>456</v>
      </c>
      <c r="BD255" s="1" t="s">
        <v>555</v>
      </c>
      <c r="BG255" s="1" t="s">
        <v>558</v>
      </c>
      <c r="BH255" s="1">
        <v>12</v>
      </c>
      <c r="BI255" s="1" t="s">
        <v>431</v>
      </c>
      <c r="BJ255" s="1" t="s">
        <v>67</v>
      </c>
      <c r="BK255" s="1" t="s">
        <v>440</v>
      </c>
      <c r="BL255" s="1">
        <v>0</v>
      </c>
      <c r="BM255" s="1" t="s">
        <v>923</v>
      </c>
      <c r="BN255" s="1" t="s">
        <v>1441</v>
      </c>
      <c r="BP255" s="1">
        <v>19489610</v>
      </c>
      <c r="BR255" s="1" t="s">
        <v>69</v>
      </c>
      <c r="BS255" s="1" t="s">
        <v>1023</v>
      </c>
      <c r="BT255" s="1" t="s">
        <v>574</v>
      </c>
      <c r="BU255" s="1" t="s">
        <v>456</v>
      </c>
      <c r="BV255" s="1" t="s">
        <v>555</v>
      </c>
      <c r="BY255" s="1" t="s">
        <v>558</v>
      </c>
      <c r="BZ255" s="1">
        <v>12</v>
      </c>
      <c r="CJ255" s="1">
        <v>2.0506099999999998</v>
      </c>
      <c r="CK255" s="1">
        <v>2.0481099999999999</v>
      </c>
      <c r="CL255" s="1">
        <v>2.0531100000000002</v>
      </c>
      <c r="CR255" s="1">
        <v>-5610.1497841515002</v>
      </c>
      <c r="CS255" s="1">
        <v>-6094.84</v>
      </c>
      <c r="CT255" s="1">
        <v>-5125.46</v>
      </c>
      <c r="CU255" s="1">
        <v>-2.8799999999999999E-2</v>
      </c>
      <c r="CZ255" s="1">
        <v>-5610.15</v>
      </c>
      <c r="DA255" s="1">
        <v>-5610.15</v>
      </c>
      <c r="DB255" s="1">
        <v>-24840.51</v>
      </c>
      <c r="DC255" s="1">
        <v>19230.36</v>
      </c>
      <c r="DD255" s="2">
        <v>1532.69</v>
      </c>
      <c r="DG255" s="1">
        <v>314.32</v>
      </c>
      <c r="DL255" s="1">
        <v>-19607210.23</v>
      </c>
      <c r="DM255" s="1">
        <v>-19514429.460000001</v>
      </c>
      <c r="DN255" s="1">
        <v>-92780.78</v>
      </c>
      <c r="DO255" s="1">
        <v>2.2256999999999998</v>
      </c>
      <c r="DP255" s="1" t="s">
        <v>1418</v>
      </c>
      <c r="DQ255" s="1" t="s">
        <v>1418</v>
      </c>
      <c r="DS255" s="1">
        <v>19601600.079999998</v>
      </c>
      <c r="DT255" s="1">
        <v>19489588.949999999</v>
      </c>
      <c r="DU255" s="1">
        <v>112011.13</v>
      </c>
      <c r="DV255" s="1">
        <v>2.1967599999999998</v>
      </c>
      <c r="DW255" s="1" t="s">
        <v>1418</v>
      </c>
      <c r="DX255" s="1" t="s">
        <v>1418</v>
      </c>
      <c r="DY255" s="1" t="s">
        <v>1155</v>
      </c>
      <c r="DZ255" s="1">
        <v>-21325</v>
      </c>
      <c r="EA255" s="1">
        <v>10105</v>
      </c>
      <c r="ED255" s="1" t="s">
        <v>50</v>
      </c>
      <c r="EE255" s="1" t="s">
        <v>1443</v>
      </c>
      <c r="EF255" s="1" t="s">
        <v>53</v>
      </c>
      <c r="EG255" s="1" t="s">
        <v>1443</v>
      </c>
      <c r="EH255" s="1" t="s">
        <v>51</v>
      </c>
      <c r="EJ255" s="1" t="s">
        <v>55</v>
      </c>
      <c r="EL255" s="1" t="s">
        <v>57</v>
      </c>
    </row>
    <row r="256" spans="1:142" x14ac:dyDescent="0.2">
      <c r="A256" s="101">
        <v>87684388001</v>
      </c>
      <c r="B256" s="101">
        <v>87684388</v>
      </c>
      <c r="D256" s="1" t="s">
        <v>824</v>
      </c>
      <c r="E256" s="1" t="s">
        <v>44</v>
      </c>
      <c r="F256" s="1" t="s">
        <v>602</v>
      </c>
      <c r="I256" s="1">
        <v>86.739000000000004</v>
      </c>
      <c r="J256" s="1" t="s">
        <v>589</v>
      </c>
      <c r="V256" s="1" t="s">
        <v>603</v>
      </c>
      <c r="AI256" s="1" t="s">
        <v>551</v>
      </c>
      <c r="AJ256" s="1" t="s">
        <v>44</v>
      </c>
      <c r="AK256" s="1" t="s">
        <v>602</v>
      </c>
      <c r="AL256" s="1" t="s">
        <v>1155</v>
      </c>
      <c r="AT256" s="1">
        <v>3.25</v>
      </c>
      <c r="AV256" s="1" t="s">
        <v>603</v>
      </c>
      <c r="AW256" s="1" t="s">
        <v>1106</v>
      </c>
      <c r="AX256" s="1">
        <v>17000000</v>
      </c>
      <c r="BA256" s="1" t="s">
        <v>69</v>
      </c>
      <c r="BB256" s="1" t="s">
        <v>560</v>
      </c>
      <c r="BG256" s="1" t="s">
        <v>556</v>
      </c>
      <c r="BY256" s="1" t="s">
        <v>556</v>
      </c>
      <c r="CR256" s="1">
        <v>-437628.92226531799</v>
      </c>
      <c r="CU256" s="1">
        <v>-2.5743</v>
      </c>
      <c r="DD256" s="2">
        <v>-24852.959999999999</v>
      </c>
      <c r="DG256" s="1">
        <v>-811.1</v>
      </c>
      <c r="ED256" s="1" t="s">
        <v>50</v>
      </c>
      <c r="EE256" s="1" t="s">
        <v>1444</v>
      </c>
      <c r="EF256" s="1" t="s">
        <v>53</v>
      </c>
      <c r="EG256" s="1" t="s">
        <v>1444</v>
      </c>
      <c r="EH256" s="1" t="s">
        <v>51</v>
      </c>
      <c r="EJ256" s="1" t="s">
        <v>55</v>
      </c>
      <c r="EL256" s="1" t="s">
        <v>57</v>
      </c>
    </row>
    <row r="257" spans="1:142" x14ac:dyDescent="0.2">
      <c r="A257" s="101">
        <v>87684393001</v>
      </c>
      <c r="B257" s="101">
        <v>87684393</v>
      </c>
      <c r="D257" s="1" t="s">
        <v>63</v>
      </c>
      <c r="E257" s="1" t="s">
        <v>44</v>
      </c>
      <c r="F257" s="1" t="s">
        <v>602</v>
      </c>
      <c r="I257" s="1">
        <v>84.986000000000004</v>
      </c>
      <c r="J257" s="1" t="s">
        <v>589</v>
      </c>
      <c r="V257" s="1" t="s">
        <v>1340</v>
      </c>
      <c r="AI257" s="1" t="s">
        <v>551</v>
      </c>
      <c r="AJ257" s="1" t="s">
        <v>44</v>
      </c>
      <c r="AK257" s="1" t="s">
        <v>602</v>
      </c>
      <c r="AL257" s="1" t="s">
        <v>1155</v>
      </c>
      <c r="AT257" s="1">
        <v>3.25</v>
      </c>
      <c r="AV257" s="1" t="s">
        <v>1340</v>
      </c>
      <c r="AW257" s="1" t="s">
        <v>1106</v>
      </c>
      <c r="AX257" s="1">
        <v>23000000</v>
      </c>
      <c r="BA257" s="1" t="s">
        <v>69</v>
      </c>
      <c r="BB257" s="1" t="s">
        <v>560</v>
      </c>
      <c r="BG257" s="1" t="s">
        <v>556</v>
      </c>
      <c r="BY257" s="1" t="s">
        <v>556</v>
      </c>
      <c r="CR257" s="1">
        <v>-672907.27185482602</v>
      </c>
      <c r="CU257" s="1">
        <v>-2.9257</v>
      </c>
      <c r="DD257" s="2">
        <v>-30696.959999999999</v>
      </c>
      <c r="DG257" s="1">
        <v>-1356.2</v>
      </c>
      <c r="ED257" s="1" t="s">
        <v>50</v>
      </c>
      <c r="EE257" s="1" t="s">
        <v>1445</v>
      </c>
      <c r="EF257" s="1" t="s">
        <v>53</v>
      </c>
      <c r="EG257" s="1" t="s">
        <v>1445</v>
      </c>
      <c r="EH257" s="1" t="s">
        <v>51</v>
      </c>
      <c r="EJ257" s="1" t="s">
        <v>55</v>
      </c>
      <c r="EL257" s="1" t="s">
        <v>57</v>
      </c>
    </row>
    <row r="258" spans="1:142" x14ac:dyDescent="0.2">
      <c r="A258" s="101">
        <v>87684405001</v>
      </c>
      <c r="B258" s="101">
        <v>87684405</v>
      </c>
      <c r="D258" s="1" t="s">
        <v>824</v>
      </c>
      <c r="E258" s="1" t="s">
        <v>44</v>
      </c>
      <c r="F258" s="1" t="s">
        <v>602</v>
      </c>
      <c r="I258" s="1">
        <v>83.67</v>
      </c>
      <c r="J258" s="1" t="s">
        <v>589</v>
      </c>
      <c r="V258" s="1" t="s">
        <v>176</v>
      </c>
      <c r="AI258" s="1" t="s">
        <v>551</v>
      </c>
      <c r="AJ258" s="1" t="s">
        <v>44</v>
      </c>
      <c r="AK258" s="1" t="s">
        <v>602</v>
      </c>
      <c r="AL258" s="1" t="s">
        <v>1155</v>
      </c>
      <c r="AT258" s="1">
        <v>3.25</v>
      </c>
      <c r="AV258" s="1" t="s">
        <v>176</v>
      </c>
      <c r="AW258" s="1" t="s">
        <v>1106</v>
      </c>
      <c r="AX258" s="1">
        <v>20000000</v>
      </c>
      <c r="BA258" s="1" t="s">
        <v>69</v>
      </c>
      <c r="BB258" s="1" t="s">
        <v>560</v>
      </c>
      <c r="BG258" s="1" t="s">
        <v>556</v>
      </c>
      <c r="BY258" s="1" t="s">
        <v>556</v>
      </c>
      <c r="CR258" s="1">
        <v>-644976.86118084798</v>
      </c>
      <c r="CU258" s="1">
        <v>-3.2248999999999999</v>
      </c>
      <c r="DD258" s="2">
        <v>-24301.4</v>
      </c>
      <c r="DG258" s="1">
        <v>-1326.36</v>
      </c>
      <c r="ED258" s="1" t="s">
        <v>50</v>
      </c>
      <c r="EE258" s="1" t="s">
        <v>1446</v>
      </c>
      <c r="EF258" s="1" t="s">
        <v>53</v>
      </c>
      <c r="EG258" s="1" t="s">
        <v>1446</v>
      </c>
      <c r="EH258" s="1" t="s">
        <v>51</v>
      </c>
      <c r="EJ258" s="1" t="s">
        <v>55</v>
      </c>
      <c r="EL258" s="1" t="s">
        <v>57</v>
      </c>
    </row>
    <row r="259" spans="1:142" x14ac:dyDescent="0.2">
      <c r="A259" s="101">
        <v>87797740001</v>
      </c>
      <c r="B259" s="101">
        <v>87797740</v>
      </c>
      <c r="D259" s="1" t="s">
        <v>334</v>
      </c>
      <c r="E259" s="1" t="s">
        <v>44</v>
      </c>
      <c r="F259" s="1" t="s">
        <v>583</v>
      </c>
      <c r="AI259" s="1" t="s">
        <v>551</v>
      </c>
      <c r="AJ259" s="1" t="s">
        <v>44</v>
      </c>
      <c r="AK259" s="1" t="s">
        <v>584</v>
      </c>
      <c r="AL259" s="1" t="s">
        <v>1156</v>
      </c>
      <c r="AR259" s="1" t="s">
        <v>79</v>
      </c>
      <c r="AS259" s="1" t="s">
        <v>71</v>
      </c>
      <c r="AT259" s="1">
        <v>2.1957</v>
      </c>
      <c r="AV259" s="1" t="s">
        <v>934</v>
      </c>
      <c r="AW259" s="1" t="s">
        <v>1332</v>
      </c>
      <c r="AX259" s="1">
        <v>3450970</v>
      </c>
      <c r="BA259" s="1" t="s">
        <v>69</v>
      </c>
      <c r="BB259" s="1" t="s">
        <v>574</v>
      </c>
      <c r="BC259" s="1" t="s">
        <v>456</v>
      </c>
      <c r="BD259" s="1" t="s">
        <v>555</v>
      </c>
      <c r="BG259" s="1" t="s">
        <v>558</v>
      </c>
      <c r="BH259" s="1">
        <v>15</v>
      </c>
      <c r="BI259" s="1" t="s">
        <v>431</v>
      </c>
      <c r="BJ259" s="1" t="s">
        <v>67</v>
      </c>
      <c r="BK259" s="1" t="s">
        <v>440</v>
      </c>
      <c r="BL259" s="1">
        <v>0</v>
      </c>
      <c r="BM259" s="1" t="s">
        <v>934</v>
      </c>
      <c r="BN259" s="1" t="s">
        <v>1332</v>
      </c>
      <c r="BP259" s="1">
        <v>3450970</v>
      </c>
      <c r="BR259" s="1" t="s">
        <v>69</v>
      </c>
      <c r="BS259" s="1" t="s">
        <v>69</v>
      </c>
      <c r="BT259" s="1" t="s">
        <v>574</v>
      </c>
      <c r="BU259" s="1" t="s">
        <v>456</v>
      </c>
      <c r="BV259" s="1" t="s">
        <v>555</v>
      </c>
      <c r="BY259" s="1" t="s">
        <v>558</v>
      </c>
      <c r="BZ259" s="1">
        <v>15</v>
      </c>
      <c r="CJ259" s="1">
        <v>2.0022199999999999</v>
      </c>
      <c r="CK259" s="1">
        <v>1.9997199999999999</v>
      </c>
      <c r="CL259" s="1">
        <v>2.0047199999999998</v>
      </c>
      <c r="CR259" s="1">
        <v>-3255.6453752159</v>
      </c>
      <c r="CS259" s="1">
        <v>-3363.08</v>
      </c>
      <c r="CT259" s="1">
        <v>-3148.21</v>
      </c>
      <c r="CU259" s="1">
        <v>-9.4299999999999995E-2</v>
      </c>
      <c r="CZ259" s="1">
        <v>-3255.65</v>
      </c>
      <c r="DA259" s="1">
        <v>-3255.65</v>
      </c>
      <c r="DB259" s="1">
        <v>-6811.32</v>
      </c>
      <c r="DC259" s="1">
        <v>3555.68</v>
      </c>
      <c r="DD259" s="2">
        <v>356.37</v>
      </c>
      <c r="DG259" s="1">
        <v>57.32</v>
      </c>
      <c r="DL259" s="1">
        <v>-3473772.97</v>
      </c>
      <c r="DM259" s="1">
        <v>-3457776.46</v>
      </c>
      <c r="DN259" s="1">
        <v>-15996.51</v>
      </c>
      <c r="DO259" s="1">
        <v>2.1957</v>
      </c>
      <c r="DP259" s="1" t="s">
        <v>1038</v>
      </c>
      <c r="DQ259" s="1" t="s">
        <v>1333</v>
      </c>
      <c r="DS259" s="1">
        <v>3470517.33</v>
      </c>
      <c r="DT259" s="1">
        <v>3450965.14</v>
      </c>
      <c r="DU259" s="1">
        <v>19552.189999999999</v>
      </c>
      <c r="DV259" s="1">
        <v>2.6422099999999999</v>
      </c>
      <c r="DW259" s="1" t="s">
        <v>1038</v>
      </c>
      <c r="DX259" s="1" t="s">
        <v>1333</v>
      </c>
      <c r="DY259" s="1" t="s">
        <v>1334</v>
      </c>
      <c r="DZ259" s="1">
        <v>-6823</v>
      </c>
      <c r="EA259" s="1">
        <v>312</v>
      </c>
      <c r="ED259" s="1" t="s">
        <v>50</v>
      </c>
      <c r="EE259" s="1" t="s">
        <v>1447</v>
      </c>
      <c r="EF259" s="1" t="s">
        <v>53</v>
      </c>
      <c r="EG259" s="1" t="s">
        <v>1447</v>
      </c>
      <c r="EH259" s="1" t="s">
        <v>51</v>
      </c>
      <c r="EJ259" s="1" t="s">
        <v>55</v>
      </c>
      <c r="EL259" s="1" t="s">
        <v>57</v>
      </c>
    </row>
    <row r="260" spans="1:142" x14ac:dyDescent="0.2">
      <c r="A260" s="101">
        <v>87797748001</v>
      </c>
      <c r="B260" s="101">
        <v>87797748</v>
      </c>
      <c r="D260" s="1" t="s">
        <v>334</v>
      </c>
      <c r="E260" s="1" t="s">
        <v>44</v>
      </c>
      <c r="F260" s="1" t="s">
        <v>583</v>
      </c>
      <c r="AI260" s="1" t="s">
        <v>551</v>
      </c>
      <c r="AJ260" s="1" t="s">
        <v>44</v>
      </c>
      <c r="AK260" s="1" t="s">
        <v>584</v>
      </c>
      <c r="AL260" s="1" t="s">
        <v>1156</v>
      </c>
      <c r="AR260" s="1" t="s">
        <v>79</v>
      </c>
      <c r="AS260" s="1" t="s">
        <v>71</v>
      </c>
      <c r="AT260" s="1">
        <v>2.5042</v>
      </c>
      <c r="AV260" s="1" t="s">
        <v>934</v>
      </c>
      <c r="AW260" s="1" t="s">
        <v>740</v>
      </c>
      <c r="AX260" s="1">
        <v>10005602</v>
      </c>
      <c r="BA260" s="1" t="s">
        <v>69</v>
      </c>
      <c r="BB260" s="1" t="s">
        <v>574</v>
      </c>
      <c r="BC260" s="1" t="s">
        <v>456</v>
      </c>
      <c r="BD260" s="1" t="s">
        <v>555</v>
      </c>
      <c r="BG260" s="1" t="s">
        <v>558</v>
      </c>
      <c r="BH260" s="1">
        <v>16</v>
      </c>
      <c r="BI260" s="1" t="s">
        <v>431</v>
      </c>
      <c r="BJ260" s="1" t="s">
        <v>67</v>
      </c>
      <c r="BK260" s="1" t="s">
        <v>440</v>
      </c>
      <c r="BL260" s="1">
        <v>0</v>
      </c>
      <c r="BM260" s="1" t="s">
        <v>934</v>
      </c>
      <c r="BN260" s="1" t="s">
        <v>740</v>
      </c>
      <c r="BP260" s="1">
        <v>10005602</v>
      </c>
      <c r="BR260" s="1" t="s">
        <v>69</v>
      </c>
      <c r="BS260" s="1" t="s">
        <v>1023</v>
      </c>
      <c r="BT260" s="1" t="s">
        <v>574</v>
      </c>
      <c r="BU260" s="1" t="s">
        <v>456</v>
      </c>
      <c r="BV260" s="1" t="s">
        <v>555</v>
      </c>
      <c r="BY260" s="1" t="s">
        <v>558</v>
      </c>
      <c r="BZ260" s="1">
        <v>16</v>
      </c>
      <c r="CJ260" s="1">
        <v>2.2760799999999999</v>
      </c>
      <c r="CK260" s="1">
        <v>2.2735799999999999</v>
      </c>
      <c r="CL260" s="1">
        <v>2.2785799999999998</v>
      </c>
      <c r="CR260" s="1">
        <v>-724.81706466150001</v>
      </c>
      <c r="CS260" s="1">
        <v>-830.6</v>
      </c>
      <c r="CT260" s="1">
        <v>-619.03</v>
      </c>
      <c r="CU260" s="1">
        <v>-7.1999999999999998E-3</v>
      </c>
      <c r="CZ260" s="1">
        <v>-724.82</v>
      </c>
      <c r="DA260" s="1">
        <v>-724.82</v>
      </c>
      <c r="DB260" s="1">
        <v>-4517.58</v>
      </c>
      <c r="DC260" s="1">
        <v>3792.76</v>
      </c>
      <c r="DD260" s="2">
        <v>211.44</v>
      </c>
      <c r="DG260" s="1">
        <v>83.24</v>
      </c>
      <c r="DL260" s="1">
        <v>-10063009.810000001</v>
      </c>
      <c r="DM260" s="1">
        <v>-10010113.75</v>
      </c>
      <c r="DN260" s="1">
        <v>-52896.06</v>
      </c>
      <c r="DO260" s="1">
        <v>2.5042</v>
      </c>
      <c r="DP260" s="1" t="s">
        <v>1449</v>
      </c>
      <c r="DQ260" s="1" t="s">
        <v>1449</v>
      </c>
      <c r="DS260" s="1">
        <v>10062284.99</v>
      </c>
      <c r="DT260" s="1">
        <v>10005596.17</v>
      </c>
      <c r="DU260" s="1">
        <v>56688.82</v>
      </c>
      <c r="DV260" s="1">
        <v>2.4870700000000001</v>
      </c>
      <c r="DW260" s="1" t="s">
        <v>1449</v>
      </c>
      <c r="DX260" s="1" t="s">
        <v>1449</v>
      </c>
      <c r="DY260" s="1" t="s">
        <v>1156</v>
      </c>
      <c r="DZ260" s="1">
        <v>-3131</v>
      </c>
      <c r="EA260" s="1">
        <v>1681</v>
      </c>
      <c r="ED260" s="1" t="s">
        <v>50</v>
      </c>
      <c r="EE260" s="1" t="s">
        <v>1450</v>
      </c>
      <c r="EF260" s="1" t="s">
        <v>53</v>
      </c>
      <c r="EG260" s="1" t="s">
        <v>1450</v>
      </c>
      <c r="EH260" s="1" t="s">
        <v>51</v>
      </c>
      <c r="EJ260" s="1" t="s">
        <v>55</v>
      </c>
      <c r="EL260" s="1" t="s">
        <v>57</v>
      </c>
    </row>
    <row r="261" spans="1:142" x14ac:dyDescent="0.2">
      <c r="A261" s="101">
        <v>87798098001</v>
      </c>
      <c r="B261" s="101">
        <v>87798098</v>
      </c>
      <c r="D261" s="1" t="s">
        <v>1454</v>
      </c>
      <c r="E261" s="1" t="s">
        <v>44</v>
      </c>
      <c r="F261" s="1" t="s">
        <v>602</v>
      </c>
      <c r="I261" s="1">
        <v>83.031999999999996</v>
      </c>
      <c r="J261" s="1" t="s">
        <v>589</v>
      </c>
      <c r="V261" s="1" t="s">
        <v>176</v>
      </c>
      <c r="AI261" s="1" t="s">
        <v>551</v>
      </c>
      <c r="AJ261" s="1" t="s">
        <v>44</v>
      </c>
      <c r="AK261" s="1" t="s">
        <v>602</v>
      </c>
      <c r="AL261" s="1" t="s">
        <v>923</v>
      </c>
      <c r="AT261" s="1">
        <v>3.25</v>
      </c>
      <c r="AV261" s="1" t="s">
        <v>176</v>
      </c>
      <c r="AW261" s="1" t="s">
        <v>1106</v>
      </c>
      <c r="AX261" s="1">
        <v>20500000</v>
      </c>
      <c r="BA261" s="1" t="s">
        <v>69</v>
      </c>
      <c r="BB261" s="1" t="s">
        <v>560</v>
      </c>
      <c r="BG261" s="1" t="s">
        <v>556</v>
      </c>
      <c r="BY261" s="1" t="s">
        <v>556</v>
      </c>
      <c r="CR261" s="1">
        <v>-541205.89884109399</v>
      </c>
      <c r="CU261" s="1">
        <v>-2.64</v>
      </c>
      <c r="DD261" s="2">
        <v>-24957.45</v>
      </c>
      <c r="DG261" s="1">
        <v>-1351.35</v>
      </c>
      <c r="ED261" s="1" t="s">
        <v>50</v>
      </c>
      <c r="EE261" s="1" t="s">
        <v>1455</v>
      </c>
      <c r="EF261" s="1" t="s">
        <v>53</v>
      </c>
      <c r="EG261" s="1" t="s">
        <v>1455</v>
      </c>
      <c r="EH261" s="1" t="s">
        <v>51</v>
      </c>
      <c r="EJ261" s="1" t="s">
        <v>55</v>
      </c>
      <c r="EL261" s="1" t="s">
        <v>57</v>
      </c>
    </row>
    <row r="262" spans="1:142" x14ac:dyDescent="0.2">
      <c r="A262" s="101">
        <v>87937970001</v>
      </c>
      <c r="B262" s="101">
        <v>87937970</v>
      </c>
      <c r="D262" s="1" t="s">
        <v>77</v>
      </c>
      <c r="E262" s="1" t="s">
        <v>44</v>
      </c>
      <c r="F262" s="1" t="s">
        <v>583</v>
      </c>
      <c r="AI262" s="1" t="s">
        <v>551</v>
      </c>
      <c r="AJ262" s="1" t="s">
        <v>44</v>
      </c>
      <c r="AK262" s="1" t="s">
        <v>584</v>
      </c>
      <c r="AL262" s="1" t="s">
        <v>934</v>
      </c>
      <c r="AR262" s="1" t="s">
        <v>79</v>
      </c>
      <c r="AS262" s="1" t="s">
        <v>71</v>
      </c>
      <c r="AT262" s="1">
        <v>2.6442000000000001</v>
      </c>
      <c r="AV262" s="1" t="s">
        <v>673</v>
      </c>
      <c r="AW262" s="1" t="s">
        <v>1038</v>
      </c>
      <c r="AX262" s="1">
        <v>4963395</v>
      </c>
      <c r="BA262" s="1" t="s">
        <v>69</v>
      </c>
      <c r="BB262" s="1" t="s">
        <v>574</v>
      </c>
      <c r="BC262" s="1" t="s">
        <v>456</v>
      </c>
      <c r="BD262" s="1" t="s">
        <v>555</v>
      </c>
      <c r="BG262" s="1" t="s">
        <v>558</v>
      </c>
      <c r="BH262" s="1">
        <v>16</v>
      </c>
      <c r="BI262" s="1" t="s">
        <v>431</v>
      </c>
      <c r="BJ262" s="1" t="s">
        <v>67</v>
      </c>
      <c r="BK262" s="1" t="s">
        <v>440</v>
      </c>
      <c r="BL262" s="1">
        <v>0</v>
      </c>
      <c r="BM262" s="1" t="s">
        <v>673</v>
      </c>
      <c r="BN262" s="1" t="s">
        <v>1038</v>
      </c>
      <c r="BP262" s="1">
        <v>4963395</v>
      </c>
      <c r="BR262" s="1" t="s">
        <v>69</v>
      </c>
      <c r="BS262" s="1" t="s">
        <v>1023</v>
      </c>
      <c r="BT262" s="1" t="s">
        <v>574</v>
      </c>
      <c r="BU262" s="1" t="s">
        <v>456</v>
      </c>
      <c r="BV262" s="1" t="s">
        <v>555</v>
      </c>
      <c r="BY262" s="1" t="s">
        <v>558</v>
      </c>
      <c r="BZ262" s="1">
        <v>16</v>
      </c>
      <c r="CJ262" s="1">
        <v>2.4180000000000001</v>
      </c>
      <c r="CK262" s="1">
        <v>2.4155000000000002</v>
      </c>
      <c r="CL262" s="1">
        <v>2.4205000000000001</v>
      </c>
      <c r="CR262" s="1">
        <v>-135.14883903969999</v>
      </c>
      <c r="CS262" s="1">
        <v>-166.13</v>
      </c>
      <c r="CT262" s="1">
        <v>-104.16</v>
      </c>
      <c r="CU262" s="1">
        <v>-2.7000000000000001E-3</v>
      </c>
      <c r="CZ262" s="1">
        <v>-135.15</v>
      </c>
      <c r="DA262" s="1">
        <v>-135.15</v>
      </c>
      <c r="DB262" s="1">
        <v>-469.26</v>
      </c>
      <c r="DC262" s="1">
        <v>334.11</v>
      </c>
      <c r="DD262" s="2">
        <v>20.78</v>
      </c>
      <c r="DG262" s="1">
        <v>-0.21</v>
      </c>
      <c r="DL262" s="1">
        <v>-4990839.78</v>
      </c>
      <c r="DM262" s="1">
        <v>-4963862.2300000004</v>
      </c>
      <c r="DN262" s="1">
        <v>-26977.54</v>
      </c>
      <c r="DO262" s="1">
        <v>2.6442000000000001</v>
      </c>
      <c r="DP262" s="1" t="s">
        <v>1119</v>
      </c>
      <c r="DQ262" s="1" t="s">
        <v>1119</v>
      </c>
      <c r="DS262" s="1">
        <v>4990704.63</v>
      </c>
      <c r="DT262" s="1">
        <v>4963392.9800000004</v>
      </c>
      <c r="DU262" s="1">
        <v>27311.65</v>
      </c>
      <c r="DV262" s="1">
        <v>2.6333000000000002</v>
      </c>
      <c r="DW262" s="1" t="s">
        <v>1119</v>
      </c>
      <c r="DX262" s="1" t="s">
        <v>1119</v>
      </c>
      <c r="DY262" s="1" t="s">
        <v>934</v>
      </c>
      <c r="DZ262" s="1">
        <v>-386</v>
      </c>
      <c r="EA262" s="1">
        <v>116</v>
      </c>
      <c r="ED262" s="1" t="s">
        <v>50</v>
      </c>
      <c r="EE262" s="1" t="s">
        <v>1456</v>
      </c>
      <c r="EF262" s="1" t="s">
        <v>53</v>
      </c>
      <c r="EG262" s="1" t="s">
        <v>1456</v>
      </c>
      <c r="EH262" s="1" t="s">
        <v>51</v>
      </c>
      <c r="EJ262" s="1" t="s">
        <v>55</v>
      </c>
      <c r="EL262" s="1" t="s">
        <v>57</v>
      </c>
    </row>
    <row r="263" spans="1:142" x14ac:dyDescent="0.2">
      <c r="A263" s="101">
        <v>88089072001</v>
      </c>
      <c r="B263" s="101">
        <v>88089072</v>
      </c>
      <c r="D263" s="1" t="s">
        <v>334</v>
      </c>
      <c r="E263" s="1" t="s">
        <v>44</v>
      </c>
      <c r="F263" s="1" t="s">
        <v>583</v>
      </c>
      <c r="AI263" s="1" t="s">
        <v>551</v>
      </c>
      <c r="AJ263" s="1" t="s">
        <v>44</v>
      </c>
      <c r="AK263" s="1" t="s">
        <v>584</v>
      </c>
      <c r="AL263" s="1" t="s">
        <v>923</v>
      </c>
      <c r="AR263" s="1" t="s">
        <v>79</v>
      </c>
      <c r="AS263" s="1" t="s">
        <v>71</v>
      </c>
      <c r="AT263" s="1">
        <v>2.5602</v>
      </c>
      <c r="AV263" s="1" t="s">
        <v>1025</v>
      </c>
      <c r="AW263" s="1" t="s">
        <v>938</v>
      </c>
      <c r="AX263" s="1">
        <v>3876795</v>
      </c>
      <c r="BA263" s="1" t="s">
        <v>69</v>
      </c>
      <c r="BB263" s="1" t="s">
        <v>574</v>
      </c>
      <c r="BC263" s="1" t="s">
        <v>456</v>
      </c>
      <c r="BD263" s="1" t="s">
        <v>555</v>
      </c>
      <c r="BG263" s="1" t="s">
        <v>558</v>
      </c>
      <c r="BH263" s="1">
        <v>28</v>
      </c>
      <c r="BI263" s="1" t="s">
        <v>431</v>
      </c>
      <c r="BJ263" s="1" t="s">
        <v>67</v>
      </c>
      <c r="BK263" s="1" t="s">
        <v>440</v>
      </c>
      <c r="BL263" s="1">
        <v>0</v>
      </c>
      <c r="BM263" s="1" t="s">
        <v>1025</v>
      </c>
      <c r="BN263" s="1" t="s">
        <v>938</v>
      </c>
      <c r="BP263" s="1">
        <v>3876795</v>
      </c>
      <c r="BR263" s="1" t="s">
        <v>69</v>
      </c>
      <c r="BS263" s="1" t="s">
        <v>1023</v>
      </c>
      <c r="BT263" s="1" t="s">
        <v>574</v>
      </c>
      <c r="BU263" s="1" t="s">
        <v>456</v>
      </c>
      <c r="BV263" s="1" t="s">
        <v>555</v>
      </c>
      <c r="BY263" s="1" t="s">
        <v>558</v>
      </c>
      <c r="BZ263" s="1">
        <v>28</v>
      </c>
      <c r="CJ263" s="1">
        <v>2.3087900000000001</v>
      </c>
      <c r="CK263" s="1">
        <v>2.3062900000000002</v>
      </c>
      <c r="CL263" s="1">
        <v>2.3112900000000001</v>
      </c>
      <c r="CR263" s="1">
        <v>-491.8321896745</v>
      </c>
      <c r="CS263" s="1">
        <v>-527.5</v>
      </c>
      <c r="CT263" s="1">
        <v>-456.16</v>
      </c>
      <c r="CU263" s="1">
        <v>-1.2699999999999999E-2</v>
      </c>
      <c r="CZ263" s="1">
        <v>-491.83</v>
      </c>
      <c r="DA263" s="1">
        <v>-491.83</v>
      </c>
      <c r="DB263" s="1">
        <v>-1462.67</v>
      </c>
      <c r="DC263" s="1">
        <v>970.83</v>
      </c>
      <c r="DD263" s="2">
        <v>61.51</v>
      </c>
      <c r="DG263" s="1">
        <v>21.03</v>
      </c>
      <c r="DL263" s="1">
        <v>-3898933.44</v>
      </c>
      <c r="DM263" s="1">
        <v>-3878255.58</v>
      </c>
      <c r="DN263" s="1">
        <v>-20677.86</v>
      </c>
      <c r="DO263" s="1">
        <v>2.5602</v>
      </c>
      <c r="DP263" s="1" t="s">
        <v>759</v>
      </c>
      <c r="DQ263" s="1" t="s">
        <v>759</v>
      </c>
      <c r="DS263" s="1">
        <v>3898441.6</v>
      </c>
      <c r="DT263" s="1">
        <v>3876792.91</v>
      </c>
      <c r="DU263" s="1">
        <v>21648.69</v>
      </c>
      <c r="DV263" s="1">
        <v>2.5257299999999998</v>
      </c>
      <c r="DW263" s="1" t="s">
        <v>759</v>
      </c>
      <c r="DX263" s="1" t="s">
        <v>759</v>
      </c>
      <c r="DY263" s="1" t="s">
        <v>923</v>
      </c>
      <c r="DZ263" s="1">
        <v>-1202</v>
      </c>
      <c r="EA263" s="1">
        <v>218</v>
      </c>
      <c r="ED263" s="1" t="s">
        <v>50</v>
      </c>
      <c r="EE263" s="1" t="s">
        <v>1457</v>
      </c>
      <c r="EF263" s="1" t="s">
        <v>53</v>
      </c>
      <c r="EG263" s="1" t="s">
        <v>1457</v>
      </c>
      <c r="EH263" s="1" t="s">
        <v>51</v>
      </c>
      <c r="EJ263" s="1" t="s">
        <v>55</v>
      </c>
      <c r="EL263" s="1" t="s">
        <v>57</v>
      </c>
    </row>
    <row r="264" spans="1:142" x14ac:dyDescent="0.2">
      <c r="A264" s="101">
        <v>88092389001</v>
      </c>
      <c r="B264" s="101">
        <v>88092389</v>
      </c>
      <c r="D264" s="1" t="s">
        <v>43</v>
      </c>
      <c r="E264" s="1" t="s">
        <v>44</v>
      </c>
      <c r="F264" s="1" t="s">
        <v>583</v>
      </c>
      <c r="AI264" s="1" t="s">
        <v>551</v>
      </c>
      <c r="AJ264" s="1" t="s">
        <v>44</v>
      </c>
      <c r="AK264" s="1" t="s">
        <v>584</v>
      </c>
      <c r="AL264" s="1" t="s">
        <v>1025</v>
      </c>
      <c r="AR264" s="1" t="s">
        <v>79</v>
      </c>
      <c r="AS264" s="1" t="s">
        <v>71</v>
      </c>
      <c r="AT264" s="1">
        <v>2.2827000000000002</v>
      </c>
      <c r="AV264" s="1" t="s">
        <v>771</v>
      </c>
      <c r="AW264" s="1" t="s">
        <v>1077</v>
      </c>
      <c r="AX264" s="1">
        <v>24350017</v>
      </c>
      <c r="BA264" s="1" t="s">
        <v>69</v>
      </c>
      <c r="BB264" s="1" t="s">
        <v>574</v>
      </c>
      <c r="BC264" s="1" t="s">
        <v>456</v>
      </c>
      <c r="BD264" s="1" t="s">
        <v>555</v>
      </c>
      <c r="BG264" s="1" t="s">
        <v>558</v>
      </c>
      <c r="BH264" s="1">
        <v>16</v>
      </c>
      <c r="BI264" s="1" t="s">
        <v>431</v>
      </c>
      <c r="BJ264" s="1" t="s">
        <v>67</v>
      </c>
      <c r="BK264" s="1" t="s">
        <v>440</v>
      </c>
      <c r="BL264" s="1">
        <v>0</v>
      </c>
      <c r="BM264" s="1" t="s">
        <v>771</v>
      </c>
      <c r="BN264" s="1" t="s">
        <v>1077</v>
      </c>
      <c r="BP264" s="1">
        <v>24350017</v>
      </c>
      <c r="BR264" s="1" t="s">
        <v>69</v>
      </c>
      <c r="BS264" s="1" t="s">
        <v>1023</v>
      </c>
      <c r="BT264" s="1" t="s">
        <v>574</v>
      </c>
      <c r="BU264" s="1" t="s">
        <v>456</v>
      </c>
      <c r="BV264" s="1" t="s">
        <v>555</v>
      </c>
      <c r="BY264" s="1" t="s">
        <v>558</v>
      </c>
      <c r="BZ264" s="1">
        <v>16</v>
      </c>
      <c r="CJ264" s="1">
        <v>2.0480299999999998</v>
      </c>
      <c r="CK264" s="1">
        <v>2.0455299999999998</v>
      </c>
      <c r="CL264" s="1">
        <v>2.0505300000000002</v>
      </c>
      <c r="CR264" s="1">
        <v>-23759.924676094201</v>
      </c>
      <c r="CS264" s="1">
        <v>-24365.31</v>
      </c>
      <c r="CT264" s="1">
        <v>-23154.54</v>
      </c>
      <c r="CU264" s="1">
        <v>-9.7600000000000006E-2</v>
      </c>
      <c r="CZ264" s="1">
        <v>-23759.919999999998</v>
      </c>
      <c r="DA264" s="1">
        <v>-23759.919999999998</v>
      </c>
      <c r="DB264" s="1">
        <v>-43051.360000000001</v>
      </c>
      <c r="DC264" s="1">
        <v>19291.43</v>
      </c>
      <c r="DD264" s="2">
        <v>1941.83</v>
      </c>
      <c r="DG264" s="1">
        <v>395.23</v>
      </c>
      <c r="DL264" s="1">
        <v>-24505700.059999999</v>
      </c>
      <c r="DM264" s="1">
        <v>-24392988.5</v>
      </c>
      <c r="DN264" s="1">
        <v>-112711.56</v>
      </c>
      <c r="DO264" s="1">
        <v>2.2827000000000002</v>
      </c>
      <c r="DP264" s="1" t="s">
        <v>1208</v>
      </c>
      <c r="DQ264" s="1" t="s">
        <v>1208</v>
      </c>
      <c r="DS264" s="1">
        <v>24481940.140000001</v>
      </c>
      <c r="DT264" s="1">
        <v>24349937.140000001</v>
      </c>
      <c r="DU264" s="1">
        <v>132002.99</v>
      </c>
      <c r="DV264" s="1">
        <v>2.18458</v>
      </c>
      <c r="DW264" s="1" t="s">
        <v>1208</v>
      </c>
      <c r="DX264" s="1" t="s">
        <v>1208</v>
      </c>
      <c r="DY264" s="1" t="s">
        <v>1025</v>
      </c>
      <c r="DZ264" s="1">
        <v>-43645</v>
      </c>
      <c r="EA264" s="1">
        <v>-3875</v>
      </c>
      <c r="ED264" s="1" t="s">
        <v>50</v>
      </c>
      <c r="EE264" s="1" t="s">
        <v>1461</v>
      </c>
      <c r="EF264" s="1" t="s">
        <v>53</v>
      </c>
      <c r="EG264" s="1" t="s">
        <v>1461</v>
      </c>
      <c r="EH264" s="1" t="s">
        <v>51</v>
      </c>
      <c r="EJ264" s="1" t="s">
        <v>55</v>
      </c>
      <c r="EL264" s="1" t="s">
        <v>57</v>
      </c>
    </row>
    <row r="265" spans="1:142" x14ac:dyDescent="0.2">
      <c r="A265" s="101">
        <v>88210282001</v>
      </c>
      <c r="B265" s="101">
        <v>88210282</v>
      </c>
      <c r="D265" s="1" t="s">
        <v>63</v>
      </c>
      <c r="E265" s="1" t="s">
        <v>44</v>
      </c>
      <c r="F265" s="1" t="s">
        <v>583</v>
      </c>
      <c r="AI265" s="1" t="s">
        <v>551</v>
      </c>
      <c r="AJ265" s="1" t="s">
        <v>44</v>
      </c>
      <c r="AK265" s="1" t="s">
        <v>584</v>
      </c>
      <c r="AL265" s="1" t="s">
        <v>771</v>
      </c>
      <c r="AR265" s="1" t="s">
        <v>79</v>
      </c>
      <c r="AS265" s="1" t="s">
        <v>71</v>
      </c>
      <c r="AT265" s="1">
        <v>2.1977000000000002</v>
      </c>
      <c r="AV265" s="1" t="s">
        <v>1024</v>
      </c>
      <c r="AW265" s="1" t="s">
        <v>1100</v>
      </c>
      <c r="AX265" s="1">
        <v>20295119</v>
      </c>
      <c r="BA265" s="1" t="s">
        <v>69</v>
      </c>
      <c r="BB265" s="1" t="s">
        <v>574</v>
      </c>
      <c r="BC265" s="1" t="s">
        <v>456</v>
      </c>
      <c r="BD265" s="1" t="s">
        <v>555</v>
      </c>
      <c r="BG265" s="1" t="s">
        <v>558</v>
      </c>
      <c r="BH265" s="1">
        <v>16</v>
      </c>
      <c r="BI265" s="1" t="s">
        <v>431</v>
      </c>
      <c r="BJ265" s="1" t="s">
        <v>67</v>
      </c>
      <c r="BK265" s="1" t="s">
        <v>440</v>
      </c>
      <c r="BL265" s="1">
        <v>0</v>
      </c>
      <c r="BM265" s="1" t="s">
        <v>1024</v>
      </c>
      <c r="BN265" s="1" t="s">
        <v>1100</v>
      </c>
      <c r="BP265" s="1">
        <v>20295119</v>
      </c>
      <c r="BR265" s="1" t="s">
        <v>69</v>
      </c>
      <c r="BS265" s="1" t="s">
        <v>1023</v>
      </c>
      <c r="BT265" s="1" t="s">
        <v>574</v>
      </c>
      <c r="BU265" s="1" t="s">
        <v>456</v>
      </c>
      <c r="BV265" s="1" t="s">
        <v>555</v>
      </c>
      <c r="BY265" s="1" t="s">
        <v>558</v>
      </c>
      <c r="BZ265" s="1">
        <v>16</v>
      </c>
      <c r="CJ265" s="1">
        <v>2.0297200000000002</v>
      </c>
      <c r="CK265" s="1">
        <v>2.0272199999999998</v>
      </c>
      <c r="CL265" s="1">
        <v>2.0322200000000001</v>
      </c>
      <c r="CR265" s="1">
        <v>22822.0019852445</v>
      </c>
      <c r="CS265" s="1">
        <v>22318.17</v>
      </c>
      <c r="CT265" s="1">
        <v>23325.83</v>
      </c>
      <c r="CU265" s="1">
        <v>0.1125</v>
      </c>
      <c r="CZ265" s="1">
        <v>22822</v>
      </c>
      <c r="DA265" s="1">
        <v>22822</v>
      </c>
      <c r="DB265" s="1">
        <v>-28544.76</v>
      </c>
      <c r="DC265" s="1">
        <v>51366.76</v>
      </c>
      <c r="DD265" s="2">
        <v>1784.48</v>
      </c>
      <c r="DG265" s="1">
        <v>330.73</v>
      </c>
      <c r="DL265" s="1">
        <v>-20375677.079999998</v>
      </c>
      <c r="DM265" s="1">
        <v>-20323640.73</v>
      </c>
      <c r="DN265" s="1">
        <v>-52036.35</v>
      </c>
      <c r="DO265" s="1">
        <v>2.1977000000000002</v>
      </c>
      <c r="DP265" s="1" t="s">
        <v>1423</v>
      </c>
      <c r="DQ265" s="1" t="s">
        <v>1423</v>
      </c>
      <c r="DS265" s="1">
        <v>20398499.079999998</v>
      </c>
      <c r="DT265" s="1">
        <v>20295095.969999999</v>
      </c>
      <c r="DU265" s="1">
        <v>103403.11</v>
      </c>
      <c r="DV265" s="1">
        <v>2.1513599999999999</v>
      </c>
      <c r="DW265" s="1" t="s">
        <v>1423</v>
      </c>
      <c r="DX265" s="1" t="s">
        <v>1423</v>
      </c>
      <c r="DY265" s="1" t="s">
        <v>771</v>
      </c>
      <c r="DZ265" s="1">
        <v>4712</v>
      </c>
      <c r="EA265" s="1">
        <v>40932</v>
      </c>
      <c r="ED265" s="1" t="s">
        <v>50</v>
      </c>
      <c r="EE265" s="1" t="s">
        <v>1448</v>
      </c>
      <c r="EF265" s="1" t="s">
        <v>53</v>
      </c>
      <c r="EG265" s="1" t="s">
        <v>1448</v>
      </c>
      <c r="EH265" s="1" t="s">
        <v>51</v>
      </c>
      <c r="EJ265" s="1" t="s">
        <v>55</v>
      </c>
      <c r="EL265" s="1" t="s">
        <v>57</v>
      </c>
    </row>
    <row r="266" spans="1:142" x14ac:dyDescent="0.2">
      <c r="A266" s="101">
        <v>88419479001</v>
      </c>
      <c r="B266" s="101">
        <v>88419479</v>
      </c>
      <c r="C266" s="1" t="s">
        <v>1451</v>
      </c>
      <c r="D266" s="1" t="s">
        <v>334</v>
      </c>
      <c r="E266" s="1" t="s">
        <v>44</v>
      </c>
      <c r="F266" s="1" t="s">
        <v>602</v>
      </c>
      <c r="I266" s="1">
        <v>104.405</v>
      </c>
      <c r="J266" s="1" t="s">
        <v>589</v>
      </c>
      <c r="V266" s="1" t="s">
        <v>1067</v>
      </c>
      <c r="AI266" s="1" t="s">
        <v>551</v>
      </c>
      <c r="AJ266" s="1" t="s">
        <v>44</v>
      </c>
      <c r="AK266" s="1" t="s">
        <v>602</v>
      </c>
      <c r="AL266" s="1" t="s">
        <v>772</v>
      </c>
      <c r="AT266" s="1">
        <v>4</v>
      </c>
      <c r="AV266" s="1" t="s">
        <v>1067</v>
      </c>
      <c r="AW266" s="1" t="s">
        <v>1452</v>
      </c>
      <c r="AX266" s="1">
        <v>38250000</v>
      </c>
      <c r="BA266" s="1" t="s">
        <v>49</v>
      </c>
      <c r="BB266" s="1" t="s">
        <v>560</v>
      </c>
      <c r="BG266" s="1" t="s">
        <v>556</v>
      </c>
      <c r="BY266" s="1" t="s">
        <v>556</v>
      </c>
      <c r="CR266" s="1">
        <v>16981.8215396165</v>
      </c>
      <c r="CU266" s="1">
        <v>4.4400000000000002E-2</v>
      </c>
      <c r="DD266" s="2">
        <v>0</v>
      </c>
      <c r="DG266" s="1">
        <v>643.85</v>
      </c>
      <c r="ED266" s="1" t="s">
        <v>50</v>
      </c>
      <c r="EE266" s="1" t="s">
        <v>1453</v>
      </c>
      <c r="EF266" s="1" t="s">
        <v>53</v>
      </c>
      <c r="EG266" s="1" t="s">
        <v>1453</v>
      </c>
      <c r="EH266" s="1" t="s">
        <v>51</v>
      </c>
      <c r="EJ266" s="1" t="s">
        <v>55</v>
      </c>
      <c r="EL266" s="1" t="s">
        <v>57</v>
      </c>
    </row>
    <row r="267" spans="1:142" x14ac:dyDescent="0.2">
      <c r="A267" s="101">
        <v>88429528001</v>
      </c>
      <c r="B267" s="101">
        <v>88429528</v>
      </c>
      <c r="D267" s="1" t="s">
        <v>334</v>
      </c>
      <c r="E267" s="1" t="s">
        <v>44</v>
      </c>
      <c r="F267" s="1" t="s">
        <v>583</v>
      </c>
      <c r="AI267" s="1" t="s">
        <v>551</v>
      </c>
      <c r="AJ267" s="1" t="s">
        <v>44</v>
      </c>
      <c r="AK267" s="1" t="s">
        <v>584</v>
      </c>
      <c r="AL267" s="1" t="s">
        <v>1024</v>
      </c>
      <c r="AR267" s="1" t="s">
        <v>79</v>
      </c>
      <c r="AS267" s="1" t="s">
        <v>71</v>
      </c>
      <c r="AT267" s="1">
        <v>2.3092000000000001</v>
      </c>
      <c r="AV267" s="1" t="s">
        <v>855</v>
      </c>
      <c r="AW267" s="1" t="s">
        <v>1458</v>
      </c>
      <c r="AX267" s="1">
        <v>2714179</v>
      </c>
      <c r="BA267" s="1" t="s">
        <v>69</v>
      </c>
      <c r="BB267" s="1" t="s">
        <v>574</v>
      </c>
      <c r="BC267" s="1" t="s">
        <v>456</v>
      </c>
      <c r="BD267" s="1" t="s">
        <v>555</v>
      </c>
      <c r="BG267" s="1" t="s">
        <v>558</v>
      </c>
      <c r="BH267" s="1">
        <v>15</v>
      </c>
      <c r="BI267" s="1" t="s">
        <v>431</v>
      </c>
      <c r="BJ267" s="1" t="s">
        <v>67</v>
      </c>
      <c r="BK267" s="1" t="s">
        <v>440</v>
      </c>
      <c r="BL267" s="1">
        <v>0</v>
      </c>
      <c r="BM267" s="1" t="s">
        <v>855</v>
      </c>
      <c r="BN267" s="1" t="s">
        <v>1458</v>
      </c>
      <c r="BP267" s="1">
        <v>2714179</v>
      </c>
      <c r="BR267" s="1" t="s">
        <v>69</v>
      </c>
      <c r="BS267" s="1" t="s">
        <v>1023</v>
      </c>
      <c r="BT267" s="1" t="s">
        <v>574</v>
      </c>
      <c r="BU267" s="1" t="s">
        <v>456</v>
      </c>
      <c r="BV267" s="1" t="s">
        <v>555</v>
      </c>
      <c r="BY267" s="1" t="s">
        <v>558</v>
      </c>
      <c r="BZ267" s="1">
        <v>15</v>
      </c>
      <c r="CJ267" s="1">
        <v>2.1182099999999999</v>
      </c>
      <c r="CK267" s="1">
        <v>2.11571</v>
      </c>
      <c r="CL267" s="1">
        <v>2.1207099999999999</v>
      </c>
      <c r="CR267" s="1">
        <v>-913.62261356090005</v>
      </c>
      <c r="CS267" s="1">
        <v>-962.99</v>
      </c>
      <c r="CT267" s="1">
        <v>-864.25</v>
      </c>
      <c r="CU267" s="1">
        <v>-3.3700000000000001E-2</v>
      </c>
      <c r="CZ267" s="1">
        <v>-913.62</v>
      </c>
      <c r="DA267" s="1">
        <v>-913.62</v>
      </c>
      <c r="DB267" s="1">
        <v>-2635.06</v>
      </c>
      <c r="DC267" s="1">
        <v>1721.44</v>
      </c>
      <c r="DD267" s="2">
        <v>147.6</v>
      </c>
      <c r="DG267" s="1">
        <v>38.229999999999997</v>
      </c>
      <c r="DL267" s="1">
        <v>-2728476.45</v>
      </c>
      <c r="DM267" s="1">
        <v>-2716811.79</v>
      </c>
      <c r="DN267" s="1">
        <v>-11664.67</v>
      </c>
      <c r="DO267" s="1">
        <v>2.3092000000000001</v>
      </c>
      <c r="DP267" s="1" t="s">
        <v>1459</v>
      </c>
      <c r="DQ267" s="1" t="s">
        <v>1459</v>
      </c>
      <c r="DS267" s="1">
        <v>2727562.83</v>
      </c>
      <c r="DT267" s="1">
        <v>2714176.72</v>
      </c>
      <c r="DU267" s="1">
        <v>13386.11</v>
      </c>
      <c r="DV267" s="1">
        <v>2.26294</v>
      </c>
      <c r="DW267" s="1" t="s">
        <v>1459</v>
      </c>
      <c r="DX267" s="1" t="s">
        <v>1459</v>
      </c>
      <c r="DY267" s="1" t="s">
        <v>1024</v>
      </c>
      <c r="DZ267" s="1">
        <v>-2477</v>
      </c>
      <c r="EA267" s="1">
        <v>650</v>
      </c>
      <c r="ED267" s="1" t="s">
        <v>50</v>
      </c>
      <c r="EE267" s="1" t="s">
        <v>1460</v>
      </c>
      <c r="EF267" s="1" t="s">
        <v>53</v>
      </c>
      <c r="EG267" s="1" t="s">
        <v>1460</v>
      </c>
      <c r="EH267" s="1" t="s">
        <v>51</v>
      </c>
      <c r="EJ267" s="1" t="s">
        <v>55</v>
      </c>
      <c r="EL267" s="1" t="s">
        <v>57</v>
      </c>
    </row>
    <row r="268" spans="1:142" x14ac:dyDescent="0.2">
      <c r="A268" s="101">
        <v>88429819001</v>
      </c>
      <c r="B268" s="101">
        <v>88429819</v>
      </c>
      <c r="D268" s="1" t="s">
        <v>334</v>
      </c>
      <c r="E268" s="1" t="s">
        <v>44</v>
      </c>
      <c r="F268" s="1" t="s">
        <v>583</v>
      </c>
      <c r="AI268" s="1" t="s">
        <v>551</v>
      </c>
      <c r="AJ268" s="1" t="s">
        <v>44</v>
      </c>
      <c r="AK268" s="1" t="s">
        <v>584</v>
      </c>
      <c r="AL268" s="1" t="s">
        <v>1024</v>
      </c>
      <c r="AR268" s="1" t="s">
        <v>79</v>
      </c>
      <c r="AS268" s="1" t="s">
        <v>71</v>
      </c>
      <c r="AT268" s="1">
        <v>2.4222000000000001</v>
      </c>
      <c r="AV268" s="1" t="s">
        <v>855</v>
      </c>
      <c r="AW268" s="1" t="s">
        <v>1160</v>
      </c>
      <c r="AX268" s="1">
        <v>14808570</v>
      </c>
      <c r="BA268" s="1" t="s">
        <v>69</v>
      </c>
      <c r="BB268" s="1" t="s">
        <v>574</v>
      </c>
      <c r="BC268" s="1" t="s">
        <v>456</v>
      </c>
      <c r="BD268" s="1" t="s">
        <v>555</v>
      </c>
      <c r="BG268" s="1" t="s">
        <v>558</v>
      </c>
      <c r="BH268" s="1">
        <v>15</v>
      </c>
      <c r="BI268" s="1" t="s">
        <v>431</v>
      </c>
      <c r="BJ268" s="1" t="s">
        <v>67</v>
      </c>
      <c r="BK268" s="1" t="s">
        <v>440</v>
      </c>
      <c r="BL268" s="1">
        <v>0</v>
      </c>
      <c r="BM268" s="1" t="s">
        <v>855</v>
      </c>
      <c r="BN268" s="1" t="s">
        <v>1160</v>
      </c>
      <c r="BP268" s="1">
        <v>14808570</v>
      </c>
      <c r="BR268" s="1" t="s">
        <v>69</v>
      </c>
      <c r="BS268" s="1" t="s">
        <v>1023</v>
      </c>
      <c r="BT268" s="1" t="s">
        <v>574</v>
      </c>
      <c r="BU268" s="1" t="s">
        <v>456</v>
      </c>
      <c r="BV268" s="1" t="s">
        <v>555</v>
      </c>
      <c r="BY268" s="1" t="s">
        <v>558</v>
      </c>
      <c r="BZ268" s="1">
        <v>15</v>
      </c>
      <c r="CJ268" s="1">
        <v>2.2225800000000002</v>
      </c>
      <c r="CK268" s="1">
        <v>2.2200799999999998</v>
      </c>
      <c r="CL268" s="1">
        <v>2.2250800000000002</v>
      </c>
      <c r="CR268" s="1">
        <v>-1763.5365377441001</v>
      </c>
      <c r="CS268" s="1">
        <v>-1940.28</v>
      </c>
      <c r="CT268" s="1">
        <v>-1586.8</v>
      </c>
      <c r="CU268" s="1">
        <v>-1.1900000000000001E-2</v>
      </c>
      <c r="CZ268" s="1">
        <v>-1763.54</v>
      </c>
      <c r="DA268" s="1">
        <v>-1763.54</v>
      </c>
      <c r="DB268" s="1">
        <v>-8041.4</v>
      </c>
      <c r="DC268" s="1">
        <v>6277.86</v>
      </c>
      <c r="DD268" s="2">
        <v>431.32</v>
      </c>
      <c r="DG268" s="1">
        <v>146.84</v>
      </c>
      <c r="DL268" s="1">
        <v>-14883359</v>
      </c>
      <c r="DM268" s="1">
        <v>-14816602.210000001</v>
      </c>
      <c r="DN268" s="1">
        <v>-66756.789999999994</v>
      </c>
      <c r="DO268" s="1">
        <v>2.4222000000000001</v>
      </c>
      <c r="DP268" s="1" t="s">
        <v>1161</v>
      </c>
      <c r="DQ268" s="1" t="s">
        <v>1161</v>
      </c>
      <c r="DS268" s="1">
        <v>14881595.460000001</v>
      </c>
      <c r="DT268" s="1">
        <v>14808560.82</v>
      </c>
      <c r="DU268" s="1">
        <v>73034.649999999994</v>
      </c>
      <c r="DV268" s="1">
        <v>2.3972500000000001</v>
      </c>
      <c r="DW268" s="1" t="s">
        <v>1161</v>
      </c>
      <c r="DX268" s="1" t="s">
        <v>1161</v>
      </c>
      <c r="DY268" s="1" t="s">
        <v>1024</v>
      </c>
      <c r="DZ268" s="1">
        <v>-6557</v>
      </c>
      <c r="EA268" s="1">
        <v>3030</v>
      </c>
      <c r="ED268" s="1" t="s">
        <v>50</v>
      </c>
      <c r="EE268" s="1" t="s">
        <v>1462</v>
      </c>
      <c r="EF268" s="1" t="s">
        <v>53</v>
      </c>
      <c r="EG268" s="1" t="s">
        <v>1462</v>
      </c>
      <c r="EH268" s="1" t="s">
        <v>51</v>
      </c>
      <c r="EJ268" s="1" t="s">
        <v>55</v>
      </c>
      <c r="EL268" s="1" t="s">
        <v>57</v>
      </c>
    </row>
    <row r="269" spans="1:142" x14ac:dyDescent="0.2">
      <c r="A269" s="101">
        <v>88433792001</v>
      </c>
      <c r="B269" s="101">
        <v>88433792</v>
      </c>
      <c r="D269" s="1" t="s">
        <v>77</v>
      </c>
      <c r="E269" s="1" t="s">
        <v>44</v>
      </c>
      <c r="F269" s="1" t="s">
        <v>583</v>
      </c>
      <c r="AI269" s="1" t="s">
        <v>551</v>
      </c>
      <c r="AJ269" s="1" t="s">
        <v>44</v>
      </c>
      <c r="AK269" s="1" t="s">
        <v>584</v>
      </c>
      <c r="AL269" s="1" t="s">
        <v>1024</v>
      </c>
      <c r="AR269" s="1" t="s">
        <v>79</v>
      </c>
      <c r="AS269" s="1" t="s">
        <v>71</v>
      </c>
      <c r="AT269" s="1">
        <v>2.6032000000000002</v>
      </c>
      <c r="AV269" s="1" t="s">
        <v>855</v>
      </c>
      <c r="AW269" s="1" t="s">
        <v>1103</v>
      </c>
      <c r="AX269" s="1">
        <v>8934998</v>
      </c>
      <c r="BA269" s="1" t="s">
        <v>69</v>
      </c>
      <c r="BB269" s="1" t="s">
        <v>574</v>
      </c>
      <c r="BC269" s="1" t="s">
        <v>456</v>
      </c>
      <c r="BD269" s="1" t="s">
        <v>555</v>
      </c>
      <c r="BG269" s="1" t="s">
        <v>558</v>
      </c>
      <c r="BH269" s="1">
        <v>23</v>
      </c>
      <c r="BI269" s="1" t="s">
        <v>431</v>
      </c>
      <c r="BJ269" s="1" t="s">
        <v>67</v>
      </c>
      <c r="BK269" s="1" t="s">
        <v>440</v>
      </c>
      <c r="BL269" s="1">
        <v>0</v>
      </c>
      <c r="BM269" s="1" t="s">
        <v>855</v>
      </c>
      <c r="BN269" s="1" t="s">
        <v>1103</v>
      </c>
      <c r="BP269" s="1">
        <v>8934998</v>
      </c>
      <c r="BR269" s="1" t="s">
        <v>69</v>
      </c>
      <c r="BS269" s="1" t="s">
        <v>1023</v>
      </c>
      <c r="BT269" s="1" t="s">
        <v>574</v>
      </c>
      <c r="BU269" s="1" t="s">
        <v>456</v>
      </c>
      <c r="BV269" s="1" t="s">
        <v>555</v>
      </c>
      <c r="BY269" s="1" t="s">
        <v>558</v>
      </c>
      <c r="BZ269" s="1">
        <v>23</v>
      </c>
      <c r="CJ269" s="1">
        <v>2.4180000000000001</v>
      </c>
      <c r="CK269" s="1">
        <v>2.4155000000000002</v>
      </c>
      <c r="CL269" s="1">
        <v>2.4205000000000001</v>
      </c>
      <c r="CR269" s="1">
        <v>-209.82800710949999</v>
      </c>
      <c r="CS269" s="1">
        <v>-265.58</v>
      </c>
      <c r="CT269" s="1">
        <v>-154.07</v>
      </c>
      <c r="CU269" s="1">
        <v>-2.3E-3</v>
      </c>
      <c r="CZ269" s="1">
        <v>-209.83</v>
      </c>
      <c r="DA269" s="1">
        <v>-209.83</v>
      </c>
      <c r="DB269" s="1">
        <v>-987.83</v>
      </c>
      <c r="DC269" s="1">
        <v>778</v>
      </c>
      <c r="DD269" s="2">
        <v>54.8</v>
      </c>
      <c r="DG269" s="1">
        <v>6.62</v>
      </c>
      <c r="DL269" s="1">
        <v>-8979271.0299999993</v>
      </c>
      <c r="DM269" s="1">
        <v>-8935982.3599999994</v>
      </c>
      <c r="DN269" s="1">
        <v>-43288.68</v>
      </c>
      <c r="DO269" s="1">
        <v>2.6032000000000002</v>
      </c>
      <c r="DP269" s="1" t="s">
        <v>1013</v>
      </c>
      <c r="DQ269" s="1" t="s">
        <v>1013</v>
      </c>
      <c r="DS269" s="1">
        <v>8979061.2100000009</v>
      </c>
      <c r="DT269" s="1">
        <v>8934994.5299999993</v>
      </c>
      <c r="DU269" s="1">
        <v>44066.67</v>
      </c>
      <c r="DV269" s="1">
        <v>2.5937899999999998</v>
      </c>
      <c r="DW269" s="1" t="s">
        <v>1013</v>
      </c>
      <c r="DX269" s="1" t="s">
        <v>1013</v>
      </c>
      <c r="DY269" s="1" t="s">
        <v>1024</v>
      </c>
      <c r="DZ269" s="1">
        <v>-872</v>
      </c>
      <c r="EA269" s="1">
        <v>453</v>
      </c>
      <c r="ED269" s="1" t="s">
        <v>50</v>
      </c>
      <c r="EE269" s="1" t="s">
        <v>1463</v>
      </c>
      <c r="EF269" s="1" t="s">
        <v>53</v>
      </c>
      <c r="EG269" s="1" t="s">
        <v>1463</v>
      </c>
      <c r="EH269" s="1" t="s">
        <v>51</v>
      </c>
      <c r="EJ269" s="1" t="s">
        <v>55</v>
      </c>
      <c r="EL269" s="1" t="s">
        <v>57</v>
      </c>
    </row>
    <row r="270" spans="1:142" x14ac:dyDescent="0.2">
      <c r="A270" s="101">
        <v>88436857001</v>
      </c>
      <c r="B270" s="101">
        <v>88436857</v>
      </c>
      <c r="D270" s="1" t="s">
        <v>63</v>
      </c>
      <c r="E270" s="1" t="s">
        <v>44</v>
      </c>
      <c r="F270" s="1" t="s">
        <v>583</v>
      </c>
      <c r="AI270" s="1" t="s">
        <v>551</v>
      </c>
      <c r="AJ270" s="1" t="s">
        <v>44</v>
      </c>
      <c r="AK270" s="1" t="s">
        <v>584</v>
      </c>
      <c r="AL270" s="1" t="s">
        <v>1024</v>
      </c>
      <c r="AR270" s="1" t="s">
        <v>79</v>
      </c>
      <c r="AS270" s="1" t="s">
        <v>71</v>
      </c>
      <c r="AT270" s="1">
        <v>2.6006999999999998</v>
      </c>
      <c r="AV270" s="1" t="s">
        <v>855</v>
      </c>
      <c r="AW270" s="1" t="s">
        <v>1013</v>
      </c>
      <c r="AX270" s="1">
        <v>25823162</v>
      </c>
      <c r="BA270" s="1" t="s">
        <v>69</v>
      </c>
      <c r="BB270" s="1" t="s">
        <v>574</v>
      </c>
      <c r="BC270" s="1" t="s">
        <v>456</v>
      </c>
      <c r="BD270" s="1" t="s">
        <v>555</v>
      </c>
      <c r="BG270" s="1" t="s">
        <v>558</v>
      </c>
      <c r="BH270" s="1">
        <v>24</v>
      </c>
      <c r="BI270" s="1" t="s">
        <v>431</v>
      </c>
      <c r="BJ270" s="1" t="s">
        <v>67</v>
      </c>
      <c r="BK270" s="1" t="s">
        <v>440</v>
      </c>
      <c r="BL270" s="1">
        <v>0</v>
      </c>
      <c r="BM270" s="1" t="s">
        <v>855</v>
      </c>
      <c r="BN270" s="1" t="s">
        <v>1013</v>
      </c>
      <c r="BP270" s="1">
        <v>25823162</v>
      </c>
      <c r="BR270" s="1" t="s">
        <v>69</v>
      </c>
      <c r="BS270" s="1" t="s">
        <v>1023</v>
      </c>
      <c r="BT270" s="1" t="s">
        <v>574</v>
      </c>
      <c r="BU270" s="1" t="s">
        <v>456</v>
      </c>
      <c r="BV270" s="1" t="s">
        <v>555</v>
      </c>
      <c r="BY270" s="1" t="s">
        <v>558</v>
      </c>
      <c r="BZ270" s="1">
        <v>24</v>
      </c>
      <c r="CJ270" s="1">
        <v>2.41506</v>
      </c>
      <c r="CK270" s="1">
        <v>2.41256</v>
      </c>
      <c r="CL270" s="1">
        <v>2.4175599999999999</v>
      </c>
      <c r="CR270" s="1">
        <v>-613.86792862039999</v>
      </c>
      <c r="CS270" s="1">
        <v>-776.78</v>
      </c>
      <c r="CT270" s="1">
        <v>-450.95</v>
      </c>
      <c r="CU270" s="1">
        <v>-2.3999999999999998E-3</v>
      </c>
      <c r="CZ270" s="1">
        <v>-613.87</v>
      </c>
      <c r="DA270" s="1">
        <v>-613.87</v>
      </c>
      <c r="DB270" s="1">
        <v>-2982.52</v>
      </c>
      <c r="DC270" s="1">
        <v>2368.65</v>
      </c>
      <c r="DD270" s="2">
        <v>165.56</v>
      </c>
      <c r="DG270" s="1">
        <v>47.35</v>
      </c>
      <c r="DL270" s="1">
        <v>-25951123.690000001</v>
      </c>
      <c r="DM270" s="1">
        <v>-25826134.640000001</v>
      </c>
      <c r="DN270" s="1">
        <v>-124989.05</v>
      </c>
      <c r="DO270" s="1">
        <v>2.6006999999999998</v>
      </c>
      <c r="DP270" s="1" t="s">
        <v>739</v>
      </c>
      <c r="DQ270" s="1" t="s">
        <v>739</v>
      </c>
      <c r="DS270" s="1">
        <v>25950509.829999998</v>
      </c>
      <c r="DT270" s="1">
        <v>25823152.120000001</v>
      </c>
      <c r="DU270" s="1">
        <v>127357.7</v>
      </c>
      <c r="DV270" s="1">
        <v>2.5912799999999998</v>
      </c>
      <c r="DW270" s="1" t="s">
        <v>739</v>
      </c>
      <c r="DX270" s="1" t="s">
        <v>739</v>
      </c>
      <c r="DY270" s="1" t="s">
        <v>1024</v>
      </c>
      <c r="DZ270" s="1">
        <v>-2613</v>
      </c>
      <c r="EA270" s="1">
        <v>1385</v>
      </c>
      <c r="ED270" s="1" t="s">
        <v>50</v>
      </c>
      <c r="EE270" s="1" t="s">
        <v>1464</v>
      </c>
      <c r="EF270" s="1" t="s">
        <v>53</v>
      </c>
      <c r="EG270" s="1" t="s">
        <v>1464</v>
      </c>
      <c r="EH270" s="1" t="s">
        <v>51</v>
      </c>
      <c r="EJ270" s="1" t="s">
        <v>55</v>
      </c>
      <c r="EL270" s="1" t="s">
        <v>57</v>
      </c>
    </row>
    <row r="271" spans="1:142" x14ac:dyDescent="0.2">
      <c r="A271" s="101">
        <v>88436867001</v>
      </c>
      <c r="B271" s="101">
        <v>88436867</v>
      </c>
      <c r="D271" s="1" t="s">
        <v>334</v>
      </c>
      <c r="E271" s="1" t="s">
        <v>44</v>
      </c>
      <c r="F271" s="1" t="s">
        <v>583</v>
      </c>
      <c r="AI271" s="1" t="s">
        <v>551</v>
      </c>
      <c r="AJ271" s="1" t="s">
        <v>44</v>
      </c>
      <c r="AK271" s="1" t="s">
        <v>584</v>
      </c>
      <c r="AL271" s="1" t="s">
        <v>1024</v>
      </c>
      <c r="AR271" s="1" t="s">
        <v>79</v>
      </c>
      <c r="AS271" s="1" t="s">
        <v>71</v>
      </c>
      <c r="AT271" s="1">
        <v>2.5057</v>
      </c>
      <c r="AV271" s="1" t="s">
        <v>855</v>
      </c>
      <c r="AW271" s="1" t="s">
        <v>1148</v>
      </c>
      <c r="AX271" s="1">
        <v>4942794</v>
      </c>
      <c r="BA271" s="1" t="s">
        <v>69</v>
      </c>
      <c r="BB271" s="1" t="s">
        <v>574</v>
      </c>
      <c r="BC271" s="1" t="s">
        <v>456</v>
      </c>
      <c r="BD271" s="1" t="s">
        <v>555</v>
      </c>
      <c r="BG271" s="1" t="s">
        <v>558</v>
      </c>
      <c r="BH271" s="1">
        <v>2</v>
      </c>
      <c r="BI271" s="1" t="s">
        <v>431</v>
      </c>
      <c r="BJ271" s="1" t="s">
        <v>67</v>
      </c>
      <c r="BK271" s="1" t="s">
        <v>440</v>
      </c>
      <c r="BL271" s="1">
        <v>0</v>
      </c>
      <c r="BM271" s="1" t="s">
        <v>855</v>
      </c>
      <c r="BN271" s="1" t="s">
        <v>1148</v>
      </c>
      <c r="BP271" s="1">
        <v>4942794</v>
      </c>
      <c r="BR271" s="1" t="s">
        <v>69</v>
      </c>
      <c r="BS271" s="1" t="s">
        <v>1023</v>
      </c>
      <c r="BT271" s="1" t="s">
        <v>574</v>
      </c>
      <c r="BU271" s="1" t="s">
        <v>456</v>
      </c>
      <c r="BV271" s="1" t="s">
        <v>555</v>
      </c>
      <c r="BY271" s="1" t="s">
        <v>558</v>
      </c>
      <c r="BZ271" s="1">
        <v>2</v>
      </c>
      <c r="CJ271" s="1">
        <v>2.3014999999999999</v>
      </c>
      <c r="CK271" s="1">
        <v>2.2989999999999999</v>
      </c>
      <c r="CL271" s="1">
        <v>2.3039999999999998</v>
      </c>
      <c r="CR271" s="1">
        <v>-305.2336416151</v>
      </c>
      <c r="CS271" s="1">
        <v>-349.67</v>
      </c>
      <c r="CT271" s="1">
        <v>-260.79000000000002</v>
      </c>
      <c r="CU271" s="1">
        <v>-6.1999999999999998E-3</v>
      </c>
      <c r="CZ271" s="1">
        <v>-305.23</v>
      </c>
      <c r="DA271" s="1">
        <v>-305.23</v>
      </c>
      <c r="DB271" s="1">
        <v>-1632.53</v>
      </c>
      <c r="DC271" s="1">
        <v>1327.3</v>
      </c>
      <c r="DD271" s="2">
        <v>85.22</v>
      </c>
      <c r="DG271" s="1">
        <v>29.12</v>
      </c>
      <c r="DL271" s="1">
        <v>-4967474.16</v>
      </c>
      <c r="DM271" s="1">
        <v>-4944424</v>
      </c>
      <c r="DN271" s="1">
        <v>-23050.16</v>
      </c>
      <c r="DO271" s="1">
        <v>2.5057</v>
      </c>
      <c r="DP271" s="1" t="s">
        <v>1149</v>
      </c>
      <c r="DQ271" s="1" t="s">
        <v>1149</v>
      </c>
      <c r="DS271" s="1">
        <v>4967168.92</v>
      </c>
      <c r="DT271" s="1">
        <v>4942791.47</v>
      </c>
      <c r="DU271" s="1">
        <v>24377.45</v>
      </c>
      <c r="DV271" s="1">
        <v>2.4885299999999999</v>
      </c>
      <c r="DW271" s="1" t="s">
        <v>1149</v>
      </c>
      <c r="DX271" s="1" t="s">
        <v>1149</v>
      </c>
      <c r="DY271" s="1" t="s">
        <v>1024</v>
      </c>
      <c r="DZ271" s="1">
        <v>-1286</v>
      </c>
      <c r="EA271" s="1">
        <v>675</v>
      </c>
      <c r="ED271" s="1" t="s">
        <v>50</v>
      </c>
      <c r="EE271" s="1" t="s">
        <v>1465</v>
      </c>
      <c r="EF271" s="1" t="s">
        <v>53</v>
      </c>
      <c r="EG271" s="1" t="s">
        <v>1465</v>
      </c>
      <c r="EH271" s="1" t="s">
        <v>51</v>
      </c>
      <c r="EJ271" s="1" t="s">
        <v>55</v>
      </c>
      <c r="EL271" s="1" t="s">
        <v>57</v>
      </c>
    </row>
    <row r="272" spans="1:142" x14ac:dyDescent="0.2">
      <c r="A272" s="101">
        <v>88565926001</v>
      </c>
      <c r="B272" s="101">
        <v>88565926</v>
      </c>
      <c r="D272" s="1" t="s">
        <v>334</v>
      </c>
      <c r="E272" s="1" t="s">
        <v>44</v>
      </c>
      <c r="F272" s="1" t="s">
        <v>583</v>
      </c>
      <c r="AI272" s="1" t="s">
        <v>551</v>
      </c>
      <c r="AJ272" s="1" t="s">
        <v>44</v>
      </c>
      <c r="AK272" s="1" t="s">
        <v>584</v>
      </c>
      <c r="AL272" s="1" t="s">
        <v>1245</v>
      </c>
      <c r="AR272" s="1" t="s">
        <v>79</v>
      </c>
      <c r="AS272" s="1" t="s">
        <v>71</v>
      </c>
      <c r="AT272" s="1">
        <v>2.2151999999999998</v>
      </c>
      <c r="AV272" s="1" t="s">
        <v>856</v>
      </c>
      <c r="AW272" s="1" t="s">
        <v>1466</v>
      </c>
      <c r="AX272" s="1">
        <v>73100445</v>
      </c>
      <c r="BA272" s="1" t="s">
        <v>69</v>
      </c>
      <c r="BB272" s="1" t="s">
        <v>574</v>
      </c>
      <c r="BC272" s="1" t="s">
        <v>456</v>
      </c>
      <c r="BD272" s="1" t="s">
        <v>555</v>
      </c>
      <c r="BG272" s="1" t="s">
        <v>558</v>
      </c>
      <c r="BH272" s="1">
        <v>23</v>
      </c>
      <c r="BI272" s="1" t="s">
        <v>431</v>
      </c>
      <c r="BJ272" s="1" t="s">
        <v>67</v>
      </c>
      <c r="BK272" s="1" t="s">
        <v>440</v>
      </c>
      <c r="BL272" s="1">
        <v>0</v>
      </c>
      <c r="BM272" s="1" t="s">
        <v>856</v>
      </c>
      <c r="BN272" s="1" t="s">
        <v>1466</v>
      </c>
      <c r="BP272" s="1">
        <v>73100445</v>
      </c>
      <c r="BR272" s="1" t="s">
        <v>69</v>
      </c>
      <c r="BS272" s="1" t="s">
        <v>1023</v>
      </c>
      <c r="BT272" s="1" t="s">
        <v>574</v>
      </c>
      <c r="BU272" s="1" t="s">
        <v>456</v>
      </c>
      <c r="BV272" s="1" t="s">
        <v>555</v>
      </c>
      <c r="BY272" s="1" t="s">
        <v>558</v>
      </c>
      <c r="BZ272" s="1">
        <v>23</v>
      </c>
      <c r="CJ272" s="1">
        <v>2.0435599999999998</v>
      </c>
      <c r="CK272" s="1">
        <v>2.0410599999999999</v>
      </c>
      <c r="CL272" s="1">
        <v>2.0460600000000002</v>
      </c>
      <c r="CR272" s="1">
        <v>-37838.1098651141</v>
      </c>
      <c r="CS272" s="1">
        <v>-39654.870000000003</v>
      </c>
      <c r="CT272" s="1">
        <v>-36021.35</v>
      </c>
      <c r="CU272" s="1">
        <v>-5.1799999999999999E-2</v>
      </c>
      <c r="CZ272" s="1">
        <v>-37838.11</v>
      </c>
      <c r="DA272" s="1">
        <v>-37838.11</v>
      </c>
      <c r="DB272" s="1">
        <v>-95525.85</v>
      </c>
      <c r="DC272" s="1">
        <v>57687.74</v>
      </c>
      <c r="DD272" s="2">
        <v>5961.96</v>
      </c>
      <c r="DG272" s="1">
        <v>1200.71</v>
      </c>
      <c r="DL272" s="1">
        <v>-73492609.819999993</v>
      </c>
      <c r="DM272" s="1">
        <v>-73195734.290000007</v>
      </c>
      <c r="DN272" s="1">
        <v>-296875.53000000003</v>
      </c>
      <c r="DO272" s="1">
        <v>2.2151999999999998</v>
      </c>
      <c r="DP272" s="1" t="s">
        <v>1467</v>
      </c>
      <c r="DQ272" s="1" t="s">
        <v>1467</v>
      </c>
      <c r="DS272" s="1">
        <v>73454771.709999993</v>
      </c>
      <c r="DT272" s="1">
        <v>73100208.439999998</v>
      </c>
      <c r="DU272" s="1">
        <v>354563.26</v>
      </c>
      <c r="DV272" s="1">
        <v>2.1631300000000002</v>
      </c>
      <c r="DW272" s="1" t="s">
        <v>1467</v>
      </c>
      <c r="DX272" s="1" t="s">
        <v>1467</v>
      </c>
      <c r="DY272" s="1" t="s">
        <v>1245</v>
      </c>
      <c r="DZ272" s="1">
        <v>-98756</v>
      </c>
      <c r="EA272" s="1">
        <v>23080</v>
      </c>
      <c r="ED272" s="1" t="s">
        <v>50</v>
      </c>
      <c r="EE272" s="1" t="s">
        <v>1468</v>
      </c>
      <c r="EF272" s="1" t="s">
        <v>53</v>
      </c>
      <c r="EG272" s="1" t="s">
        <v>1468</v>
      </c>
      <c r="EH272" s="1" t="s">
        <v>51</v>
      </c>
      <c r="EJ272" s="1" t="s">
        <v>55</v>
      </c>
      <c r="EL272" s="1" t="s">
        <v>57</v>
      </c>
    </row>
    <row r="273" spans="1:142" x14ac:dyDescent="0.2">
      <c r="A273" s="101">
        <v>88565927001</v>
      </c>
      <c r="B273" s="101">
        <v>88565927</v>
      </c>
      <c r="D273" s="1" t="s">
        <v>63</v>
      </c>
      <c r="E273" s="1" t="s">
        <v>44</v>
      </c>
      <c r="F273" s="1" t="s">
        <v>583</v>
      </c>
      <c r="AI273" s="1" t="s">
        <v>551</v>
      </c>
      <c r="AJ273" s="1" t="s">
        <v>44</v>
      </c>
      <c r="AK273" s="1" t="s">
        <v>584</v>
      </c>
      <c r="AL273" s="1" t="s">
        <v>1245</v>
      </c>
      <c r="AR273" s="1" t="s">
        <v>79</v>
      </c>
      <c r="AS273" s="1" t="s">
        <v>71</v>
      </c>
      <c r="AT273" s="1">
        <v>2.5167000000000002</v>
      </c>
      <c r="AV273" s="1" t="s">
        <v>856</v>
      </c>
      <c r="AW273" s="1" t="s">
        <v>1469</v>
      </c>
      <c r="AX273" s="1">
        <v>9907334</v>
      </c>
      <c r="BA273" s="1" t="s">
        <v>69</v>
      </c>
      <c r="BB273" s="1" t="s">
        <v>574</v>
      </c>
      <c r="BC273" s="1" t="s">
        <v>456</v>
      </c>
      <c r="BD273" s="1" t="s">
        <v>555</v>
      </c>
      <c r="BG273" s="1" t="s">
        <v>558</v>
      </c>
      <c r="BH273" s="1">
        <v>26</v>
      </c>
      <c r="BI273" s="1" t="s">
        <v>431</v>
      </c>
      <c r="BJ273" s="1" t="s">
        <v>67</v>
      </c>
      <c r="BK273" s="1" t="s">
        <v>440</v>
      </c>
      <c r="BL273" s="1">
        <v>0</v>
      </c>
      <c r="BM273" s="1" t="s">
        <v>856</v>
      </c>
      <c r="BN273" s="1" t="s">
        <v>1469</v>
      </c>
      <c r="BP273" s="1">
        <v>9907334</v>
      </c>
      <c r="BR273" s="1" t="s">
        <v>69</v>
      </c>
      <c r="BS273" s="1" t="s">
        <v>1023</v>
      </c>
      <c r="BT273" s="1" t="s">
        <v>574</v>
      </c>
      <c r="BU273" s="1" t="s">
        <v>456</v>
      </c>
      <c r="BV273" s="1" t="s">
        <v>555</v>
      </c>
      <c r="BY273" s="1" t="s">
        <v>558</v>
      </c>
      <c r="BZ273" s="1">
        <v>26</v>
      </c>
      <c r="CJ273" s="1">
        <v>2.3117000000000001</v>
      </c>
      <c r="CK273" s="1">
        <v>2.3092000000000001</v>
      </c>
      <c r="CL273" s="1">
        <v>2.3142</v>
      </c>
      <c r="CR273" s="1">
        <v>-579.7018244285</v>
      </c>
      <c r="CS273" s="1">
        <v>-663.33</v>
      </c>
      <c r="CT273" s="1">
        <v>-496.07</v>
      </c>
      <c r="CU273" s="1">
        <v>-5.8999999999999999E-3</v>
      </c>
      <c r="CZ273" s="1">
        <v>-579.70000000000005</v>
      </c>
      <c r="DA273" s="1">
        <v>-579.70000000000005</v>
      </c>
      <c r="DB273" s="1">
        <v>-2921.87</v>
      </c>
      <c r="DC273" s="1">
        <v>2342.16</v>
      </c>
      <c r="DD273" s="2">
        <v>151.58000000000001</v>
      </c>
      <c r="DG273" s="1">
        <v>52.25</v>
      </c>
      <c r="DL273" s="1">
        <v>-9955962.9900000002</v>
      </c>
      <c r="DM273" s="1">
        <v>-9910251.0399999991</v>
      </c>
      <c r="DN273" s="1">
        <v>-45711.94</v>
      </c>
      <c r="DO273" s="1">
        <v>2.5167000000000002</v>
      </c>
      <c r="DP273" s="1" t="s">
        <v>1067</v>
      </c>
      <c r="DQ273" s="1" t="s">
        <v>1067</v>
      </c>
      <c r="DS273" s="1">
        <v>9955383.2899999991</v>
      </c>
      <c r="DT273" s="1">
        <v>9907329.1799999997</v>
      </c>
      <c r="DU273" s="1">
        <v>48054.11</v>
      </c>
      <c r="DV273" s="1">
        <v>2.4993699999999999</v>
      </c>
      <c r="DW273" s="1" t="s">
        <v>1067</v>
      </c>
      <c r="DX273" s="1" t="s">
        <v>1067</v>
      </c>
      <c r="DY273" s="1" t="s">
        <v>1245</v>
      </c>
      <c r="DZ273" s="1">
        <v>-2332</v>
      </c>
      <c r="EA273" s="1">
        <v>1172</v>
      </c>
      <c r="ED273" s="1" t="s">
        <v>50</v>
      </c>
      <c r="EE273" s="1" t="s">
        <v>1470</v>
      </c>
      <c r="EF273" s="1" t="s">
        <v>53</v>
      </c>
      <c r="EG273" s="1" t="s">
        <v>1470</v>
      </c>
      <c r="EH273" s="1" t="s">
        <v>51</v>
      </c>
      <c r="EJ273" s="1" t="s">
        <v>55</v>
      </c>
      <c r="EL273" s="1" t="s">
        <v>57</v>
      </c>
    </row>
    <row r="274" spans="1:142" x14ac:dyDescent="0.2">
      <c r="A274" s="101">
        <v>88565928001</v>
      </c>
      <c r="B274" s="101">
        <v>88565928</v>
      </c>
      <c r="D274" s="1" t="s">
        <v>334</v>
      </c>
      <c r="E274" s="1" t="s">
        <v>44</v>
      </c>
      <c r="F274" s="1" t="s">
        <v>583</v>
      </c>
      <c r="AI274" s="1" t="s">
        <v>551</v>
      </c>
      <c r="AJ274" s="1" t="s">
        <v>44</v>
      </c>
      <c r="AK274" s="1" t="s">
        <v>584</v>
      </c>
      <c r="AL274" s="1" t="s">
        <v>1245</v>
      </c>
      <c r="AR274" s="1" t="s">
        <v>79</v>
      </c>
      <c r="AS274" s="1" t="s">
        <v>71</v>
      </c>
      <c r="AT274" s="1">
        <v>2.2402000000000002</v>
      </c>
      <c r="AV274" s="1" t="s">
        <v>856</v>
      </c>
      <c r="AW274" s="1" t="s">
        <v>1471</v>
      </c>
      <c r="AX274" s="1">
        <v>87933992</v>
      </c>
      <c r="BA274" s="1" t="s">
        <v>69</v>
      </c>
      <c r="BB274" s="1" t="s">
        <v>574</v>
      </c>
      <c r="BC274" s="1" t="s">
        <v>456</v>
      </c>
      <c r="BD274" s="1" t="s">
        <v>555</v>
      </c>
      <c r="BG274" s="1" t="s">
        <v>558</v>
      </c>
      <c r="BH274" s="1">
        <v>23</v>
      </c>
      <c r="BI274" s="1" t="s">
        <v>431</v>
      </c>
      <c r="BJ274" s="1" t="s">
        <v>67</v>
      </c>
      <c r="BK274" s="1" t="s">
        <v>440</v>
      </c>
      <c r="BL274" s="1">
        <v>0</v>
      </c>
      <c r="BM274" s="1" t="s">
        <v>856</v>
      </c>
      <c r="BN274" s="1" t="s">
        <v>1471</v>
      </c>
      <c r="BP274" s="1">
        <v>87933992</v>
      </c>
      <c r="BR274" s="1" t="s">
        <v>69</v>
      </c>
      <c r="BS274" s="1" t="s">
        <v>1023</v>
      </c>
      <c r="BT274" s="1" t="s">
        <v>574</v>
      </c>
      <c r="BU274" s="1" t="s">
        <v>456</v>
      </c>
      <c r="BV274" s="1" t="s">
        <v>555</v>
      </c>
      <c r="BY274" s="1" t="s">
        <v>558</v>
      </c>
      <c r="BZ274" s="1">
        <v>23</v>
      </c>
      <c r="CJ274" s="1">
        <v>2.0633599999999999</v>
      </c>
      <c r="CK274" s="1">
        <v>2.0608599999999999</v>
      </c>
      <c r="CL274" s="1">
        <v>2.0658599999999998</v>
      </c>
      <c r="CR274" s="1">
        <v>-40896.312607079701</v>
      </c>
      <c r="CS274" s="1">
        <v>-42898.99</v>
      </c>
      <c r="CT274" s="1">
        <v>-38893.64</v>
      </c>
      <c r="CU274" s="1">
        <v>-4.65E-2</v>
      </c>
      <c r="CZ274" s="1">
        <v>-40896.31</v>
      </c>
      <c r="DA274" s="1">
        <v>-40896.31</v>
      </c>
      <c r="DB274" s="1">
        <v>-106259.74</v>
      </c>
      <c r="DC274" s="1">
        <v>65363.43</v>
      </c>
      <c r="DD274" s="2">
        <v>6433.75</v>
      </c>
      <c r="DG274" s="1">
        <v>1350.57</v>
      </c>
      <c r="DL274" s="1">
        <v>-88401311.829999998</v>
      </c>
      <c r="DM274" s="1">
        <v>-88040164</v>
      </c>
      <c r="DN274" s="1">
        <v>-361147.84</v>
      </c>
      <c r="DO274" s="1">
        <v>2.2402000000000002</v>
      </c>
      <c r="DP274" s="1" t="s">
        <v>1405</v>
      </c>
      <c r="DQ274" s="1" t="s">
        <v>1405</v>
      </c>
      <c r="DS274" s="1">
        <v>88360415.519999996</v>
      </c>
      <c r="DT274" s="1">
        <v>87933904.260000005</v>
      </c>
      <c r="DU274" s="1">
        <v>426511.27</v>
      </c>
      <c r="DV274" s="1">
        <v>2.1891500000000002</v>
      </c>
      <c r="DW274" s="1" t="s">
        <v>1405</v>
      </c>
      <c r="DX274" s="1" t="s">
        <v>1405</v>
      </c>
      <c r="DY274" s="1" t="s">
        <v>1245</v>
      </c>
      <c r="DZ274" s="1">
        <v>-107272</v>
      </c>
      <c r="EA274" s="1">
        <v>25479</v>
      </c>
      <c r="ED274" s="1" t="s">
        <v>50</v>
      </c>
      <c r="EE274" s="1" t="s">
        <v>1472</v>
      </c>
      <c r="EF274" s="1" t="s">
        <v>53</v>
      </c>
      <c r="EG274" s="1" t="s">
        <v>1472</v>
      </c>
      <c r="EH274" s="1" t="s">
        <v>51</v>
      </c>
      <c r="EJ274" s="1" t="s">
        <v>55</v>
      </c>
      <c r="EL274" s="1" t="s">
        <v>57</v>
      </c>
    </row>
    <row r="275" spans="1:142" x14ac:dyDescent="0.2">
      <c r="A275" s="101">
        <v>88653784001</v>
      </c>
      <c r="B275" s="101">
        <v>88653784</v>
      </c>
      <c r="D275" s="1" t="s">
        <v>334</v>
      </c>
      <c r="E275" s="1" t="s">
        <v>44</v>
      </c>
      <c r="F275" s="1" t="s">
        <v>583</v>
      </c>
      <c r="AI275" s="1" t="s">
        <v>551</v>
      </c>
      <c r="AJ275" s="1" t="s">
        <v>44</v>
      </c>
      <c r="AK275" s="1" t="s">
        <v>584</v>
      </c>
      <c r="AL275" s="1" t="s">
        <v>855</v>
      </c>
      <c r="AR275" s="1" t="s">
        <v>79</v>
      </c>
      <c r="AS275" s="1" t="s">
        <v>71</v>
      </c>
      <c r="AT275" s="1">
        <v>2.2307000000000001</v>
      </c>
      <c r="AV275" s="1" t="s">
        <v>940</v>
      </c>
      <c r="AW275" s="1" t="s">
        <v>1422</v>
      </c>
      <c r="AX275" s="1">
        <v>48744689</v>
      </c>
      <c r="BA275" s="1" t="s">
        <v>69</v>
      </c>
      <c r="BB275" s="1" t="s">
        <v>574</v>
      </c>
      <c r="BC275" s="1" t="s">
        <v>456</v>
      </c>
      <c r="BD275" s="1" t="s">
        <v>555</v>
      </c>
      <c r="BG275" s="1" t="s">
        <v>558</v>
      </c>
      <c r="BH275" s="1">
        <v>27</v>
      </c>
      <c r="BI275" s="1" t="s">
        <v>431</v>
      </c>
      <c r="BJ275" s="1" t="s">
        <v>67</v>
      </c>
      <c r="BK275" s="1" t="s">
        <v>440</v>
      </c>
      <c r="BL275" s="1">
        <v>0</v>
      </c>
      <c r="BM275" s="1" t="s">
        <v>940</v>
      </c>
      <c r="BN275" s="1" t="s">
        <v>1422</v>
      </c>
      <c r="BP275" s="1">
        <v>48744689</v>
      </c>
      <c r="BR275" s="1" t="s">
        <v>69</v>
      </c>
      <c r="BS275" s="1" t="s">
        <v>69</v>
      </c>
      <c r="BT275" s="1" t="s">
        <v>574</v>
      </c>
      <c r="BU275" s="1" t="s">
        <v>456</v>
      </c>
      <c r="BV275" s="1" t="s">
        <v>555</v>
      </c>
      <c r="BY275" s="1" t="s">
        <v>558</v>
      </c>
      <c r="BZ275" s="1">
        <v>27</v>
      </c>
      <c r="CJ275" s="1">
        <v>2.0410599999999999</v>
      </c>
      <c r="CK275" s="1">
        <v>2.0385599999999999</v>
      </c>
      <c r="CL275" s="1">
        <v>2.0435599999999998</v>
      </c>
      <c r="CR275" s="1">
        <v>-37697.877980515397</v>
      </c>
      <c r="CS275" s="1">
        <v>-38912.53</v>
      </c>
      <c r="CT275" s="1">
        <v>-36483.22</v>
      </c>
      <c r="CU275" s="1">
        <v>-7.7299999999999994E-2</v>
      </c>
      <c r="CZ275" s="1">
        <v>-37697.879999999997</v>
      </c>
      <c r="DA275" s="1">
        <v>-37697.879999999997</v>
      </c>
      <c r="DB275" s="1">
        <v>-71921.25</v>
      </c>
      <c r="DC275" s="1">
        <v>34223.370000000003</v>
      </c>
      <c r="DD275" s="2">
        <v>4028.71</v>
      </c>
      <c r="DG275" s="1">
        <v>802.85</v>
      </c>
      <c r="DL275" s="1">
        <v>-49006844.799999997</v>
      </c>
      <c r="DM275" s="1">
        <v>-48816558.939999998</v>
      </c>
      <c r="DN275" s="1">
        <v>-190285.86</v>
      </c>
      <c r="DO275" s="1">
        <v>2.2307000000000001</v>
      </c>
      <c r="DP275" s="1" t="s">
        <v>1473</v>
      </c>
      <c r="DQ275" s="1" t="s">
        <v>1473</v>
      </c>
      <c r="DS275" s="1">
        <v>48969146.93</v>
      </c>
      <c r="DT275" s="1">
        <v>48744637.689999998</v>
      </c>
      <c r="DU275" s="1">
        <v>224509.23</v>
      </c>
      <c r="DV275" s="1">
        <v>2.1531099999999999</v>
      </c>
      <c r="DW275" s="1" t="s">
        <v>1473</v>
      </c>
      <c r="DX275" s="1" t="s">
        <v>1473</v>
      </c>
      <c r="DY275" s="1" t="s">
        <v>855</v>
      </c>
      <c r="DZ275" s="1">
        <v>-78812</v>
      </c>
      <c r="EA275" s="1">
        <v>3416</v>
      </c>
      <c r="ED275" s="1" t="s">
        <v>50</v>
      </c>
      <c r="EE275" s="1" t="s">
        <v>1474</v>
      </c>
      <c r="EF275" s="1" t="s">
        <v>53</v>
      </c>
      <c r="EG275" s="1" t="s">
        <v>1474</v>
      </c>
      <c r="EH275" s="1" t="s">
        <v>51</v>
      </c>
      <c r="EJ275" s="1" t="s">
        <v>55</v>
      </c>
      <c r="EL275" s="1" t="s">
        <v>57</v>
      </c>
    </row>
    <row r="276" spans="1:142" x14ac:dyDescent="0.2">
      <c r="A276" s="101">
        <v>88653825001</v>
      </c>
      <c r="B276" s="101">
        <v>88653825</v>
      </c>
      <c r="D276" s="1" t="s">
        <v>43</v>
      </c>
      <c r="E276" s="1" t="s">
        <v>44</v>
      </c>
      <c r="F276" s="1" t="s">
        <v>583</v>
      </c>
      <c r="AI276" s="1" t="s">
        <v>551</v>
      </c>
      <c r="AJ276" s="1" t="s">
        <v>44</v>
      </c>
      <c r="AK276" s="1" t="s">
        <v>584</v>
      </c>
      <c r="AL276" s="1" t="s">
        <v>855</v>
      </c>
      <c r="AR276" s="1" t="s">
        <v>79</v>
      </c>
      <c r="AS276" s="1" t="s">
        <v>71</v>
      </c>
      <c r="AT276" s="1">
        <v>2.5747</v>
      </c>
      <c r="AV276" s="1" t="s">
        <v>940</v>
      </c>
      <c r="AW276" s="1" t="s">
        <v>1415</v>
      </c>
      <c r="AX276" s="1">
        <v>12896335</v>
      </c>
      <c r="BA276" s="1" t="s">
        <v>69</v>
      </c>
      <c r="BB276" s="1" t="s">
        <v>574</v>
      </c>
      <c r="BC276" s="1" t="s">
        <v>456</v>
      </c>
      <c r="BD276" s="1" t="s">
        <v>555</v>
      </c>
      <c r="BG276" s="1" t="s">
        <v>558</v>
      </c>
      <c r="BH276" s="1">
        <v>28</v>
      </c>
      <c r="BI276" s="1" t="s">
        <v>431</v>
      </c>
      <c r="BJ276" s="1" t="s">
        <v>67</v>
      </c>
      <c r="BK276" s="1" t="s">
        <v>440</v>
      </c>
      <c r="BL276" s="1">
        <v>0</v>
      </c>
      <c r="BM276" s="1" t="s">
        <v>940</v>
      </c>
      <c r="BN276" s="1" t="s">
        <v>1415</v>
      </c>
      <c r="BP276" s="1">
        <v>12896335</v>
      </c>
      <c r="BR276" s="1" t="s">
        <v>69</v>
      </c>
      <c r="BS276" s="1" t="s">
        <v>1023</v>
      </c>
      <c r="BT276" s="1" t="s">
        <v>574</v>
      </c>
      <c r="BU276" s="1" t="s">
        <v>456</v>
      </c>
      <c r="BV276" s="1" t="s">
        <v>555</v>
      </c>
      <c r="BY276" s="1" t="s">
        <v>558</v>
      </c>
      <c r="BZ276" s="1">
        <v>28</v>
      </c>
      <c r="CJ276" s="1">
        <v>2.3892699999999998</v>
      </c>
      <c r="CK276" s="1">
        <v>2.3867699999999998</v>
      </c>
      <c r="CL276" s="1">
        <v>2.3917700000000002</v>
      </c>
      <c r="CR276" s="1">
        <v>-435.28944614340003</v>
      </c>
      <c r="CS276" s="1">
        <v>-516.63</v>
      </c>
      <c r="CT276" s="1">
        <v>-353.95</v>
      </c>
      <c r="CU276" s="1">
        <v>-3.3999999999999998E-3</v>
      </c>
      <c r="CZ276" s="1">
        <v>-435.29</v>
      </c>
      <c r="DA276" s="1">
        <v>-435.29</v>
      </c>
      <c r="DB276" s="1">
        <v>-1726.14</v>
      </c>
      <c r="DC276" s="1">
        <v>1290.8499999999999</v>
      </c>
      <c r="DD276" s="2">
        <v>97</v>
      </c>
      <c r="DG276" s="1">
        <v>77.13</v>
      </c>
      <c r="DL276" s="1">
        <v>-12956163.85</v>
      </c>
      <c r="DM276" s="1">
        <v>-12898056.52</v>
      </c>
      <c r="DN276" s="1">
        <v>-58107.34</v>
      </c>
      <c r="DO276" s="1">
        <v>2.5747</v>
      </c>
      <c r="DP276" s="1" t="s">
        <v>1046</v>
      </c>
      <c r="DQ276" s="1" t="s">
        <v>1046</v>
      </c>
      <c r="DS276" s="1">
        <v>12955728.560000001</v>
      </c>
      <c r="DT276" s="1">
        <v>12896330.380000001</v>
      </c>
      <c r="DU276" s="1">
        <v>59398.19</v>
      </c>
      <c r="DV276" s="1">
        <v>2.5613199999999998</v>
      </c>
      <c r="DW276" s="1" t="s">
        <v>1046</v>
      </c>
      <c r="DX276" s="1" t="s">
        <v>1046</v>
      </c>
      <c r="DY276" s="1" t="s">
        <v>855</v>
      </c>
      <c r="DZ276" s="1">
        <v>-1594</v>
      </c>
      <c r="EA276" s="1">
        <v>724</v>
      </c>
      <c r="ED276" s="1" t="s">
        <v>50</v>
      </c>
      <c r="EE276" s="1" t="s">
        <v>1475</v>
      </c>
      <c r="EF276" s="1" t="s">
        <v>53</v>
      </c>
      <c r="EG276" s="1" t="s">
        <v>1475</v>
      </c>
      <c r="EH276" s="1" t="s">
        <v>51</v>
      </c>
      <c r="EJ276" s="1" t="s">
        <v>55</v>
      </c>
      <c r="EL276" s="1" t="s">
        <v>57</v>
      </c>
    </row>
    <row r="277" spans="1:142" x14ac:dyDescent="0.2">
      <c r="A277" s="101">
        <v>88654092001</v>
      </c>
      <c r="B277" s="101">
        <v>88654092</v>
      </c>
      <c r="D277" s="1" t="s">
        <v>334</v>
      </c>
      <c r="E277" s="1" t="s">
        <v>44</v>
      </c>
      <c r="F277" s="1" t="s">
        <v>583</v>
      </c>
      <c r="AI277" s="1" t="s">
        <v>551</v>
      </c>
      <c r="AJ277" s="1" t="s">
        <v>44</v>
      </c>
      <c r="AK277" s="1" t="s">
        <v>584</v>
      </c>
      <c r="AL277" s="1" t="s">
        <v>855</v>
      </c>
      <c r="AR277" s="1" t="s">
        <v>79</v>
      </c>
      <c r="AS277" s="1" t="s">
        <v>71</v>
      </c>
      <c r="AT277" s="1">
        <v>2.1591999999999998</v>
      </c>
      <c r="AV277" s="1" t="s">
        <v>940</v>
      </c>
      <c r="AW277" s="1" t="s">
        <v>1476</v>
      </c>
      <c r="AX277" s="1">
        <v>29250000</v>
      </c>
      <c r="BA277" s="1" t="s">
        <v>69</v>
      </c>
      <c r="BB277" s="1" t="s">
        <v>574</v>
      </c>
      <c r="BC277" s="1" t="s">
        <v>456</v>
      </c>
      <c r="BD277" s="1" t="s">
        <v>555</v>
      </c>
      <c r="BG277" s="1" t="s">
        <v>558</v>
      </c>
      <c r="BH277" s="1">
        <v>26</v>
      </c>
      <c r="BI277" s="1" t="s">
        <v>431</v>
      </c>
      <c r="BJ277" s="1" t="s">
        <v>67</v>
      </c>
      <c r="BK277" s="1" t="s">
        <v>440</v>
      </c>
      <c r="BL277" s="1">
        <v>0</v>
      </c>
      <c r="BM277" s="1" t="s">
        <v>940</v>
      </c>
      <c r="BN277" s="1" t="s">
        <v>1476</v>
      </c>
      <c r="BP277" s="1">
        <v>29250000</v>
      </c>
      <c r="BR277" s="1" t="s">
        <v>69</v>
      </c>
      <c r="BS277" s="1" t="s">
        <v>1023</v>
      </c>
      <c r="BT277" s="1" t="s">
        <v>574</v>
      </c>
      <c r="BU277" s="1" t="s">
        <v>456</v>
      </c>
      <c r="BV277" s="1" t="s">
        <v>555</v>
      </c>
      <c r="BY277" s="1" t="s">
        <v>558</v>
      </c>
      <c r="BZ277" s="1">
        <v>26</v>
      </c>
      <c r="CJ277" s="1">
        <v>1.9540900000000001</v>
      </c>
      <c r="CK277" s="1">
        <v>1.9515899999999999</v>
      </c>
      <c r="CL277" s="1">
        <v>1.9565900000000001</v>
      </c>
      <c r="CR277" s="1">
        <v>-67053.564127709702</v>
      </c>
      <c r="CS277" s="1">
        <v>-68318.149999999994</v>
      </c>
      <c r="CT277" s="1">
        <v>-65788.98</v>
      </c>
      <c r="CU277" s="1">
        <v>-0.22919999999999999</v>
      </c>
      <c r="CZ277" s="1">
        <v>-67053.56</v>
      </c>
      <c r="DA277" s="1">
        <v>-67053.56</v>
      </c>
      <c r="DB277" s="1">
        <v>-91249.73</v>
      </c>
      <c r="DC277" s="1">
        <v>24196.17</v>
      </c>
      <c r="DD277" s="2">
        <v>4560.37</v>
      </c>
      <c r="DG277" s="1">
        <v>417.96</v>
      </c>
      <c r="DL277" s="1">
        <v>-29451720.68</v>
      </c>
      <c r="DM277" s="1">
        <v>-29341196.629999999</v>
      </c>
      <c r="DN277" s="1">
        <v>-110524.05</v>
      </c>
      <c r="DO277" s="1">
        <v>2.1591999999999998</v>
      </c>
      <c r="DP277" s="1" t="s">
        <v>1477</v>
      </c>
      <c r="DQ277" s="1" t="s">
        <v>1478</v>
      </c>
      <c r="DS277" s="1">
        <v>29384667.120000001</v>
      </c>
      <c r="DT277" s="1">
        <v>29249946.899999999</v>
      </c>
      <c r="DU277" s="1">
        <v>134720.22</v>
      </c>
      <c r="DV277" s="1">
        <v>2.0430199999999998</v>
      </c>
      <c r="DW277" s="1" t="s">
        <v>1478</v>
      </c>
      <c r="DX277" s="1" t="s">
        <v>1478</v>
      </c>
      <c r="DY277" s="1" t="s">
        <v>855</v>
      </c>
      <c r="DZ277" s="1">
        <v>-111610</v>
      </c>
      <c r="EA277" s="1">
        <v>-22497</v>
      </c>
      <c r="ED277" s="1" t="s">
        <v>50</v>
      </c>
      <c r="EE277" s="1" t="s">
        <v>1479</v>
      </c>
      <c r="EF277" s="1" t="s">
        <v>53</v>
      </c>
      <c r="EG277" s="1" t="s">
        <v>1479</v>
      </c>
      <c r="EH277" s="1" t="s">
        <v>51</v>
      </c>
      <c r="EJ277" s="1" t="s">
        <v>55</v>
      </c>
      <c r="EL277" s="1" t="s">
        <v>57</v>
      </c>
    </row>
    <row r="278" spans="1:142" x14ac:dyDescent="0.2">
      <c r="A278" s="101">
        <v>88782444001</v>
      </c>
      <c r="B278" s="101">
        <v>88782444</v>
      </c>
      <c r="D278" s="1" t="s">
        <v>334</v>
      </c>
      <c r="E278" s="1" t="s">
        <v>44</v>
      </c>
      <c r="F278" s="1" t="s">
        <v>583</v>
      </c>
      <c r="AI278" s="1" t="s">
        <v>551</v>
      </c>
      <c r="AJ278" s="1" t="s">
        <v>44</v>
      </c>
      <c r="AK278" s="1" t="s">
        <v>584</v>
      </c>
      <c r="AL278" s="1" t="s">
        <v>856</v>
      </c>
      <c r="AR278" s="1" t="s">
        <v>79</v>
      </c>
      <c r="AS278" s="1" t="s">
        <v>71</v>
      </c>
      <c r="AT278" s="1">
        <v>2.2101999999999999</v>
      </c>
      <c r="AV278" s="1" t="s">
        <v>1026</v>
      </c>
      <c r="AW278" s="1" t="s">
        <v>1020</v>
      </c>
      <c r="AX278" s="1">
        <v>9965000</v>
      </c>
      <c r="BA278" s="1" t="s">
        <v>69</v>
      </c>
      <c r="BB278" s="1" t="s">
        <v>574</v>
      </c>
      <c r="BC278" s="1" t="s">
        <v>456</v>
      </c>
      <c r="BD278" s="1" t="s">
        <v>555</v>
      </c>
      <c r="BG278" s="1" t="s">
        <v>558</v>
      </c>
      <c r="BH278" s="1">
        <v>15</v>
      </c>
      <c r="BI278" s="1" t="s">
        <v>431</v>
      </c>
      <c r="BJ278" s="1" t="s">
        <v>67</v>
      </c>
      <c r="BK278" s="1" t="s">
        <v>440</v>
      </c>
      <c r="BL278" s="1">
        <v>0</v>
      </c>
      <c r="BM278" s="1" t="s">
        <v>1026</v>
      </c>
      <c r="BN278" s="1" t="s">
        <v>1020</v>
      </c>
      <c r="BP278" s="1">
        <v>9965000</v>
      </c>
      <c r="BR278" s="1" t="s">
        <v>69</v>
      </c>
      <c r="BS278" s="1" t="s">
        <v>69</v>
      </c>
      <c r="BT278" s="1" t="s">
        <v>574</v>
      </c>
      <c r="BU278" s="1" t="s">
        <v>456</v>
      </c>
      <c r="BV278" s="1" t="s">
        <v>555</v>
      </c>
      <c r="BY278" s="1" t="s">
        <v>558</v>
      </c>
      <c r="BZ278" s="1">
        <v>15</v>
      </c>
      <c r="CJ278" s="1">
        <v>1.98889</v>
      </c>
      <c r="CK278" s="1">
        <v>1.9863900000000001</v>
      </c>
      <c r="CL278" s="1">
        <v>1.99139</v>
      </c>
      <c r="CR278" s="1">
        <v>-17104.887468829798</v>
      </c>
      <c r="CS278" s="1">
        <v>-17425.650000000001</v>
      </c>
      <c r="CT278" s="1">
        <v>-16784.13</v>
      </c>
      <c r="CU278" s="1">
        <v>-0.1716</v>
      </c>
      <c r="CZ278" s="1">
        <v>-17104.89</v>
      </c>
      <c r="DA278" s="1">
        <v>-17104.89</v>
      </c>
      <c r="DB278" s="1">
        <v>-24258.34</v>
      </c>
      <c r="DC278" s="1">
        <v>7153.45</v>
      </c>
      <c r="DD278" s="2">
        <v>1110.23</v>
      </c>
      <c r="DG278" s="1">
        <v>162.88999999999999</v>
      </c>
      <c r="DL278" s="1">
        <v>-10027156.140000001</v>
      </c>
      <c r="DM278" s="1">
        <v>-9989224.8100000005</v>
      </c>
      <c r="DN278" s="1">
        <v>-37931.33</v>
      </c>
      <c r="DO278" s="1">
        <v>2.2101999999999999</v>
      </c>
      <c r="DP278" s="1" t="s">
        <v>1069</v>
      </c>
      <c r="DQ278" s="1" t="s">
        <v>1480</v>
      </c>
      <c r="DS278" s="1">
        <v>10010051.26</v>
      </c>
      <c r="DT278" s="1">
        <v>9964966.4700000007</v>
      </c>
      <c r="DU278" s="1">
        <v>45084.78</v>
      </c>
      <c r="DV278" s="1">
        <v>2.5079899999999999</v>
      </c>
      <c r="DW278" s="1" t="s">
        <v>1069</v>
      </c>
      <c r="DX278" s="1" t="s">
        <v>1480</v>
      </c>
      <c r="DY278" s="1" t="s">
        <v>1419</v>
      </c>
      <c r="DZ278" s="1">
        <v>-28146</v>
      </c>
      <c r="EA278" s="1">
        <v>-6064</v>
      </c>
      <c r="ED278" s="1" t="s">
        <v>50</v>
      </c>
      <c r="EE278" s="1" t="s">
        <v>1481</v>
      </c>
      <c r="EF278" s="1" t="s">
        <v>53</v>
      </c>
      <c r="EG278" s="1" t="s">
        <v>1481</v>
      </c>
      <c r="EH278" s="1" t="s">
        <v>51</v>
      </c>
      <c r="EJ278" s="1" t="s">
        <v>55</v>
      </c>
      <c r="EL278" s="1" t="s">
        <v>57</v>
      </c>
    </row>
    <row r="279" spans="1:142" x14ac:dyDescent="0.2">
      <c r="A279" s="101">
        <v>88838194001</v>
      </c>
      <c r="B279" s="101">
        <v>88838194</v>
      </c>
      <c r="D279" s="1" t="s">
        <v>220</v>
      </c>
      <c r="E279" s="1" t="s">
        <v>44</v>
      </c>
      <c r="F279" s="1" t="s">
        <v>583</v>
      </c>
      <c r="AI279" s="1" t="s">
        <v>551</v>
      </c>
      <c r="AJ279" s="1" t="s">
        <v>44</v>
      </c>
      <c r="AK279" s="1" t="s">
        <v>584</v>
      </c>
      <c r="AL279" s="1" t="s">
        <v>940</v>
      </c>
      <c r="AR279" s="1" t="s">
        <v>79</v>
      </c>
      <c r="AS279" s="1" t="s">
        <v>71</v>
      </c>
      <c r="AT279" s="1">
        <v>2.5661999999999998</v>
      </c>
      <c r="AV279" s="1" t="s">
        <v>1175</v>
      </c>
      <c r="AW279" s="1" t="s">
        <v>1046</v>
      </c>
      <c r="AX279" s="1">
        <v>19863686</v>
      </c>
      <c r="BA279" s="1" t="s">
        <v>69</v>
      </c>
      <c r="BB279" s="1" t="s">
        <v>574</v>
      </c>
      <c r="BC279" s="1" t="s">
        <v>456</v>
      </c>
      <c r="BD279" s="1" t="s">
        <v>555</v>
      </c>
      <c r="BG279" s="1" t="s">
        <v>558</v>
      </c>
      <c r="BH279" s="1">
        <v>29</v>
      </c>
      <c r="BI279" s="1" t="s">
        <v>431</v>
      </c>
      <c r="BJ279" s="1" t="s">
        <v>67</v>
      </c>
      <c r="BK279" s="1" t="s">
        <v>440</v>
      </c>
      <c r="BL279" s="1">
        <v>0</v>
      </c>
      <c r="BM279" s="1" t="s">
        <v>1175</v>
      </c>
      <c r="BN279" s="1" t="s">
        <v>1046</v>
      </c>
      <c r="BP279" s="1">
        <v>19863686</v>
      </c>
      <c r="BR279" s="1" t="s">
        <v>69</v>
      </c>
      <c r="BS279" s="1" t="s">
        <v>1023</v>
      </c>
      <c r="BT279" s="1" t="s">
        <v>574</v>
      </c>
      <c r="BU279" s="1" t="s">
        <v>456</v>
      </c>
      <c r="BV279" s="1" t="s">
        <v>555</v>
      </c>
      <c r="BY279" s="1" t="s">
        <v>558</v>
      </c>
      <c r="BZ279" s="1">
        <v>29</v>
      </c>
      <c r="CJ279" s="1">
        <v>2.38205</v>
      </c>
      <c r="CK279" s="1">
        <v>2.3795500000000001</v>
      </c>
      <c r="CL279" s="1">
        <v>2.3845499999999999</v>
      </c>
      <c r="CR279" s="1">
        <v>-854.86247738079999</v>
      </c>
      <c r="CS279" s="1">
        <v>-978.76</v>
      </c>
      <c r="CT279" s="1">
        <v>-730.96</v>
      </c>
      <c r="CU279" s="1">
        <v>-4.3E-3</v>
      </c>
      <c r="CZ279" s="1">
        <v>-854.86</v>
      </c>
      <c r="DA279" s="1">
        <v>-854.86</v>
      </c>
      <c r="DB279" s="1">
        <v>-2732.59</v>
      </c>
      <c r="DC279" s="1">
        <v>1877.73</v>
      </c>
      <c r="DD279" s="2">
        <v>154.91</v>
      </c>
      <c r="DG279" s="1">
        <v>124.7</v>
      </c>
      <c r="DL279" s="1">
        <v>-19952784.530000001</v>
      </c>
      <c r="DM279" s="1">
        <v>-19866411.59</v>
      </c>
      <c r="DN279" s="1">
        <v>-86372.93</v>
      </c>
      <c r="DO279" s="1">
        <v>2.5661999999999998</v>
      </c>
      <c r="DP279" s="1" t="s">
        <v>1047</v>
      </c>
      <c r="DQ279" s="1" t="s">
        <v>1047</v>
      </c>
      <c r="DS279" s="1">
        <v>19951929.66</v>
      </c>
      <c r="DT279" s="1">
        <v>19863679</v>
      </c>
      <c r="DU279" s="1">
        <v>88250.66</v>
      </c>
      <c r="DV279" s="1">
        <v>2.54895</v>
      </c>
      <c r="DW279" s="1" t="s">
        <v>1047</v>
      </c>
      <c r="DX279" s="1" t="s">
        <v>1047</v>
      </c>
      <c r="DY279" s="1" t="s">
        <v>940</v>
      </c>
      <c r="DZ279" s="1">
        <v>-2700</v>
      </c>
      <c r="EA279" s="1">
        <v>990</v>
      </c>
      <c r="ED279" s="1" t="s">
        <v>50</v>
      </c>
      <c r="EE279" s="1" t="s">
        <v>1484</v>
      </c>
      <c r="EF279" s="1" t="s">
        <v>53</v>
      </c>
      <c r="EG279" s="1" t="s">
        <v>1484</v>
      </c>
      <c r="EH279" s="1" t="s">
        <v>51</v>
      </c>
      <c r="EJ279" s="1" t="s">
        <v>55</v>
      </c>
      <c r="EL279" s="1" t="s">
        <v>57</v>
      </c>
    </row>
    <row r="280" spans="1:142" x14ac:dyDescent="0.2">
      <c r="A280" s="101">
        <v>88838200001</v>
      </c>
      <c r="B280" s="101">
        <v>88838200</v>
      </c>
      <c r="D280" s="1" t="s">
        <v>334</v>
      </c>
      <c r="E280" s="1" t="s">
        <v>44</v>
      </c>
      <c r="F280" s="1" t="s">
        <v>583</v>
      </c>
      <c r="AI280" s="1" t="s">
        <v>551</v>
      </c>
      <c r="AJ280" s="1" t="s">
        <v>44</v>
      </c>
      <c r="AK280" s="1" t="s">
        <v>584</v>
      </c>
      <c r="AL280" s="1" t="s">
        <v>940</v>
      </c>
      <c r="AR280" s="1" t="s">
        <v>79</v>
      </c>
      <c r="AS280" s="1" t="s">
        <v>71</v>
      </c>
      <c r="AT280" s="1">
        <v>2.5057</v>
      </c>
      <c r="AV280" s="1" t="s">
        <v>1175</v>
      </c>
      <c r="AW280" s="1" t="s">
        <v>1149</v>
      </c>
      <c r="AX280" s="1">
        <v>3540486</v>
      </c>
      <c r="BA280" s="1" t="s">
        <v>69</v>
      </c>
      <c r="BB280" s="1" t="s">
        <v>574</v>
      </c>
      <c r="BC280" s="1" t="s">
        <v>456</v>
      </c>
      <c r="BD280" s="1" t="s">
        <v>555</v>
      </c>
      <c r="BG280" s="1" t="s">
        <v>558</v>
      </c>
      <c r="BH280" s="1">
        <v>3</v>
      </c>
      <c r="BI280" s="1" t="s">
        <v>431</v>
      </c>
      <c r="BJ280" s="1" t="s">
        <v>67</v>
      </c>
      <c r="BK280" s="1" t="s">
        <v>440</v>
      </c>
      <c r="BL280" s="1">
        <v>0</v>
      </c>
      <c r="BM280" s="1" t="s">
        <v>1175</v>
      </c>
      <c r="BN280" s="1" t="s">
        <v>1149</v>
      </c>
      <c r="BP280" s="1">
        <v>3540486</v>
      </c>
      <c r="BR280" s="1" t="s">
        <v>69</v>
      </c>
      <c r="BS280" s="1" t="s">
        <v>1023</v>
      </c>
      <c r="BT280" s="1" t="s">
        <v>574</v>
      </c>
      <c r="BU280" s="1" t="s">
        <v>456</v>
      </c>
      <c r="BV280" s="1" t="s">
        <v>555</v>
      </c>
      <c r="BY280" s="1" t="s">
        <v>558</v>
      </c>
      <c r="BZ280" s="1">
        <v>3</v>
      </c>
      <c r="CJ280" s="1">
        <v>2.2999800000000001</v>
      </c>
      <c r="CK280" s="1">
        <v>2.2974800000000002</v>
      </c>
      <c r="CL280" s="1">
        <v>2.3024800000000001</v>
      </c>
      <c r="CR280" s="1">
        <v>-505.8479322526</v>
      </c>
      <c r="CS280" s="1">
        <v>-536.45000000000005</v>
      </c>
      <c r="CT280" s="1">
        <v>-475.24</v>
      </c>
      <c r="CU280" s="1">
        <v>-1.43E-2</v>
      </c>
      <c r="CZ280" s="1">
        <v>-505.85</v>
      </c>
      <c r="DA280" s="1">
        <v>-505.85</v>
      </c>
      <c r="DB280" s="1">
        <v>-1203.48</v>
      </c>
      <c r="DC280" s="1">
        <v>697.63</v>
      </c>
      <c r="DD280" s="2">
        <v>62</v>
      </c>
      <c r="DG280" s="1">
        <v>21.39</v>
      </c>
      <c r="DL280" s="1">
        <v>-3556719.85</v>
      </c>
      <c r="DM280" s="1">
        <v>-3541687.77</v>
      </c>
      <c r="DN280" s="1">
        <v>-15032.09</v>
      </c>
      <c r="DO280" s="1">
        <v>2.5057</v>
      </c>
      <c r="DP280" s="1" t="s">
        <v>1227</v>
      </c>
      <c r="DQ280" s="1" t="s">
        <v>1227</v>
      </c>
      <c r="DS280" s="1">
        <v>3556214.01</v>
      </c>
      <c r="DT280" s="1">
        <v>3540484.29</v>
      </c>
      <c r="DU280" s="1">
        <v>15729.72</v>
      </c>
      <c r="DV280" s="1">
        <v>2.4643799999999998</v>
      </c>
      <c r="DW280" s="1" t="s">
        <v>1227</v>
      </c>
      <c r="DX280" s="1" t="s">
        <v>1227</v>
      </c>
      <c r="DY280" s="1" t="s">
        <v>940</v>
      </c>
      <c r="DZ280" s="1">
        <v>-1219</v>
      </c>
      <c r="EA280" s="1">
        <v>207</v>
      </c>
      <c r="ED280" s="1" t="s">
        <v>50</v>
      </c>
      <c r="EE280" s="1" t="s">
        <v>1487</v>
      </c>
      <c r="EF280" s="1" t="s">
        <v>53</v>
      </c>
      <c r="EG280" s="1" t="s">
        <v>1487</v>
      </c>
      <c r="EH280" s="1" t="s">
        <v>51</v>
      </c>
      <c r="EJ280" s="1" t="s">
        <v>55</v>
      </c>
      <c r="EL280" s="1" t="s">
        <v>57</v>
      </c>
    </row>
    <row r="281" spans="1:142" x14ac:dyDescent="0.2">
      <c r="A281" s="101">
        <v>88900146001</v>
      </c>
      <c r="B281" s="101">
        <v>88900146</v>
      </c>
      <c r="D281" s="1" t="s">
        <v>75</v>
      </c>
      <c r="E281" s="1" t="s">
        <v>44</v>
      </c>
      <c r="F281" s="1" t="s">
        <v>583</v>
      </c>
      <c r="AI281" s="1" t="s">
        <v>551</v>
      </c>
      <c r="AJ281" s="1" t="s">
        <v>44</v>
      </c>
      <c r="AK281" s="1" t="s">
        <v>584</v>
      </c>
      <c r="AL281" s="1" t="s">
        <v>1026</v>
      </c>
      <c r="AR281" s="1" t="s">
        <v>79</v>
      </c>
      <c r="AS281" s="1" t="s">
        <v>71</v>
      </c>
      <c r="AT281" s="1">
        <v>2.5716999999999999</v>
      </c>
      <c r="AV281" s="1" t="s">
        <v>952</v>
      </c>
      <c r="AW281" s="1" t="s">
        <v>1047</v>
      </c>
      <c r="AX281" s="1">
        <v>59593276</v>
      </c>
      <c r="BA281" s="1" t="s">
        <v>69</v>
      </c>
      <c r="BB281" s="1" t="s">
        <v>574</v>
      </c>
      <c r="BC281" s="1" t="s">
        <v>456</v>
      </c>
      <c r="BD281" s="1" t="s">
        <v>555</v>
      </c>
      <c r="BG281" s="1" t="s">
        <v>558</v>
      </c>
      <c r="BH281" s="1">
        <v>30</v>
      </c>
      <c r="BI281" s="1" t="s">
        <v>431</v>
      </c>
      <c r="BJ281" s="1" t="s">
        <v>67</v>
      </c>
      <c r="BK281" s="1" t="s">
        <v>440</v>
      </c>
      <c r="BL281" s="1">
        <v>0</v>
      </c>
      <c r="BM281" s="1" t="s">
        <v>952</v>
      </c>
      <c r="BN281" s="1" t="s">
        <v>1047</v>
      </c>
      <c r="BP281" s="1">
        <v>59593276</v>
      </c>
      <c r="BR281" s="1" t="s">
        <v>69</v>
      </c>
      <c r="BS281" s="1" t="s">
        <v>1023</v>
      </c>
      <c r="BT281" s="1" t="s">
        <v>574</v>
      </c>
      <c r="BU281" s="1" t="s">
        <v>456</v>
      </c>
      <c r="BV281" s="1" t="s">
        <v>555</v>
      </c>
      <c r="BY281" s="1" t="s">
        <v>558</v>
      </c>
      <c r="BZ281" s="1">
        <v>30</v>
      </c>
      <c r="CJ281" s="1">
        <v>2.3753500000000001</v>
      </c>
      <c r="CK281" s="1">
        <v>2.3728500000000001</v>
      </c>
      <c r="CL281" s="1">
        <v>2.37785</v>
      </c>
      <c r="CR281" s="1">
        <v>-4599.6690913364</v>
      </c>
      <c r="CS281" s="1">
        <v>-4971.34</v>
      </c>
      <c r="CT281" s="1">
        <v>-4227.99</v>
      </c>
      <c r="CU281" s="1">
        <v>-7.7000000000000002E-3</v>
      </c>
      <c r="CZ281" s="1">
        <v>-4599.67</v>
      </c>
      <c r="DA281" s="1">
        <v>-4599.67</v>
      </c>
      <c r="DB281" s="1">
        <v>-9075.0499999999993</v>
      </c>
      <c r="DC281" s="1">
        <v>4475.38</v>
      </c>
      <c r="DD281" s="2">
        <v>481.27</v>
      </c>
      <c r="DG281" s="1">
        <v>374.17</v>
      </c>
      <c r="DL281" s="1">
        <v>-59857733.420000002</v>
      </c>
      <c r="DM281" s="1">
        <v>-59602306.710000001</v>
      </c>
      <c r="DN281" s="1">
        <v>-255426.71</v>
      </c>
      <c r="DO281" s="1">
        <v>2.5716999999999999</v>
      </c>
      <c r="DP281" s="1" t="s">
        <v>1053</v>
      </c>
      <c r="DQ281" s="1" t="s">
        <v>1053</v>
      </c>
      <c r="DS281" s="1">
        <v>59853133.75</v>
      </c>
      <c r="DT281" s="1">
        <v>59593231.659999996</v>
      </c>
      <c r="DU281" s="1">
        <v>259902.09</v>
      </c>
      <c r="DV281" s="1">
        <v>2.5407600000000001</v>
      </c>
      <c r="DW281" s="1" t="s">
        <v>1053</v>
      </c>
      <c r="DX281" s="1" t="s">
        <v>1053</v>
      </c>
      <c r="DY281" s="1" t="s">
        <v>1026</v>
      </c>
      <c r="DZ281" s="1">
        <v>-10316</v>
      </c>
      <c r="EA281" s="1">
        <v>1116</v>
      </c>
      <c r="ED281" s="1" t="s">
        <v>50</v>
      </c>
      <c r="EE281" s="1" t="s">
        <v>1489</v>
      </c>
      <c r="EF281" s="1" t="s">
        <v>53</v>
      </c>
      <c r="EG281" s="1" t="s">
        <v>1489</v>
      </c>
      <c r="EH281" s="1" t="s">
        <v>51</v>
      </c>
      <c r="EJ281" s="1" t="s">
        <v>55</v>
      </c>
      <c r="EL281" s="1" t="s">
        <v>57</v>
      </c>
    </row>
    <row r="282" spans="1:142" x14ac:dyDescent="0.2">
      <c r="A282" s="101">
        <v>88900940001</v>
      </c>
      <c r="B282" s="101">
        <v>88900940</v>
      </c>
      <c r="D282" s="1" t="s">
        <v>43</v>
      </c>
      <c r="E282" s="1" t="s">
        <v>44</v>
      </c>
      <c r="F282" s="1" t="s">
        <v>583</v>
      </c>
      <c r="AI282" s="1" t="s">
        <v>551</v>
      </c>
      <c r="AJ282" s="1" t="s">
        <v>44</v>
      </c>
      <c r="AK282" s="1" t="s">
        <v>584</v>
      </c>
      <c r="AL282" s="1" t="s">
        <v>1026</v>
      </c>
      <c r="AR282" s="1" t="s">
        <v>79</v>
      </c>
      <c r="AS282" s="1" t="s">
        <v>71</v>
      </c>
      <c r="AT282" s="1">
        <v>2.3027000000000002</v>
      </c>
      <c r="AV282" s="1" t="s">
        <v>952</v>
      </c>
      <c r="AW282" s="1" t="s">
        <v>1491</v>
      </c>
      <c r="AX282" s="1">
        <v>101780064</v>
      </c>
      <c r="BA282" s="1" t="s">
        <v>69</v>
      </c>
      <c r="BB282" s="1" t="s">
        <v>574</v>
      </c>
      <c r="BC282" s="1" t="s">
        <v>456</v>
      </c>
      <c r="BD282" s="1" t="s">
        <v>555</v>
      </c>
      <c r="BG282" s="1" t="s">
        <v>558</v>
      </c>
      <c r="BH282" s="1">
        <v>28</v>
      </c>
      <c r="BI282" s="1" t="s">
        <v>431</v>
      </c>
      <c r="BJ282" s="1" t="s">
        <v>67</v>
      </c>
      <c r="BK282" s="1" t="s">
        <v>440</v>
      </c>
      <c r="BL282" s="1">
        <v>0</v>
      </c>
      <c r="BM282" s="1" t="s">
        <v>952</v>
      </c>
      <c r="BN282" s="1" t="s">
        <v>1491</v>
      </c>
      <c r="BP282" s="1">
        <v>101780064</v>
      </c>
      <c r="BR282" s="1" t="s">
        <v>69</v>
      </c>
      <c r="BS282" s="1" t="s">
        <v>1023</v>
      </c>
      <c r="BT282" s="1" t="s">
        <v>574</v>
      </c>
      <c r="BU282" s="1" t="s">
        <v>456</v>
      </c>
      <c r="BV282" s="1" t="s">
        <v>555</v>
      </c>
      <c r="BY282" s="1" t="s">
        <v>558</v>
      </c>
      <c r="BZ282" s="1">
        <v>28</v>
      </c>
      <c r="CJ282" s="1">
        <v>2.08053</v>
      </c>
      <c r="CK282" s="1">
        <v>2.07803</v>
      </c>
      <c r="CL282" s="1">
        <v>2.0830299999999999</v>
      </c>
      <c r="CR282" s="1">
        <v>-89163.978070423007</v>
      </c>
      <c r="CS282" s="1">
        <v>-91268.72</v>
      </c>
      <c r="CT282" s="1">
        <v>-87059.24</v>
      </c>
      <c r="CU282" s="1">
        <v>-8.7599999999999997E-2</v>
      </c>
      <c r="CZ282" s="1">
        <v>-89163.98</v>
      </c>
      <c r="DA282" s="1">
        <v>-89163.98</v>
      </c>
      <c r="DB282" s="1">
        <v>-142438.93</v>
      </c>
      <c r="DC282" s="1">
        <v>53274.95</v>
      </c>
      <c r="DD282" s="2">
        <v>6754.58</v>
      </c>
      <c r="DG282" s="1">
        <v>1524.91</v>
      </c>
      <c r="DL282" s="1">
        <v>-102312832.22</v>
      </c>
      <c r="DM282" s="1">
        <v>-101922217.29000001</v>
      </c>
      <c r="DN282" s="1">
        <v>-390614.92</v>
      </c>
      <c r="DO282" s="1">
        <v>2.3027000000000002</v>
      </c>
      <c r="DP282" s="1" t="s">
        <v>967</v>
      </c>
      <c r="DQ282" s="1" t="s">
        <v>967</v>
      </c>
      <c r="DS282" s="1">
        <v>102223668.23999999</v>
      </c>
      <c r="DT282" s="1">
        <v>101779778.36</v>
      </c>
      <c r="DU282" s="1">
        <v>443889.87</v>
      </c>
      <c r="DV282" s="1">
        <v>2.19679</v>
      </c>
      <c r="DW282" s="1" t="s">
        <v>967</v>
      </c>
      <c r="DX282" s="1" t="s">
        <v>967</v>
      </c>
      <c r="DY282" s="1" t="s">
        <v>1026</v>
      </c>
      <c r="DZ282" s="1">
        <v>-159430</v>
      </c>
      <c r="EA282" s="1">
        <v>-18898</v>
      </c>
      <c r="ED282" s="1" t="s">
        <v>50</v>
      </c>
      <c r="EE282" s="1" t="s">
        <v>1492</v>
      </c>
      <c r="EF282" s="1" t="s">
        <v>53</v>
      </c>
      <c r="EG282" s="1" t="s">
        <v>1492</v>
      </c>
      <c r="EH282" s="1" t="s">
        <v>51</v>
      </c>
      <c r="EJ282" s="1" t="s">
        <v>55</v>
      </c>
      <c r="EL282" s="1" t="s">
        <v>57</v>
      </c>
    </row>
    <row r="283" spans="1:142" x14ac:dyDescent="0.2">
      <c r="A283" s="101">
        <v>88968388001</v>
      </c>
      <c r="B283" s="101">
        <v>88968388</v>
      </c>
      <c r="D283" s="1" t="s">
        <v>334</v>
      </c>
      <c r="E283" s="1" t="s">
        <v>44</v>
      </c>
      <c r="F283" s="1" t="s">
        <v>583</v>
      </c>
      <c r="AI283" s="1" t="s">
        <v>551</v>
      </c>
      <c r="AJ283" s="1" t="s">
        <v>44</v>
      </c>
      <c r="AK283" s="1" t="s">
        <v>584</v>
      </c>
      <c r="AL283" s="1" t="s">
        <v>1175</v>
      </c>
      <c r="AR283" s="1" t="s">
        <v>79</v>
      </c>
      <c r="AS283" s="1" t="s">
        <v>71</v>
      </c>
      <c r="AT283" s="1">
        <v>2.4121999999999999</v>
      </c>
      <c r="AV283" s="1" t="s">
        <v>728</v>
      </c>
      <c r="AW283" s="1" t="s">
        <v>1414</v>
      </c>
      <c r="AX283" s="1">
        <v>149993996</v>
      </c>
      <c r="BA283" s="1" t="s">
        <v>69</v>
      </c>
      <c r="BB283" s="1" t="s">
        <v>574</v>
      </c>
      <c r="BC283" s="1" t="s">
        <v>456</v>
      </c>
      <c r="BD283" s="1" t="s">
        <v>555</v>
      </c>
      <c r="BG283" s="1" t="s">
        <v>558</v>
      </c>
      <c r="BH283" s="1">
        <v>31</v>
      </c>
      <c r="BI283" s="1" t="s">
        <v>431</v>
      </c>
      <c r="BJ283" s="1" t="s">
        <v>67</v>
      </c>
      <c r="BK283" s="1" t="s">
        <v>440</v>
      </c>
      <c r="BL283" s="1">
        <v>0</v>
      </c>
      <c r="BM283" s="1" t="s">
        <v>728</v>
      </c>
      <c r="BN283" s="1" t="s">
        <v>1414</v>
      </c>
      <c r="BP283" s="1">
        <v>149993996</v>
      </c>
      <c r="BR283" s="1" t="s">
        <v>69</v>
      </c>
      <c r="BS283" s="1" t="s">
        <v>1023</v>
      </c>
      <c r="BT283" s="1" t="s">
        <v>574</v>
      </c>
      <c r="BU283" s="1" t="s">
        <v>456</v>
      </c>
      <c r="BV283" s="1" t="s">
        <v>555</v>
      </c>
      <c r="BY283" s="1" t="s">
        <v>558</v>
      </c>
      <c r="BZ283" s="1">
        <v>31</v>
      </c>
      <c r="CJ283" s="1">
        <v>2.2019299999999999</v>
      </c>
      <c r="CK283" s="1">
        <v>2.19943</v>
      </c>
      <c r="CL283" s="1">
        <v>2.2044299999999999</v>
      </c>
      <c r="CR283" s="1">
        <v>-50808.542060136802</v>
      </c>
      <c r="CS283" s="1">
        <v>-52679.79</v>
      </c>
      <c r="CT283" s="1">
        <v>-48937.3</v>
      </c>
      <c r="CU283" s="1">
        <v>-3.39E-2</v>
      </c>
      <c r="CZ283" s="1">
        <v>-50808.54</v>
      </c>
      <c r="DA283" s="1">
        <v>-50808.54</v>
      </c>
      <c r="DB283" s="1">
        <v>-99765.94</v>
      </c>
      <c r="DC283" s="1">
        <v>48957.4</v>
      </c>
      <c r="DD283" s="2">
        <v>5027.7299999999996</v>
      </c>
      <c r="DG283" s="1">
        <v>1550.26</v>
      </c>
      <c r="DL283" s="1">
        <v>-150686642.99000001</v>
      </c>
      <c r="DM283" s="1">
        <v>-150093667.56</v>
      </c>
      <c r="DN283" s="1">
        <v>-592975.43000000005</v>
      </c>
      <c r="DO283" s="1">
        <v>2.4121999999999999</v>
      </c>
      <c r="DP283" s="1" t="s">
        <v>1497</v>
      </c>
      <c r="DQ283" s="1" t="s">
        <v>1497</v>
      </c>
      <c r="DS283" s="1">
        <v>150635834.44999999</v>
      </c>
      <c r="DT283" s="1">
        <v>149993901.62</v>
      </c>
      <c r="DU283" s="1">
        <v>641932.82999999996</v>
      </c>
      <c r="DV283" s="1">
        <v>2.3443200000000002</v>
      </c>
      <c r="DW283" s="1" t="s">
        <v>1497</v>
      </c>
      <c r="DX283" s="1" t="s">
        <v>1497</v>
      </c>
      <c r="DY283" s="1" t="s">
        <v>1175</v>
      </c>
      <c r="DZ283" s="1">
        <v>-106162</v>
      </c>
      <c r="EA283" s="1">
        <v>4545</v>
      </c>
      <c r="ED283" s="1" t="s">
        <v>50</v>
      </c>
      <c r="EE283" s="1" t="s">
        <v>1498</v>
      </c>
      <c r="EF283" s="1" t="s">
        <v>53</v>
      </c>
      <c r="EG283" s="1" t="s">
        <v>1498</v>
      </c>
      <c r="EH283" s="1" t="s">
        <v>51</v>
      </c>
      <c r="EJ283" s="1" t="s">
        <v>55</v>
      </c>
      <c r="EL283" s="1" t="s">
        <v>57</v>
      </c>
    </row>
    <row r="284" spans="1:142" x14ac:dyDescent="0.2">
      <c r="A284" s="101">
        <v>88968394001</v>
      </c>
      <c r="B284" s="101">
        <v>88968394</v>
      </c>
      <c r="D284" s="1" t="s">
        <v>43</v>
      </c>
      <c r="E284" s="1" t="s">
        <v>44</v>
      </c>
      <c r="F284" s="1" t="s">
        <v>583</v>
      </c>
      <c r="AI284" s="1" t="s">
        <v>551</v>
      </c>
      <c r="AJ284" s="1" t="s">
        <v>44</v>
      </c>
      <c r="AK284" s="1" t="s">
        <v>584</v>
      </c>
      <c r="AL284" s="1" t="s">
        <v>1175</v>
      </c>
      <c r="AR284" s="1" t="s">
        <v>79</v>
      </c>
      <c r="AS284" s="1" t="s">
        <v>71</v>
      </c>
      <c r="AT284" s="1">
        <v>2.4087000000000001</v>
      </c>
      <c r="AV284" s="1" t="s">
        <v>728</v>
      </c>
      <c r="AW284" s="1" t="s">
        <v>1414</v>
      </c>
      <c r="AX284" s="1">
        <v>29601141</v>
      </c>
      <c r="BA284" s="1" t="s">
        <v>69</v>
      </c>
      <c r="BB284" s="1" t="s">
        <v>574</v>
      </c>
      <c r="BC284" s="1" t="s">
        <v>456</v>
      </c>
      <c r="BD284" s="1" t="s">
        <v>555</v>
      </c>
      <c r="BG284" s="1" t="s">
        <v>558</v>
      </c>
      <c r="BH284" s="1">
        <v>31</v>
      </c>
      <c r="BI284" s="1" t="s">
        <v>431</v>
      </c>
      <c r="BJ284" s="1" t="s">
        <v>67</v>
      </c>
      <c r="BK284" s="1" t="s">
        <v>440</v>
      </c>
      <c r="BL284" s="1">
        <v>0</v>
      </c>
      <c r="BM284" s="1" t="s">
        <v>728</v>
      </c>
      <c r="BN284" s="1" t="s">
        <v>1414</v>
      </c>
      <c r="BP284" s="1">
        <v>29601141</v>
      </c>
      <c r="BR284" s="1" t="s">
        <v>69</v>
      </c>
      <c r="BS284" s="1" t="s">
        <v>1023</v>
      </c>
      <c r="BT284" s="1" t="s">
        <v>574</v>
      </c>
      <c r="BU284" s="1" t="s">
        <v>456</v>
      </c>
      <c r="BV284" s="1" t="s">
        <v>555</v>
      </c>
      <c r="BY284" s="1" t="s">
        <v>558</v>
      </c>
      <c r="BZ284" s="1">
        <v>31</v>
      </c>
      <c r="CJ284" s="1">
        <v>2.2019299999999999</v>
      </c>
      <c r="CK284" s="1">
        <v>2.19943</v>
      </c>
      <c r="CL284" s="1">
        <v>2.2044299999999999</v>
      </c>
      <c r="CR284" s="1">
        <v>-9510.0030852780001</v>
      </c>
      <c r="CS284" s="1">
        <v>-9879.2900000000009</v>
      </c>
      <c r="CT284" s="1">
        <v>-9140.7099999999991</v>
      </c>
      <c r="CU284" s="1">
        <v>-3.2099999999999997E-2</v>
      </c>
      <c r="CZ284" s="1">
        <v>-9510</v>
      </c>
      <c r="DA284" s="1">
        <v>-9510</v>
      </c>
      <c r="DB284" s="1">
        <v>-19341.48</v>
      </c>
      <c r="DC284" s="1">
        <v>9831.48</v>
      </c>
      <c r="DD284" s="2">
        <v>992.2</v>
      </c>
      <c r="DG284" s="1">
        <v>305.97000000000003</v>
      </c>
      <c r="DL284" s="1">
        <v>-29737317.079999998</v>
      </c>
      <c r="DM284" s="1">
        <v>-29620463.859999999</v>
      </c>
      <c r="DN284" s="1">
        <v>-116853.22</v>
      </c>
      <c r="DO284" s="1">
        <v>2.4087000000000001</v>
      </c>
      <c r="DP284" s="1" t="s">
        <v>1497</v>
      </c>
      <c r="DQ284" s="1" t="s">
        <v>1497</v>
      </c>
      <c r="DS284" s="1">
        <v>29727807.07</v>
      </c>
      <c r="DT284" s="1">
        <v>29601122.370000001</v>
      </c>
      <c r="DU284" s="1">
        <v>126684.7</v>
      </c>
      <c r="DV284" s="1">
        <v>2.3443200000000002</v>
      </c>
      <c r="DW284" s="1" t="s">
        <v>1497</v>
      </c>
      <c r="DX284" s="1" t="s">
        <v>1497</v>
      </c>
      <c r="DY284" s="1" t="s">
        <v>1175</v>
      </c>
      <c r="DZ284" s="1">
        <v>-20434</v>
      </c>
      <c r="EA284" s="1">
        <v>1414</v>
      </c>
      <c r="ED284" s="1" t="s">
        <v>50</v>
      </c>
      <c r="EE284" s="1" t="s">
        <v>1504</v>
      </c>
      <c r="EF284" s="1" t="s">
        <v>53</v>
      </c>
      <c r="EG284" s="1" t="s">
        <v>1504</v>
      </c>
      <c r="EH284" s="1" t="s">
        <v>51</v>
      </c>
      <c r="EJ284" s="1" t="s">
        <v>55</v>
      </c>
      <c r="EL284" s="1" t="s">
        <v>57</v>
      </c>
    </row>
    <row r="285" spans="1:142" x14ac:dyDescent="0.2">
      <c r="A285" s="101">
        <v>88968396001</v>
      </c>
      <c r="B285" s="101">
        <v>88968396</v>
      </c>
      <c r="D285" s="1" t="s">
        <v>334</v>
      </c>
      <c r="E285" s="1" t="s">
        <v>44</v>
      </c>
      <c r="F285" s="1" t="s">
        <v>583</v>
      </c>
      <c r="AI285" s="1" t="s">
        <v>551</v>
      </c>
      <c r="AJ285" s="1" t="s">
        <v>44</v>
      </c>
      <c r="AK285" s="1" t="s">
        <v>584</v>
      </c>
      <c r="AL285" s="1" t="s">
        <v>1175</v>
      </c>
      <c r="AR285" s="1" t="s">
        <v>79</v>
      </c>
      <c r="AS285" s="1" t="s">
        <v>71</v>
      </c>
      <c r="AT285" s="1">
        <v>2.2582</v>
      </c>
      <c r="AV285" s="1" t="s">
        <v>1027</v>
      </c>
      <c r="AW285" s="1" t="s">
        <v>1405</v>
      </c>
      <c r="AX285" s="1">
        <v>9773069</v>
      </c>
      <c r="BA285" s="1" t="s">
        <v>69</v>
      </c>
      <c r="BB285" s="1" t="s">
        <v>574</v>
      </c>
      <c r="BC285" s="1" t="s">
        <v>456</v>
      </c>
      <c r="BD285" s="1" t="s">
        <v>555</v>
      </c>
      <c r="BG285" s="1" t="s">
        <v>558</v>
      </c>
      <c r="BH285" s="1">
        <v>24</v>
      </c>
      <c r="BI285" s="1" t="s">
        <v>431</v>
      </c>
      <c r="BJ285" s="1" t="s">
        <v>67</v>
      </c>
      <c r="BK285" s="1" t="s">
        <v>440</v>
      </c>
      <c r="BL285" s="1">
        <v>0</v>
      </c>
      <c r="BM285" s="1" t="s">
        <v>1027</v>
      </c>
      <c r="BN285" s="1" t="s">
        <v>1405</v>
      </c>
      <c r="BP285" s="1">
        <v>9773069</v>
      </c>
      <c r="BR285" s="1" t="s">
        <v>69</v>
      </c>
      <c r="BS285" s="1" t="s">
        <v>1023</v>
      </c>
      <c r="BT285" s="1" t="s">
        <v>574</v>
      </c>
      <c r="BU285" s="1" t="s">
        <v>456</v>
      </c>
      <c r="BV285" s="1" t="s">
        <v>555</v>
      </c>
      <c r="BY285" s="1" t="s">
        <v>558</v>
      </c>
      <c r="BZ285" s="1">
        <v>24</v>
      </c>
      <c r="CJ285" s="1">
        <v>2.0627200000000001</v>
      </c>
      <c r="CK285" s="1">
        <v>2.0602200000000002</v>
      </c>
      <c r="CL285" s="1">
        <v>2.0652200000000001</v>
      </c>
      <c r="CR285" s="1">
        <v>-8666.8441420253002</v>
      </c>
      <c r="CS285" s="1">
        <v>-8881.35</v>
      </c>
      <c r="CT285" s="1">
        <v>-8452.34</v>
      </c>
      <c r="CU285" s="1">
        <v>-8.8700000000000001E-2</v>
      </c>
      <c r="CZ285" s="1">
        <v>-8666.84</v>
      </c>
      <c r="DA285" s="1">
        <v>-8666.84</v>
      </c>
      <c r="DB285" s="1">
        <v>-13303.68</v>
      </c>
      <c r="DC285" s="1">
        <v>4636.84</v>
      </c>
      <c r="DD285" s="2">
        <v>717.12</v>
      </c>
      <c r="DG285" s="1">
        <v>149.91999999999999</v>
      </c>
      <c r="DL285" s="1">
        <v>-9818816.4399999995</v>
      </c>
      <c r="DM285" s="1">
        <v>-9786325.1699999999</v>
      </c>
      <c r="DN285" s="1">
        <v>-32491.27</v>
      </c>
      <c r="DO285" s="1">
        <v>2.2582</v>
      </c>
      <c r="DP285" s="1" t="s">
        <v>1410</v>
      </c>
      <c r="DQ285" s="1" t="s">
        <v>1410</v>
      </c>
      <c r="DS285" s="1">
        <v>9810149.5999999996</v>
      </c>
      <c r="DT285" s="1">
        <v>9773021.4900000002</v>
      </c>
      <c r="DU285" s="1">
        <v>37128.11</v>
      </c>
      <c r="DV285" s="1">
        <v>2.1571899999999999</v>
      </c>
      <c r="DW285" s="1" t="s">
        <v>1410</v>
      </c>
      <c r="DX285" s="1" t="s">
        <v>1410</v>
      </c>
      <c r="DY285" s="1" t="s">
        <v>1174</v>
      </c>
      <c r="DZ285" s="1">
        <v>-16063</v>
      </c>
      <c r="EA285" s="1">
        <v>-1271</v>
      </c>
      <c r="ED285" s="1" t="s">
        <v>50</v>
      </c>
      <c r="EE285" s="1" t="s">
        <v>1513</v>
      </c>
      <c r="EF285" s="1" t="s">
        <v>53</v>
      </c>
      <c r="EG285" s="1" t="s">
        <v>1513</v>
      </c>
      <c r="EH285" s="1" t="s">
        <v>51</v>
      </c>
      <c r="EJ285" s="1" t="s">
        <v>55</v>
      </c>
      <c r="EL285" s="1" t="s">
        <v>57</v>
      </c>
    </row>
    <row r="286" spans="1:142" x14ac:dyDescent="0.2">
      <c r="A286" s="101">
        <v>89049900001</v>
      </c>
      <c r="B286" s="101">
        <v>89049900</v>
      </c>
      <c r="D286" s="1" t="s">
        <v>43</v>
      </c>
      <c r="E286" s="1" t="s">
        <v>44</v>
      </c>
      <c r="F286" s="1" t="s">
        <v>583</v>
      </c>
      <c r="AI286" s="1" t="s">
        <v>551</v>
      </c>
      <c r="AJ286" s="1" t="s">
        <v>44</v>
      </c>
      <c r="AK286" s="1" t="s">
        <v>584</v>
      </c>
      <c r="AL286" s="1" t="s">
        <v>952</v>
      </c>
      <c r="AR286" s="1" t="s">
        <v>79</v>
      </c>
      <c r="AS286" s="1" t="s">
        <v>71</v>
      </c>
      <c r="AT286" s="1">
        <v>2.3612000000000002</v>
      </c>
      <c r="AV286" s="1" t="s">
        <v>1117</v>
      </c>
      <c r="AW286" s="1" t="s">
        <v>1219</v>
      </c>
      <c r="AX286" s="1">
        <v>39468242</v>
      </c>
      <c r="BA286" s="1" t="s">
        <v>69</v>
      </c>
      <c r="BB286" s="1" t="s">
        <v>574</v>
      </c>
      <c r="BC286" s="1" t="s">
        <v>456</v>
      </c>
      <c r="BD286" s="1" t="s">
        <v>555</v>
      </c>
      <c r="BG286" s="1" t="s">
        <v>558</v>
      </c>
      <c r="BH286" s="1">
        <v>4</v>
      </c>
      <c r="BI286" s="1" t="s">
        <v>431</v>
      </c>
      <c r="BJ286" s="1" t="s">
        <v>67</v>
      </c>
      <c r="BK286" s="1" t="s">
        <v>440</v>
      </c>
      <c r="BL286" s="1">
        <v>0</v>
      </c>
      <c r="BM286" s="1" t="s">
        <v>1117</v>
      </c>
      <c r="BN286" s="1" t="s">
        <v>1219</v>
      </c>
      <c r="BP286" s="1">
        <v>39468242</v>
      </c>
      <c r="BR286" s="1" t="s">
        <v>69</v>
      </c>
      <c r="BS286" s="1" t="s">
        <v>1023</v>
      </c>
      <c r="BT286" s="1" t="s">
        <v>574</v>
      </c>
      <c r="BU286" s="1" t="s">
        <v>456</v>
      </c>
      <c r="BV286" s="1" t="s">
        <v>555</v>
      </c>
      <c r="BY286" s="1" t="s">
        <v>558</v>
      </c>
      <c r="BZ286" s="1">
        <v>4</v>
      </c>
      <c r="CJ286" s="1">
        <v>2.1972</v>
      </c>
      <c r="CK286" s="1">
        <v>2.1947000000000001</v>
      </c>
      <c r="CL286" s="1">
        <v>2.1997</v>
      </c>
      <c r="CR286" s="1">
        <v>-6525.0689027308999</v>
      </c>
      <c r="CS286" s="1">
        <v>-7020.06</v>
      </c>
      <c r="CT286" s="1">
        <v>-6030.08</v>
      </c>
      <c r="CU286" s="1">
        <v>-1.6500000000000001E-2</v>
      </c>
      <c r="CZ286" s="1">
        <v>-6525.07</v>
      </c>
      <c r="DA286" s="1">
        <v>-6525.07</v>
      </c>
      <c r="DB286" s="1">
        <v>-20855.97</v>
      </c>
      <c r="DC286" s="1">
        <v>14330.9</v>
      </c>
      <c r="DD286" s="2">
        <v>1365.81</v>
      </c>
      <c r="DG286" s="1">
        <v>416.13</v>
      </c>
      <c r="DL286" s="1">
        <v>-39634039.259999998</v>
      </c>
      <c r="DM286" s="1">
        <v>-39489073.289999999</v>
      </c>
      <c r="DN286" s="1">
        <v>-144965.98000000001</v>
      </c>
      <c r="DO286" s="1">
        <v>2.3612000000000002</v>
      </c>
      <c r="DP286" s="1" t="s">
        <v>1220</v>
      </c>
      <c r="DQ286" s="1" t="s">
        <v>1220</v>
      </c>
      <c r="DS286" s="1">
        <v>39627514.189999998</v>
      </c>
      <c r="DT286" s="1">
        <v>39468217.310000002</v>
      </c>
      <c r="DU286" s="1">
        <v>159296.88</v>
      </c>
      <c r="DV286" s="1">
        <v>2.3282400000000001</v>
      </c>
      <c r="DW286" s="1" t="s">
        <v>1220</v>
      </c>
      <c r="DX286" s="1" t="s">
        <v>1220</v>
      </c>
      <c r="DY286" s="1" t="s">
        <v>952</v>
      </c>
      <c r="DZ286" s="1">
        <v>-21530</v>
      </c>
      <c r="EA286" s="1">
        <v>8480</v>
      </c>
      <c r="ED286" s="1" t="s">
        <v>50</v>
      </c>
      <c r="EE286" s="1" t="s">
        <v>1519</v>
      </c>
      <c r="EF286" s="1" t="s">
        <v>53</v>
      </c>
      <c r="EG286" s="1" t="s">
        <v>1519</v>
      </c>
      <c r="EH286" s="1" t="s">
        <v>51</v>
      </c>
      <c r="EJ286" s="1" t="s">
        <v>55</v>
      </c>
      <c r="EL286" s="1" t="s">
        <v>57</v>
      </c>
    </row>
    <row r="287" spans="1:142" x14ac:dyDescent="0.2">
      <c r="A287" s="101">
        <v>89167312001</v>
      </c>
      <c r="B287" s="101">
        <v>89167312</v>
      </c>
      <c r="D287" s="1" t="s">
        <v>334</v>
      </c>
      <c r="E287" s="1" t="s">
        <v>44</v>
      </c>
      <c r="F287" s="1" t="s">
        <v>583</v>
      </c>
      <c r="AI287" s="1" t="s">
        <v>551</v>
      </c>
      <c r="AJ287" s="1" t="s">
        <v>44</v>
      </c>
      <c r="AK287" s="1" t="s">
        <v>584</v>
      </c>
      <c r="AL287" s="1" t="s">
        <v>728</v>
      </c>
      <c r="AR287" s="1" t="s">
        <v>79</v>
      </c>
      <c r="AS287" s="1" t="s">
        <v>71</v>
      </c>
      <c r="AT287" s="1">
        <v>2.1661999999999999</v>
      </c>
      <c r="AV287" s="1" t="s">
        <v>1174</v>
      </c>
      <c r="AW287" s="1" t="s">
        <v>1406</v>
      </c>
      <c r="AX287" s="1">
        <v>97777197</v>
      </c>
      <c r="BA287" s="1" t="s">
        <v>69</v>
      </c>
      <c r="BB287" s="1" t="s">
        <v>574</v>
      </c>
      <c r="BC287" s="1" t="s">
        <v>456</v>
      </c>
      <c r="BD287" s="1" t="s">
        <v>555</v>
      </c>
      <c r="BG287" s="1" t="s">
        <v>558</v>
      </c>
      <c r="BH287" s="1">
        <v>31</v>
      </c>
      <c r="BI287" s="1" t="s">
        <v>431</v>
      </c>
      <c r="BJ287" s="1" t="s">
        <v>67</v>
      </c>
      <c r="BK287" s="1" t="s">
        <v>440</v>
      </c>
      <c r="BL287" s="1">
        <v>0</v>
      </c>
      <c r="BM287" s="1" t="s">
        <v>1174</v>
      </c>
      <c r="BN287" s="1" t="s">
        <v>1406</v>
      </c>
      <c r="BP287" s="1">
        <v>97777197</v>
      </c>
      <c r="BR287" s="1" t="s">
        <v>69</v>
      </c>
      <c r="BS287" s="1" t="s">
        <v>1023</v>
      </c>
      <c r="BT287" s="1" t="s">
        <v>574</v>
      </c>
      <c r="BU287" s="1" t="s">
        <v>456</v>
      </c>
      <c r="BV287" s="1" t="s">
        <v>555</v>
      </c>
      <c r="BY287" s="1" t="s">
        <v>558</v>
      </c>
      <c r="BZ287" s="1">
        <v>31</v>
      </c>
      <c r="CJ287" s="1">
        <v>2.0582600000000002</v>
      </c>
      <c r="CK287" s="1">
        <v>2.0557599999999998</v>
      </c>
      <c r="CL287" s="1">
        <v>2.0607600000000001</v>
      </c>
      <c r="CR287" s="1">
        <v>-9147.4321647435008</v>
      </c>
      <c r="CS287" s="1">
        <v>-11353.2</v>
      </c>
      <c r="CT287" s="1">
        <v>-6941.67</v>
      </c>
      <c r="CU287" s="1">
        <v>-9.4000000000000004E-3</v>
      </c>
      <c r="CZ287" s="1">
        <v>-9147.43</v>
      </c>
      <c r="DA287" s="1">
        <v>-9147.43</v>
      </c>
      <c r="DB287" s="1">
        <v>-72236.12</v>
      </c>
      <c r="DC287" s="1">
        <v>63088.69</v>
      </c>
      <c r="DD287" s="2">
        <v>7356.34</v>
      </c>
      <c r="DG287" s="1">
        <v>1521.96</v>
      </c>
      <c r="DL287" s="1">
        <v>-98172831.310000002</v>
      </c>
      <c r="DM287" s="1">
        <v>-97849240.400000006</v>
      </c>
      <c r="DN287" s="1">
        <v>-323590.92</v>
      </c>
      <c r="DO287" s="1">
        <v>2.1661999999999999</v>
      </c>
      <c r="DP287" s="1" t="s">
        <v>1408</v>
      </c>
      <c r="DQ287" s="1" t="s">
        <v>1408</v>
      </c>
      <c r="DS287" s="1">
        <v>98163683.879999995</v>
      </c>
      <c r="DT287" s="1">
        <v>97777004.269999996</v>
      </c>
      <c r="DU287" s="1">
        <v>386679.61</v>
      </c>
      <c r="DV287" s="1">
        <v>2.1558299999999999</v>
      </c>
      <c r="DW287" s="1" t="s">
        <v>1408</v>
      </c>
      <c r="DX287" s="1" t="s">
        <v>1408</v>
      </c>
      <c r="DY287" s="1" t="s">
        <v>728</v>
      </c>
      <c r="DZ287" s="1">
        <v>-84854</v>
      </c>
      <c r="EA287" s="1">
        <v>66559</v>
      </c>
      <c r="ED287" s="1" t="s">
        <v>50</v>
      </c>
      <c r="EE287" s="1" t="s">
        <v>1520</v>
      </c>
      <c r="EF287" s="1" t="s">
        <v>53</v>
      </c>
      <c r="EG287" s="1" t="s">
        <v>1520</v>
      </c>
      <c r="EH287" s="1" t="s">
        <v>51</v>
      </c>
      <c r="EJ287" s="1" t="s">
        <v>55</v>
      </c>
      <c r="EL287" s="1" t="s">
        <v>57</v>
      </c>
    </row>
    <row r="288" spans="1:142" x14ac:dyDescent="0.2">
      <c r="A288" s="101">
        <v>89228581001</v>
      </c>
      <c r="B288" s="101">
        <v>89228581</v>
      </c>
      <c r="D288" s="1" t="s">
        <v>43</v>
      </c>
      <c r="E288" s="1" t="s">
        <v>44</v>
      </c>
      <c r="F288" s="1" t="s">
        <v>583</v>
      </c>
      <c r="AI288" s="1" t="s">
        <v>551</v>
      </c>
      <c r="AJ288" s="1" t="s">
        <v>44</v>
      </c>
      <c r="AK288" s="1" t="s">
        <v>584</v>
      </c>
      <c r="AL288" s="1" t="s">
        <v>1117</v>
      </c>
      <c r="AR288" s="1" t="s">
        <v>79</v>
      </c>
      <c r="AS288" s="1" t="s">
        <v>71</v>
      </c>
      <c r="AT288" s="1">
        <v>2.1092</v>
      </c>
      <c r="AV288" s="1" t="s">
        <v>950</v>
      </c>
      <c r="AW288" s="1" t="s">
        <v>1523</v>
      </c>
      <c r="AX288" s="1">
        <v>48923520</v>
      </c>
      <c r="BA288" s="1" t="s">
        <v>69</v>
      </c>
      <c r="BB288" s="1" t="s">
        <v>574</v>
      </c>
      <c r="BC288" s="1" t="s">
        <v>456</v>
      </c>
      <c r="BD288" s="1" t="s">
        <v>555</v>
      </c>
      <c r="BG288" s="1" t="s">
        <v>558</v>
      </c>
      <c r="BH288" s="1">
        <v>30</v>
      </c>
      <c r="BI288" s="1" t="s">
        <v>431</v>
      </c>
      <c r="BJ288" s="1" t="s">
        <v>67</v>
      </c>
      <c r="BK288" s="1" t="s">
        <v>440</v>
      </c>
      <c r="BL288" s="1">
        <v>0</v>
      </c>
      <c r="BM288" s="1" t="s">
        <v>950</v>
      </c>
      <c r="BN288" s="1" t="s">
        <v>1523</v>
      </c>
      <c r="BP288" s="1">
        <v>48923520</v>
      </c>
      <c r="BR288" s="1" t="s">
        <v>69</v>
      </c>
      <c r="BS288" s="1" t="s">
        <v>1023</v>
      </c>
      <c r="BT288" s="1" t="s">
        <v>574</v>
      </c>
      <c r="BU288" s="1" t="s">
        <v>456</v>
      </c>
      <c r="BV288" s="1" t="s">
        <v>555</v>
      </c>
      <c r="BY288" s="1" t="s">
        <v>558</v>
      </c>
      <c r="BZ288" s="1">
        <v>30</v>
      </c>
      <c r="CJ288" s="1">
        <v>2.0588899999999999</v>
      </c>
      <c r="CK288" s="1">
        <v>2.0563899999999999</v>
      </c>
      <c r="CL288" s="1">
        <v>2.0613899999999998</v>
      </c>
      <c r="CR288" s="1">
        <v>19719.422194644801</v>
      </c>
      <c r="CS288" s="1">
        <v>18622.330000000002</v>
      </c>
      <c r="CT288" s="1">
        <v>20816.52</v>
      </c>
      <c r="CU288" s="1">
        <v>4.0300000000000002E-2</v>
      </c>
      <c r="CZ288" s="1">
        <v>19719.419999999998</v>
      </c>
      <c r="DA288" s="1">
        <v>19719.419999999998</v>
      </c>
      <c r="DB288" s="1">
        <v>-14994.73</v>
      </c>
      <c r="DC288" s="1">
        <v>34714.160000000003</v>
      </c>
      <c r="DD288" s="2">
        <v>3665.62</v>
      </c>
      <c r="DG288" s="1">
        <v>761.38</v>
      </c>
      <c r="DL288" s="1">
        <v>-49093251.890000001</v>
      </c>
      <c r="DM288" s="1">
        <v>-48938467.659999996</v>
      </c>
      <c r="DN288" s="1">
        <v>-154784.23000000001</v>
      </c>
      <c r="DO288" s="1">
        <v>2.1092</v>
      </c>
      <c r="DP288" s="1" t="s">
        <v>1406</v>
      </c>
      <c r="DQ288" s="1" t="s">
        <v>1406</v>
      </c>
      <c r="DS288" s="1">
        <v>49112971.310000002</v>
      </c>
      <c r="DT288" s="1">
        <v>48923472.920000002</v>
      </c>
      <c r="DU288" s="1">
        <v>189498.39</v>
      </c>
      <c r="DV288" s="1">
        <v>2.1541399999999999</v>
      </c>
      <c r="DW288" s="1" t="s">
        <v>1406</v>
      </c>
      <c r="DX288" s="1" t="s">
        <v>1406</v>
      </c>
      <c r="DY288" s="1" t="s">
        <v>1117</v>
      </c>
      <c r="DZ288" s="1">
        <v>-18016</v>
      </c>
      <c r="EA288" s="1">
        <v>57455</v>
      </c>
      <c r="ED288" s="1" t="s">
        <v>50</v>
      </c>
      <c r="EE288" s="1" t="s">
        <v>1524</v>
      </c>
      <c r="EF288" s="1" t="s">
        <v>53</v>
      </c>
      <c r="EG288" s="1" t="s">
        <v>1524</v>
      </c>
      <c r="EH288" s="1" t="s">
        <v>51</v>
      </c>
      <c r="EJ288" s="1" t="s">
        <v>55</v>
      </c>
      <c r="EL288" s="1" t="s">
        <v>57</v>
      </c>
    </row>
    <row r="289" spans="1:142" x14ac:dyDescent="0.2">
      <c r="A289" s="101">
        <v>89228583001</v>
      </c>
      <c r="B289" s="101">
        <v>89228583</v>
      </c>
      <c r="D289" s="1" t="s">
        <v>334</v>
      </c>
      <c r="E289" s="1" t="s">
        <v>44</v>
      </c>
      <c r="F289" s="1" t="s">
        <v>583</v>
      </c>
      <c r="AI289" s="1" t="s">
        <v>551</v>
      </c>
      <c r="AJ289" s="1" t="s">
        <v>44</v>
      </c>
      <c r="AK289" s="1" t="s">
        <v>584</v>
      </c>
      <c r="AL289" s="1" t="s">
        <v>1117</v>
      </c>
      <c r="AR289" s="1" t="s">
        <v>79</v>
      </c>
      <c r="AS289" s="1" t="s">
        <v>71</v>
      </c>
      <c r="AT289" s="1">
        <v>2.0807000000000002</v>
      </c>
      <c r="AV289" s="1" t="s">
        <v>950</v>
      </c>
      <c r="AW289" s="1" t="s">
        <v>1527</v>
      </c>
      <c r="AX289" s="1">
        <v>29276242</v>
      </c>
      <c r="BA289" s="1" t="s">
        <v>69</v>
      </c>
      <c r="BB289" s="1" t="s">
        <v>574</v>
      </c>
      <c r="BC289" s="1" t="s">
        <v>456</v>
      </c>
      <c r="BD289" s="1" t="s">
        <v>555</v>
      </c>
      <c r="BG289" s="1" t="s">
        <v>558</v>
      </c>
      <c r="BH289" s="1">
        <v>4</v>
      </c>
      <c r="BI289" s="1" t="s">
        <v>431</v>
      </c>
      <c r="BJ289" s="1" t="s">
        <v>67</v>
      </c>
      <c r="BK289" s="1" t="s">
        <v>440</v>
      </c>
      <c r="BL289" s="1">
        <v>0</v>
      </c>
      <c r="BM289" s="1" t="s">
        <v>950</v>
      </c>
      <c r="BN289" s="1" t="s">
        <v>1527</v>
      </c>
      <c r="BP289" s="1">
        <v>29276242</v>
      </c>
      <c r="BR289" s="1" t="s">
        <v>69</v>
      </c>
      <c r="BS289" s="1" t="s">
        <v>1023</v>
      </c>
      <c r="BT289" s="1" t="s">
        <v>574</v>
      </c>
      <c r="BU289" s="1" t="s">
        <v>456</v>
      </c>
      <c r="BV289" s="1" t="s">
        <v>555</v>
      </c>
      <c r="BY289" s="1" t="s">
        <v>558</v>
      </c>
      <c r="BZ289" s="1">
        <v>4</v>
      </c>
      <c r="CJ289" s="1">
        <v>2.0362200000000001</v>
      </c>
      <c r="CK289" s="1">
        <v>2.0337200000000002</v>
      </c>
      <c r="CL289" s="1">
        <v>2.0387200000000001</v>
      </c>
      <c r="CR289" s="1">
        <v>13256.020583301801</v>
      </c>
      <c r="CS289" s="1">
        <v>12528.79</v>
      </c>
      <c r="CT289" s="1">
        <v>13983.25</v>
      </c>
      <c r="CU289" s="1">
        <v>4.53E-2</v>
      </c>
      <c r="CZ289" s="1">
        <v>13256.02</v>
      </c>
      <c r="DA289" s="1">
        <v>13256.02</v>
      </c>
      <c r="DB289" s="1">
        <v>-8768.7800000000007</v>
      </c>
      <c r="DC289" s="1">
        <v>22024.799999999999</v>
      </c>
      <c r="DD289" s="2">
        <v>2478.1</v>
      </c>
      <c r="DG289" s="1">
        <v>483.21</v>
      </c>
      <c r="DL289" s="1">
        <v>-29376353.039999999</v>
      </c>
      <c r="DM289" s="1">
        <v>-29284980.43</v>
      </c>
      <c r="DN289" s="1">
        <v>-91372.62</v>
      </c>
      <c r="DO289" s="1">
        <v>2.0807000000000002</v>
      </c>
      <c r="DP289" s="1" t="s">
        <v>1528</v>
      </c>
      <c r="DQ289" s="1" t="s">
        <v>1528</v>
      </c>
      <c r="DS289" s="1">
        <v>29389609.059999999</v>
      </c>
      <c r="DT289" s="1">
        <v>29276211.649999999</v>
      </c>
      <c r="DU289" s="1">
        <v>113397.41</v>
      </c>
      <c r="DV289" s="1">
        <v>2.1262699999999999</v>
      </c>
      <c r="DW289" s="1" t="s">
        <v>1528</v>
      </c>
      <c r="DX289" s="1" t="s">
        <v>1528</v>
      </c>
      <c r="DY289" s="1" t="s">
        <v>1117</v>
      </c>
      <c r="DZ289" s="1">
        <v>-11974</v>
      </c>
      <c r="EA289" s="1">
        <v>38486</v>
      </c>
      <c r="ED289" s="1" t="s">
        <v>50</v>
      </c>
      <c r="EE289" s="1" t="s">
        <v>1529</v>
      </c>
      <c r="EF289" s="1" t="s">
        <v>53</v>
      </c>
      <c r="EG289" s="1" t="s">
        <v>1529</v>
      </c>
      <c r="EH289" s="1" t="s">
        <v>51</v>
      </c>
      <c r="EJ289" s="1" t="s">
        <v>55</v>
      </c>
      <c r="EL289" s="1" t="s">
        <v>57</v>
      </c>
    </row>
    <row r="290" spans="1:142" x14ac:dyDescent="0.2">
      <c r="A290" s="101">
        <v>89315146001</v>
      </c>
      <c r="B290" s="101">
        <v>89315146</v>
      </c>
      <c r="D290" s="1" t="s">
        <v>43</v>
      </c>
      <c r="E290" s="1" t="s">
        <v>44</v>
      </c>
      <c r="F290" s="1" t="s">
        <v>583</v>
      </c>
      <c r="AI290" s="1" t="s">
        <v>551</v>
      </c>
      <c r="AJ290" s="1" t="s">
        <v>44</v>
      </c>
      <c r="AK290" s="1" t="s">
        <v>584</v>
      </c>
      <c r="AL290" s="1" t="s">
        <v>1174</v>
      </c>
      <c r="AR290" s="1" t="s">
        <v>79</v>
      </c>
      <c r="AS290" s="1" t="s">
        <v>71</v>
      </c>
      <c r="AT290" s="1">
        <v>2.3376999999999999</v>
      </c>
      <c r="AV290" s="1" t="s">
        <v>1027</v>
      </c>
      <c r="AW290" s="1" t="s">
        <v>1158</v>
      </c>
      <c r="AX290" s="1">
        <v>138461918</v>
      </c>
      <c r="BA290" s="1" t="s">
        <v>69</v>
      </c>
      <c r="BB290" s="1" t="s">
        <v>574</v>
      </c>
      <c r="BC290" s="1" t="s">
        <v>456</v>
      </c>
      <c r="BD290" s="1" t="s">
        <v>555</v>
      </c>
      <c r="BG290" s="1" t="s">
        <v>558</v>
      </c>
      <c r="BH290" s="1">
        <v>11</v>
      </c>
      <c r="BI290" s="1" t="s">
        <v>431</v>
      </c>
      <c r="BJ290" s="1" t="s">
        <v>67</v>
      </c>
      <c r="BK290" s="1" t="s">
        <v>440</v>
      </c>
      <c r="BL290" s="1">
        <v>0</v>
      </c>
      <c r="BM290" s="1" t="s">
        <v>1027</v>
      </c>
      <c r="BN290" s="1" t="s">
        <v>1158</v>
      </c>
      <c r="BP290" s="1">
        <v>138461918</v>
      </c>
      <c r="BR290" s="1" t="s">
        <v>69</v>
      </c>
      <c r="BS290" s="1" t="s">
        <v>1023</v>
      </c>
      <c r="BT290" s="1" t="s">
        <v>574</v>
      </c>
      <c r="BU290" s="1" t="s">
        <v>456</v>
      </c>
      <c r="BV290" s="1" t="s">
        <v>555</v>
      </c>
      <c r="BY290" s="1" t="s">
        <v>558</v>
      </c>
      <c r="BZ290" s="1">
        <v>11</v>
      </c>
      <c r="CJ290" s="1">
        <v>2.2285400000000002</v>
      </c>
      <c r="CK290" s="1">
        <v>2.2260399999999998</v>
      </c>
      <c r="CL290" s="1">
        <v>2.2310400000000001</v>
      </c>
      <c r="CR290" s="1">
        <v>11475.846314162</v>
      </c>
      <c r="CS290" s="1">
        <v>9995.08</v>
      </c>
      <c r="CT290" s="1">
        <v>12956.61</v>
      </c>
      <c r="CU290" s="1">
        <v>8.3000000000000001E-3</v>
      </c>
      <c r="CZ290" s="1">
        <v>11475.85</v>
      </c>
      <c r="DA290" s="1">
        <v>11475.85</v>
      </c>
      <c r="DB290" s="1">
        <v>-38011.67</v>
      </c>
      <c r="DC290" s="1">
        <v>49487.519999999997</v>
      </c>
      <c r="DD290" s="2">
        <v>3874.52</v>
      </c>
      <c r="DG290" s="1">
        <v>1370.3</v>
      </c>
      <c r="DL290" s="1">
        <v>-138976227.16</v>
      </c>
      <c r="DM290" s="1">
        <v>-138499694.69999999</v>
      </c>
      <c r="DN290" s="1">
        <v>-476532.46</v>
      </c>
      <c r="DO290" s="1">
        <v>2.3376999999999999</v>
      </c>
      <c r="DP290" s="1" t="s">
        <v>1142</v>
      </c>
      <c r="DQ290" s="1" t="s">
        <v>1142</v>
      </c>
      <c r="DS290" s="1">
        <v>138987703.00999999</v>
      </c>
      <c r="DT290" s="1">
        <v>138461683.03</v>
      </c>
      <c r="DU290" s="1">
        <v>526019.98</v>
      </c>
      <c r="DV290" s="1">
        <v>2.3570700000000002</v>
      </c>
      <c r="DW290" s="1" t="s">
        <v>1142</v>
      </c>
      <c r="DX290" s="1" t="s">
        <v>1142</v>
      </c>
      <c r="DY290" s="1" t="s">
        <v>1174</v>
      </c>
      <c r="DZ290" s="1">
        <v>-31697</v>
      </c>
      <c r="EA290" s="1">
        <v>54648</v>
      </c>
      <c r="ED290" s="1" t="s">
        <v>50</v>
      </c>
      <c r="EE290" s="1" t="s">
        <v>1531</v>
      </c>
      <c r="EF290" s="1" t="s">
        <v>53</v>
      </c>
      <c r="EG290" s="1" t="s">
        <v>1531</v>
      </c>
      <c r="EH290" s="1" t="s">
        <v>51</v>
      </c>
      <c r="EJ290" s="1" t="s">
        <v>55</v>
      </c>
      <c r="EL290" s="1" t="s">
        <v>57</v>
      </c>
    </row>
    <row r="291" spans="1:142" x14ac:dyDescent="0.2">
      <c r="A291" s="101">
        <v>89315578001</v>
      </c>
      <c r="B291" s="101">
        <v>89315578</v>
      </c>
      <c r="D291" s="1" t="s">
        <v>334</v>
      </c>
      <c r="E291" s="1" t="s">
        <v>44</v>
      </c>
      <c r="F291" s="1" t="s">
        <v>583</v>
      </c>
      <c r="AI291" s="1" t="s">
        <v>551</v>
      </c>
      <c r="AJ291" s="1" t="s">
        <v>44</v>
      </c>
      <c r="AK291" s="1" t="s">
        <v>584</v>
      </c>
      <c r="AL291" s="1" t="s">
        <v>1174</v>
      </c>
      <c r="AR291" s="1" t="s">
        <v>79</v>
      </c>
      <c r="AS291" s="1" t="s">
        <v>71</v>
      </c>
      <c r="AT291" s="1">
        <v>2.1737000000000002</v>
      </c>
      <c r="AV291" s="1" t="s">
        <v>1027</v>
      </c>
      <c r="AW291" s="1" t="s">
        <v>1348</v>
      </c>
      <c r="AX291" s="1">
        <v>88358374</v>
      </c>
      <c r="BA291" s="1" t="s">
        <v>69</v>
      </c>
      <c r="BB291" s="1" t="s">
        <v>574</v>
      </c>
      <c r="BC291" s="1" t="s">
        <v>456</v>
      </c>
      <c r="BD291" s="1" t="s">
        <v>555</v>
      </c>
      <c r="BG291" s="1" t="s">
        <v>558</v>
      </c>
      <c r="BH291" s="1">
        <v>6</v>
      </c>
      <c r="BI291" s="1" t="s">
        <v>431</v>
      </c>
      <c r="BJ291" s="1" t="s">
        <v>67</v>
      </c>
      <c r="BK291" s="1" t="s">
        <v>440</v>
      </c>
      <c r="BL291" s="1">
        <v>0</v>
      </c>
      <c r="BM291" s="1" t="s">
        <v>1027</v>
      </c>
      <c r="BN291" s="1" t="s">
        <v>1348</v>
      </c>
      <c r="BP291" s="1">
        <v>88358374</v>
      </c>
      <c r="BR291" s="1" t="s">
        <v>69</v>
      </c>
      <c r="BS291" s="1" t="s">
        <v>1023</v>
      </c>
      <c r="BT291" s="1" t="s">
        <v>574</v>
      </c>
      <c r="BU291" s="1" t="s">
        <v>456</v>
      </c>
      <c r="BV291" s="1" t="s">
        <v>555</v>
      </c>
      <c r="BY291" s="1" t="s">
        <v>558</v>
      </c>
      <c r="BZ291" s="1">
        <v>6</v>
      </c>
      <c r="CJ291" s="1">
        <v>2.0980799999999999</v>
      </c>
      <c r="CK291" s="1">
        <v>2.09558</v>
      </c>
      <c r="CL291" s="1">
        <v>2.1005799999999999</v>
      </c>
      <c r="CR291" s="1">
        <v>17876.862657427799</v>
      </c>
      <c r="CS291" s="1">
        <v>16223.06</v>
      </c>
      <c r="CT291" s="1">
        <v>19530.669999999998</v>
      </c>
      <c r="CU291" s="1">
        <v>2.0199999999999999E-2</v>
      </c>
      <c r="CZ291" s="1">
        <v>17876.86</v>
      </c>
      <c r="DA291" s="1">
        <v>17876.86</v>
      </c>
      <c r="DB291" s="1">
        <v>-35036.839999999997</v>
      </c>
      <c r="DC291" s="1">
        <v>52913.71</v>
      </c>
      <c r="DD291" s="2">
        <v>5326.49</v>
      </c>
      <c r="DG291" s="1">
        <v>1305.1099999999999</v>
      </c>
      <c r="DL291" s="1">
        <v>-88676099.400000006</v>
      </c>
      <c r="DM291" s="1">
        <v>-88393337.629999995</v>
      </c>
      <c r="DN291" s="1">
        <v>-282761.77</v>
      </c>
      <c r="DO291" s="1">
        <v>2.1737000000000002</v>
      </c>
      <c r="DP291" s="1" t="s">
        <v>1533</v>
      </c>
      <c r="DQ291" s="1" t="s">
        <v>1533</v>
      </c>
      <c r="DS291" s="1">
        <v>88693976.269999996</v>
      </c>
      <c r="DT291" s="1">
        <v>88358300.790000007</v>
      </c>
      <c r="DU291" s="1">
        <v>335675.47</v>
      </c>
      <c r="DV291" s="1">
        <v>2.20072</v>
      </c>
      <c r="DW291" s="1" t="s">
        <v>1533</v>
      </c>
      <c r="DX291" s="1" t="s">
        <v>1533</v>
      </c>
      <c r="DY291" s="1" t="s">
        <v>1174</v>
      </c>
      <c r="DZ291" s="1">
        <v>-38000</v>
      </c>
      <c r="EA291" s="1">
        <v>73754</v>
      </c>
      <c r="ED291" s="1" t="s">
        <v>50</v>
      </c>
      <c r="EE291" s="1" t="s">
        <v>1534</v>
      </c>
      <c r="EF291" s="1" t="s">
        <v>53</v>
      </c>
      <c r="EG291" s="1" t="s">
        <v>1534</v>
      </c>
      <c r="EH291" s="1" t="s">
        <v>51</v>
      </c>
      <c r="EJ291" s="1" t="s">
        <v>55</v>
      </c>
      <c r="EL291" s="1" t="s">
        <v>57</v>
      </c>
    </row>
    <row r="292" spans="1:142" x14ac:dyDescent="0.2">
      <c r="A292" s="101">
        <v>89473461001</v>
      </c>
      <c r="B292" s="101">
        <v>89473461</v>
      </c>
      <c r="D292" s="1" t="s">
        <v>75</v>
      </c>
      <c r="E292" s="1" t="s">
        <v>44</v>
      </c>
      <c r="F292" s="1" t="s">
        <v>583</v>
      </c>
      <c r="AI292" s="1" t="s">
        <v>551</v>
      </c>
      <c r="AJ292" s="1" t="s">
        <v>44</v>
      </c>
      <c r="AK292" s="1" t="s">
        <v>584</v>
      </c>
      <c r="AL292" s="1" t="s">
        <v>1027</v>
      </c>
      <c r="AR292" s="1" t="s">
        <v>79</v>
      </c>
      <c r="AS292" s="1" t="s">
        <v>71</v>
      </c>
      <c r="AT292" s="1">
        <v>2.1492</v>
      </c>
      <c r="AV292" s="1" t="s">
        <v>1060</v>
      </c>
      <c r="AW292" s="1" t="s">
        <v>1535</v>
      </c>
      <c r="AX292" s="1">
        <v>61724590</v>
      </c>
      <c r="BA292" s="1" t="s">
        <v>69</v>
      </c>
      <c r="BB292" s="1" t="s">
        <v>574</v>
      </c>
      <c r="BC292" s="1" t="s">
        <v>456</v>
      </c>
      <c r="BD292" s="1" t="s">
        <v>555</v>
      </c>
      <c r="BG292" s="1" t="s">
        <v>558</v>
      </c>
      <c r="BH292" s="1">
        <v>10</v>
      </c>
      <c r="BI292" s="1" t="s">
        <v>431</v>
      </c>
      <c r="BJ292" s="1" t="s">
        <v>67</v>
      </c>
      <c r="BK292" s="1" t="s">
        <v>440</v>
      </c>
      <c r="BL292" s="1">
        <v>0</v>
      </c>
      <c r="BM292" s="1" t="s">
        <v>1060</v>
      </c>
      <c r="BN292" s="1" t="s">
        <v>1535</v>
      </c>
      <c r="BP292" s="1">
        <v>61724590</v>
      </c>
      <c r="BR292" s="1" t="s">
        <v>69</v>
      </c>
      <c r="BS292" s="1" t="s">
        <v>1023</v>
      </c>
      <c r="BT292" s="1" t="s">
        <v>574</v>
      </c>
      <c r="BU292" s="1" t="s">
        <v>456</v>
      </c>
      <c r="BV292" s="1" t="s">
        <v>555</v>
      </c>
      <c r="BY292" s="1" t="s">
        <v>558</v>
      </c>
      <c r="BZ292" s="1">
        <v>10</v>
      </c>
      <c r="CJ292" s="1">
        <v>2.0719799999999999</v>
      </c>
      <c r="CK292" s="1">
        <v>2.06948</v>
      </c>
      <c r="CL292" s="1">
        <v>2.0744799999999999</v>
      </c>
      <c r="CR292" s="1">
        <v>6323.7106827944999</v>
      </c>
      <c r="CS292" s="1">
        <v>5043.7299999999996</v>
      </c>
      <c r="CT292" s="1">
        <v>7603.69</v>
      </c>
      <c r="CU292" s="1">
        <v>1.0200000000000001E-2</v>
      </c>
      <c r="CZ292" s="1">
        <v>6323.71</v>
      </c>
      <c r="DA292" s="1">
        <v>6323.71</v>
      </c>
      <c r="DB292" s="1">
        <v>-29257.23</v>
      </c>
      <c r="DC292" s="1">
        <v>35580.94</v>
      </c>
      <c r="DD292" s="2">
        <v>4290.1099999999997</v>
      </c>
      <c r="DG292" s="1">
        <v>934.95</v>
      </c>
      <c r="DL292" s="1">
        <v>-61934354.759999998</v>
      </c>
      <c r="DM292" s="1">
        <v>-61753791.810000002</v>
      </c>
      <c r="DN292" s="1">
        <v>-180562.94</v>
      </c>
      <c r="DO292" s="1">
        <v>2.1492</v>
      </c>
      <c r="DP292" s="1" t="s">
        <v>1536</v>
      </c>
      <c r="DQ292" s="1" t="s">
        <v>1536</v>
      </c>
      <c r="DS292" s="1">
        <v>61940678.469999999</v>
      </c>
      <c r="DT292" s="1">
        <v>61724534.590000004</v>
      </c>
      <c r="DU292" s="1">
        <v>216143.88</v>
      </c>
      <c r="DV292" s="1">
        <v>2.1615500000000001</v>
      </c>
      <c r="DW292" s="1" t="s">
        <v>1536</v>
      </c>
      <c r="DX292" s="1" t="s">
        <v>1536</v>
      </c>
      <c r="DY292" s="1" t="s">
        <v>1027</v>
      </c>
      <c r="DZ292" s="1">
        <v>-38121</v>
      </c>
      <c r="EA292" s="1">
        <v>50769</v>
      </c>
      <c r="ED292" s="1" t="s">
        <v>50</v>
      </c>
      <c r="EE292" s="1" t="s">
        <v>1537</v>
      </c>
      <c r="EF292" s="1" t="s">
        <v>53</v>
      </c>
      <c r="EG292" s="1" t="s">
        <v>1537</v>
      </c>
      <c r="EH292" s="1" t="s">
        <v>51</v>
      </c>
      <c r="EJ292" s="1" t="s">
        <v>55</v>
      </c>
      <c r="EL292" s="1" t="s">
        <v>57</v>
      </c>
    </row>
    <row r="293" spans="1:142" x14ac:dyDescent="0.2">
      <c r="A293" s="101">
        <v>89592763001</v>
      </c>
      <c r="B293" s="101">
        <v>89592763</v>
      </c>
      <c r="D293" s="1" t="s">
        <v>334</v>
      </c>
      <c r="E293" s="1" t="s">
        <v>44</v>
      </c>
      <c r="F293" s="1" t="s">
        <v>583</v>
      </c>
      <c r="AI293" s="1" t="s">
        <v>551</v>
      </c>
      <c r="AJ293" s="1" t="s">
        <v>44</v>
      </c>
      <c r="AK293" s="1" t="s">
        <v>584</v>
      </c>
      <c r="AL293" s="1" t="s">
        <v>1059</v>
      </c>
      <c r="AR293" s="1" t="s">
        <v>79</v>
      </c>
      <c r="AS293" s="1" t="s">
        <v>71</v>
      </c>
      <c r="AT293" s="1">
        <v>2.0842000000000001</v>
      </c>
      <c r="AV293" s="1" t="s">
        <v>1101</v>
      </c>
      <c r="AW293" s="1" t="s">
        <v>1539</v>
      </c>
      <c r="AX293" s="1">
        <v>97626006</v>
      </c>
      <c r="BA293" s="1" t="s">
        <v>69</v>
      </c>
      <c r="BB293" s="1" t="s">
        <v>574</v>
      </c>
      <c r="BC293" s="1" t="s">
        <v>456</v>
      </c>
      <c r="BD293" s="1" t="s">
        <v>555</v>
      </c>
      <c r="BG293" s="1" t="s">
        <v>558</v>
      </c>
      <c r="BH293" s="1">
        <v>10</v>
      </c>
      <c r="BI293" s="1" t="s">
        <v>431</v>
      </c>
      <c r="BJ293" s="1" t="s">
        <v>67</v>
      </c>
      <c r="BK293" s="1" t="s">
        <v>440</v>
      </c>
      <c r="BL293" s="1">
        <v>0</v>
      </c>
      <c r="BM293" s="1" t="s">
        <v>1101</v>
      </c>
      <c r="BN293" s="1" t="s">
        <v>1539</v>
      </c>
      <c r="BP293" s="1">
        <v>97626006</v>
      </c>
      <c r="BR293" s="1" t="s">
        <v>69</v>
      </c>
      <c r="BS293" s="1" t="s">
        <v>1023</v>
      </c>
      <c r="BT293" s="1" t="s">
        <v>574</v>
      </c>
      <c r="BU293" s="1" t="s">
        <v>456</v>
      </c>
      <c r="BV293" s="1" t="s">
        <v>555</v>
      </c>
      <c r="BY293" s="1" t="s">
        <v>558</v>
      </c>
      <c r="BZ293" s="1">
        <v>10</v>
      </c>
      <c r="CJ293" s="1">
        <v>2.0328599999999999</v>
      </c>
      <c r="CK293" s="1">
        <v>2.0303599999999999</v>
      </c>
      <c r="CL293" s="1">
        <v>2.0353599999999998</v>
      </c>
      <c r="CR293" s="1">
        <v>27124.234852492798</v>
      </c>
      <c r="CS293" s="1">
        <v>24699.91</v>
      </c>
      <c r="CT293" s="1">
        <v>29548.560000000001</v>
      </c>
      <c r="CU293" s="1">
        <v>2.7799999999999998E-2</v>
      </c>
      <c r="CZ293" s="1">
        <v>27124.23</v>
      </c>
      <c r="DA293" s="1">
        <v>27124.23</v>
      </c>
      <c r="DB293" s="1">
        <v>-36192.06</v>
      </c>
      <c r="DC293" s="1">
        <v>63316.3</v>
      </c>
      <c r="DD293" s="2">
        <v>8419.2000000000007</v>
      </c>
      <c r="DG293" s="1">
        <v>1594.37</v>
      </c>
      <c r="DL293" s="1">
        <v>-97933393.430000007</v>
      </c>
      <c r="DM293" s="1">
        <v>-97662097.260000005</v>
      </c>
      <c r="DN293" s="1">
        <v>-271296.15999999997</v>
      </c>
      <c r="DO293" s="1">
        <v>2.0842000000000001</v>
      </c>
      <c r="DP293" s="1" t="s">
        <v>1540</v>
      </c>
      <c r="DQ293" s="1" t="s">
        <v>1540</v>
      </c>
      <c r="DS293" s="1">
        <v>97960517.659999996</v>
      </c>
      <c r="DT293" s="1">
        <v>97625905.200000003</v>
      </c>
      <c r="DU293" s="1">
        <v>334612.46000000002</v>
      </c>
      <c r="DV293" s="1">
        <v>2.1121699999999999</v>
      </c>
      <c r="DW293" s="1" t="s">
        <v>1540</v>
      </c>
      <c r="DX293" s="1" t="s">
        <v>1540</v>
      </c>
      <c r="DY293" s="1" t="s">
        <v>1059</v>
      </c>
      <c r="DZ293" s="1">
        <v>-58451</v>
      </c>
      <c r="EA293" s="1">
        <v>112700</v>
      </c>
      <c r="ED293" s="1" t="s">
        <v>50</v>
      </c>
      <c r="EE293" s="1" t="s">
        <v>1541</v>
      </c>
      <c r="EF293" s="1" t="s">
        <v>53</v>
      </c>
      <c r="EG293" s="1" t="s">
        <v>1541</v>
      </c>
      <c r="EH293" s="1" t="s">
        <v>51</v>
      </c>
      <c r="EJ293" s="1" t="s">
        <v>55</v>
      </c>
      <c r="EL293" s="1" t="s">
        <v>57</v>
      </c>
    </row>
    <row r="294" spans="1:142" x14ac:dyDescent="0.2">
      <c r="A294" s="101">
        <v>89592774001</v>
      </c>
      <c r="B294" s="101">
        <v>89592774</v>
      </c>
      <c r="D294" s="1" t="s">
        <v>43</v>
      </c>
      <c r="E294" s="1" t="s">
        <v>44</v>
      </c>
      <c r="F294" s="1" t="s">
        <v>583</v>
      </c>
      <c r="AI294" s="1" t="s">
        <v>551</v>
      </c>
      <c r="AJ294" s="1" t="s">
        <v>44</v>
      </c>
      <c r="AK294" s="1" t="s">
        <v>584</v>
      </c>
      <c r="AL294" s="1" t="s">
        <v>1059</v>
      </c>
      <c r="AR294" s="1" t="s">
        <v>79</v>
      </c>
      <c r="AS294" s="1" t="s">
        <v>71</v>
      </c>
      <c r="AT294" s="1">
        <v>2.3361999999999998</v>
      </c>
      <c r="AV294" s="1" t="s">
        <v>1101</v>
      </c>
      <c r="AW294" s="1" t="s">
        <v>1142</v>
      </c>
      <c r="AX294" s="1">
        <v>41541845</v>
      </c>
      <c r="BA294" s="1" t="s">
        <v>69</v>
      </c>
      <c r="BB294" s="1" t="s">
        <v>574</v>
      </c>
      <c r="BC294" s="1" t="s">
        <v>456</v>
      </c>
      <c r="BD294" s="1" t="s">
        <v>555</v>
      </c>
      <c r="BG294" s="1" t="s">
        <v>558</v>
      </c>
      <c r="BH294" s="1">
        <v>14</v>
      </c>
      <c r="BI294" s="1" t="s">
        <v>431</v>
      </c>
      <c r="BJ294" s="1" t="s">
        <v>67</v>
      </c>
      <c r="BK294" s="1" t="s">
        <v>440</v>
      </c>
      <c r="BL294" s="1">
        <v>0</v>
      </c>
      <c r="BM294" s="1" t="s">
        <v>1101</v>
      </c>
      <c r="BN294" s="1" t="s">
        <v>1142</v>
      </c>
      <c r="BP294" s="1">
        <v>41541845</v>
      </c>
      <c r="BR294" s="1" t="s">
        <v>69</v>
      </c>
      <c r="BS294" s="1" t="s">
        <v>1023</v>
      </c>
      <c r="BT294" s="1" t="s">
        <v>574</v>
      </c>
      <c r="BU294" s="1" t="s">
        <v>456</v>
      </c>
      <c r="BV294" s="1" t="s">
        <v>555</v>
      </c>
      <c r="BY294" s="1" t="s">
        <v>558</v>
      </c>
      <c r="BZ294" s="1">
        <v>14</v>
      </c>
      <c r="CJ294" s="1">
        <v>2.2240199999999999</v>
      </c>
      <c r="CK294" s="1">
        <v>2.2215199999999999</v>
      </c>
      <c r="CL294" s="1">
        <v>2.2265199999999998</v>
      </c>
      <c r="CR294" s="1">
        <v>792.56681664289999</v>
      </c>
      <c r="CS294" s="1">
        <v>354.06</v>
      </c>
      <c r="CT294" s="1">
        <v>1231.07</v>
      </c>
      <c r="CU294" s="1">
        <v>1.9E-3</v>
      </c>
      <c r="CZ294" s="1">
        <v>792.57</v>
      </c>
      <c r="DA294" s="1">
        <v>792.57</v>
      </c>
      <c r="DB294" s="1">
        <v>-12191.74</v>
      </c>
      <c r="DC294" s="1">
        <v>12984.31</v>
      </c>
      <c r="DD294" s="2">
        <v>1196.54</v>
      </c>
      <c r="DG294" s="1">
        <v>411.3</v>
      </c>
      <c r="DL294" s="1">
        <v>-41683414.759999998</v>
      </c>
      <c r="DM294" s="1">
        <v>-41554014.68</v>
      </c>
      <c r="DN294" s="1">
        <v>-129400.08</v>
      </c>
      <c r="DO294" s="1">
        <v>2.3361999999999998</v>
      </c>
      <c r="DP294" s="1" t="s">
        <v>1160</v>
      </c>
      <c r="DQ294" s="1" t="s">
        <v>1160</v>
      </c>
      <c r="DS294" s="1">
        <v>41684207.329999998</v>
      </c>
      <c r="DT294" s="1">
        <v>41541822.939999998</v>
      </c>
      <c r="DU294" s="1">
        <v>142384.39000000001</v>
      </c>
      <c r="DV294" s="1">
        <v>2.3407200000000001</v>
      </c>
      <c r="DW294" s="1" t="s">
        <v>1160</v>
      </c>
      <c r="DX294" s="1" t="s">
        <v>1160</v>
      </c>
      <c r="DY294" s="1" t="s">
        <v>1059</v>
      </c>
      <c r="DZ294" s="1">
        <v>-12513</v>
      </c>
      <c r="EA294" s="1">
        <v>14098</v>
      </c>
      <c r="ED294" s="1" t="s">
        <v>50</v>
      </c>
      <c r="EE294" s="1" t="s">
        <v>1545</v>
      </c>
      <c r="EF294" s="1" t="s">
        <v>53</v>
      </c>
      <c r="EG294" s="1" t="s">
        <v>1545</v>
      </c>
      <c r="EH294" s="1" t="s">
        <v>51</v>
      </c>
      <c r="EJ294" s="1" t="s">
        <v>55</v>
      </c>
      <c r="EL294" s="1" t="s">
        <v>57</v>
      </c>
    </row>
    <row r="295" spans="1:142" x14ac:dyDescent="0.2">
      <c r="A295" s="101">
        <v>89592778001</v>
      </c>
      <c r="B295" s="101">
        <v>89592778</v>
      </c>
      <c r="D295" s="1" t="s">
        <v>43</v>
      </c>
      <c r="E295" s="1" t="s">
        <v>44</v>
      </c>
      <c r="F295" s="1" t="s">
        <v>583</v>
      </c>
      <c r="AI295" s="1" t="s">
        <v>551</v>
      </c>
      <c r="AJ295" s="1" t="s">
        <v>44</v>
      </c>
      <c r="AK295" s="1" t="s">
        <v>584</v>
      </c>
      <c r="AL295" s="1" t="s">
        <v>1059</v>
      </c>
      <c r="AR295" s="1" t="s">
        <v>79</v>
      </c>
      <c r="AS295" s="1" t="s">
        <v>71</v>
      </c>
      <c r="AT295" s="1">
        <v>2.1027</v>
      </c>
      <c r="AV295" s="1" t="s">
        <v>1101</v>
      </c>
      <c r="AW295" s="1" t="s">
        <v>1466</v>
      </c>
      <c r="AX295" s="1">
        <v>21875112</v>
      </c>
      <c r="BA295" s="1" t="s">
        <v>69</v>
      </c>
      <c r="BB295" s="1" t="s">
        <v>574</v>
      </c>
      <c r="BC295" s="1" t="s">
        <v>456</v>
      </c>
      <c r="BD295" s="1" t="s">
        <v>555</v>
      </c>
      <c r="BG295" s="1" t="s">
        <v>558</v>
      </c>
      <c r="BH295" s="1">
        <v>23</v>
      </c>
      <c r="BI295" s="1" t="s">
        <v>431</v>
      </c>
      <c r="BJ295" s="1" t="s">
        <v>67</v>
      </c>
      <c r="BK295" s="1" t="s">
        <v>440</v>
      </c>
      <c r="BL295" s="1">
        <v>0</v>
      </c>
      <c r="BM295" s="1" t="s">
        <v>1101</v>
      </c>
      <c r="BN295" s="1" t="s">
        <v>1466</v>
      </c>
      <c r="BP295" s="1">
        <v>21875112</v>
      </c>
      <c r="BR295" s="1" t="s">
        <v>69</v>
      </c>
      <c r="BS295" s="1" t="s">
        <v>1023</v>
      </c>
      <c r="BT295" s="1" t="s">
        <v>574</v>
      </c>
      <c r="BU295" s="1" t="s">
        <v>456</v>
      </c>
      <c r="BV295" s="1" t="s">
        <v>555</v>
      </c>
      <c r="BY295" s="1" t="s">
        <v>558</v>
      </c>
      <c r="BZ295" s="1">
        <v>23</v>
      </c>
      <c r="CJ295" s="1">
        <v>2.0435599999999998</v>
      </c>
      <c r="CK295" s="1">
        <v>2.0410599999999999</v>
      </c>
      <c r="CL295" s="1">
        <v>2.0460600000000002</v>
      </c>
      <c r="CR295" s="1">
        <v>4633.0903435423998</v>
      </c>
      <c r="CS295" s="1">
        <v>4116.3100000000004</v>
      </c>
      <c r="CT295" s="1">
        <v>5149.87</v>
      </c>
      <c r="CU295" s="1">
        <v>2.12E-2</v>
      </c>
      <c r="CZ295" s="1">
        <v>4633.09</v>
      </c>
      <c r="DA295" s="1">
        <v>4633.09</v>
      </c>
      <c r="DB295" s="1">
        <v>-9014.64</v>
      </c>
      <c r="DC295" s="1">
        <v>13647.73</v>
      </c>
      <c r="DD295" s="2">
        <v>1780.26</v>
      </c>
      <c r="DG295" s="1">
        <v>359.61</v>
      </c>
      <c r="DL295" s="1">
        <v>-21945389.649999999</v>
      </c>
      <c r="DM295" s="1">
        <v>-21884060.579999998</v>
      </c>
      <c r="DN295" s="1">
        <v>-61329.06</v>
      </c>
      <c r="DO295" s="1">
        <v>2.1027</v>
      </c>
      <c r="DP295" s="1" t="s">
        <v>1467</v>
      </c>
      <c r="DQ295" s="1" t="s">
        <v>1467</v>
      </c>
      <c r="DS295" s="1">
        <v>21950022.739999998</v>
      </c>
      <c r="DT295" s="1">
        <v>21875045.940000001</v>
      </c>
      <c r="DU295" s="1">
        <v>74976.800000000003</v>
      </c>
      <c r="DV295" s="1">
        <v>2.1251099999999998</v>
      </c>
      <c r="DW295" s="1" t="s">
        <v>1467</v>
      </c>
      <c r="DX295" s="1" t="s">
        <v>1467</v>
      </c>
      <c r="DY295" s="1" t="s">
        <v>1059</v>
      </c>
      <c r="DZ295" s="1">
        <v>-13557</v>
      </c>
      <c r="EA295" s="1">
        <v>22823</v>
      </c>
      <c r="ED295" s="1" t="s">
        <v>50</v>
      </c>
      <c r="EE295" s="1" t="s">
        <v>1547</v>
      </c>
      <c r="EF295" s="1" t="s">
        <v>53</v>
      </c>
      <c r="EG295" s="1" t="s">
        <v>1547</v>
      </c>
      <c r="EH295" s="1" t="s">
        <v>51</v>
      </c>
      <c r="EJ295" s="1" t="s">
        <v>55</v>
      </c>
      <c r="EL295" s="1" t="s">
        <v>57</v>
      </c>
    </row>
    <row r="296" spans="1:142" x14ac:dyDescent="0.2">
      <c r="A296" s="101">
        <v>89592788001</v>
      </c>
      <c r="B296" s="101">
        <v>89592788</v>
      </c>
      <c r="D296" s="1" t="s">
        <v>334</v>
      </c>
      <c r="E296" s="1" t="s">
        <v>44</v>
      </c>
      <c r="F296" s="1" t="s">
        <v>583</v>
      </c>
      <c r="AI296" s="1" t="s">
        <v>551</v>
      </c>
      <c r="AJ296" s="1" t="s">
        <v>44</v>
      </c>
      <c r="AK296" s="1" t="s">
        <v>584</v>
      </c>
      <c r="AL296" s="1" t="s">
        <v>1059</v>
      </c>
      <c r="AR296" s="1" t="s">
        <v>79</v>
      </c>
      <c r="AS296" s="1" t="s">
        <v>71</v>
      </c>
      <c r="AT296" s="1">
        <v>2.1692</v>
      </c>
      <c r="AV296" s="1" t="s">
        <v>1101</v>
      </c>
      <c r="AW296" s="1" t="s">
        <v>1543</v>
      </c>
      <c r="AX296" s="1">
        <v>31912433</v>
      </c>
      <c r="BA296" s="1" t="s">
        <v>69</v>
      </c>
      <c r="BB296" s="1" t="s">
        <v>574</v>
      </c>
      <c r="BC296" s="1" t="s">
        <v>456</v>
      </c>
      <c r="BD296" s="1" t="s">
        <v>555</v>
      </c>
      <c r="BG296" s="1" t="s">
        <v>558</v>
      </c>
      <c r="BH296" s="1">
        <v>27</v>
      </c>
      <c r="BI296" s="1" t="s">
        <v>431</v>
      </c>
      <c r="BJ296" s="1" t="s">
        <v>67</v>
      </c>
      <c r="BK296" s="1" t="s">
        <v>440</v>
      </c>
      <c r="BL296" s="1">
        <v>0</v>
      </c>
      <c r="BM296" s="1" t="s">
        <v>1101</v>
      </c>
      <c r="BN296" s="1" t="s">
        <v>1543</v>
      </c>
      <c r="BP296" s="1">
        <v>31912433</v>
      </c>
      <c r="BR296" s="1" t="s">
        <v>69</v>
      </c>
      <c r="BS296" s="1" t="s">
        <v>1023</v>
      </c>
      <c r="BT296" s="1" t="s">
        <v>574</v>
      </c>
      <c r="BU296" s="1" t="s">
        <v>456</v>
      </c>
      <c r="BV296" s="1" t="s">
        <v>555</v>
      </c>
      <c r="BY296" s="1" t="s">
        <v>558</v>
      </c>
      <c r="BZ296" s="1">
        <v>27</v>
      </c>
      <c r="CJ296" s="1">
        <v>2.08127</v>
      </c>
      <c r="CK296" s="1">
        <v>2.07877</v>
      </c>
      <c r="CL296" s="1">
        <v>2.0837699999999999</v>
      </c>
      <c r="CR296" s="1">
        <v>468.46457378190001</v>
      </c>
      <c r="CS296" s="1">
        <v>-163.15</v>
      </c>
      <c r="CT296" s="1">
        <v>1100.08</v>
      </c>
      <c r="CU296" s="1">
        <v>1.5E-3</v>
      </c>
      <c r="CZ296" s="1">
        <v>468.46</v>
      </c>
      <c r="DA296" s="1">
        <v>468.46</v>
      </c>
      <c r="DB296" s="1">
        <v>-16611.91</v>
      </c>
      <c r="DC296" s="1">
        <v>17080.38</v>
      </c>
      <c r="DD296" s="2">
        <v>2105.54</v>
      </c>
      <c r="DG296" s="1">
        <v>478.8</v>
      </c>
      <c r="DL296" s="1">
        <v>-32021316.68</v>
      </c>
      <c r="DM296" s="1">
        <v>-31929017.420000002</v>
      </c>
      <c r="DN296" s="1">
        <v>-92299.27</v>
      </c>
      <c r="DO296" s="1">
        <v>2.1692</v>
      </c>
      <c r="DP296" s="1" t="s">
        <v>1491</v>
      </c>
      <c r="DQ296" s="1" t="s">
        <v>1491</v>
      </c>
      <c r="DS296" s="1">
        <v>32021785.149999999</v>
      </c>
      <c r="DT296" s="1">
        <v>31912405.510000002</v>
      </c>
      <c r="DU296" s="1">
        <v>109379.64</v>
      </c>
      <c r="DV296" s="1">
        <v>2.1710500000000001</v>
      </c>
      <c r="DW296" s="1" t="s">
        <v>1491</v>
      </c>
      <c r="DX296" s="1" t="s">
        <v>1491</v>
      </c>
      <c r="DY296" s="1" t="s">
        <v>1059</v>
      </c>
      <c r="DZ296" s="1">
        <v>-21443</v>
      </c>
      <c r="EA296" s="1">
        <v>22379</v>
      </c>
      <c r="ED296" s="1" t="s">
        <v>50</v>
      </c>
      <c r="EE296" s="1" t="s">
        <v>1549</v>
      </c>
      <c r="EF296" s="1" t="s">
        <v>53</v>
      </c>
      <c r="EG296" s="1" t="s">
        <v>1549</v>
      </c>
      <c r="EH296" s="1" t="s">
        <v>51</v>
      </c>
      <c r="EJ296" s="1" t="s">
        <v>55</v>
      </c>
      <c r="EL296" s="1" t="s">
        <v>57</v>
      </c>
    </row>
    <row r="297" spans="1:142" x14ac:dyDescent="0.2">
      <c r="A297" s="101">
        <v>89738977001</v>
      </c>
      <c r="B297" s="101">
        <v>89738977</v>
      </c>
      <c r="D297" s="1" t="s">
        <v>220</v>
      </c>
      <c r="E297" s="1" t="s">
        <v>44</v>
      </c>
      <c r="F297" s="1" t="s">
        <v>583</v>
      </c>
      <c r="AI297" s="1" t="s">
        <v>551</v>
      </c>
      <c r="AJ297" s="1" t="s">
        <v>44</v>
      </c>
      <c r="AK297" s="1" t="s">
        <v>584</v>
      </c>
      <c r="AL297" s="1" t="s">
        <v>1060</v>
      </c>
      <c r="AR297" s="1" t="s">
        <v>79</v>
      </c>
      <c r="AS297" s="1" t="s">
        <v>71</v>
      </c>
      <c r="AT297" s="1">
        <v>2.0592000000000001</v>
      </c>
      <c r="AV297" s="1" t="s">
        <v>1143</v>
      </c>
      <c r="AW297" s="1" t="s">
        <v>1540</v>
      </c>
      <c r="AX297" s="1">
        <v>4882987</v>
      </c>
      <c r="BA297" s="1" t="s">
        <v>69</v>
      </c>
      <c r="BB297" s="1" t="s">
        <v>574</v>
      </c>
      <c r="BC297" s="1" t="s">
        <v>456</v>
      </c>
      <c r="BD297" s="1" t="s">
        <v>555</v>
      </c>
      <c r="BG297" s="1" t="s">
        <v>558</v>
      </c>
      <c r="BH297" s="1">
        <v>11</v>
      </c>
      <c r="BI297" s="1" t="s">
        <v>431</v>
      </c>
      <c r="BJ297" s="1" t="s">
        <v>67</v>
      </c>
      <c r="BK297" s="1" t="s">
        <v>440</v>
      </c>
      <c r="BL297" s="1">
        <v>0</v>
      </c>
      <c r="BM297" s="1" t="s">
        <v>1143</v>
      </c>
      <c r="BN297" s="1" t="s">
        <v>1540</v>
      </c>
      <c r="BP297" s="1">
        <v>4882987</v>
      </c>
      <c r="BR297" s="1" t="s">
        <v>69</v>
      </c>
      <c r="BS297" s="1" t="s">
        <v>1023</v>
      </c>
      <c r="BT297" s="1" t="s">
        <v>574</v>
      </c>
      <c r="BU297" s="1" t="s">
        <v>456</v>
      </c>
      <c r="BV297" s="1" t="s">
        <v>555</v>
      </c>
      <c r="BY297" s="1" t="s">
        <v>558</v>
      </c>
      <c r="BZ297" s="1">
        <v>11</v>
      </c>
      <c r="CJ297" s="1">
        <v>2.0323199999999999</v>
      </c>
      <c r="CK297" s="1">
        <v>2.02982</v>
      </c>
      <c r="CL297" s="1">
        <v>2.0348199999999999</v>
      </c>
      <c r="CR297" s="1">
        <v>2455.5152135305002</v>
      </c>
      <c r="CS297" s="1">
        <v>2334.2600000000002</v>
      </c>
      <c r="CT297" s="1">
        <v>2576.77</v>
      </c>
      <c r="CU297" s="1">
        <v>5.0299999999999997E-2</v>
      </c>
      <c r="CZ297" s="1">
        <v>2455.52</v>
      </c>
      <c r="DA297" s="1">
        <v>2455.52</v>
      </c>
      <c r="DB297" s="1">
        <v>-790.64</v>
      </c>
      <c r="DC297" s="1">
        <v>3246.16</v>
      </c>
      <c r="DD297" s="2">
        <v>422.29</v>
      </c>
      <c r="DG297" s="1">
        <v>79.69</v>
      </c>
      <c r="DL297" s="1">
        <v>-4896900.03</v>
      </c>
      <c r="DM297" s="1">
        <v>-4883772.5999999996</v>
      </c>
      <c r="DN297" s="1">
        <v>-13127.42</v>
      </c>
      <c r="DO297" s="1">
        <v>2.0592000000000001</v>
      </c>
      <c r="DP297" s="1" t="s">
        <v>1495</v>
      </c>
      <c r="DQ297" s="1" t="s">
        <v>1495</v>
      </c>
      <c r="DS297" s="1">
        <v>4899355.54</v>
      </c>
      <c r="DT297" s="1">
        <v>4882981.96</v>
      </c>
      <c r="DU297" s="1">
        <v>16373.58</v>
      </c>
      <c r="DV297" s="1">
        <v>2.1098300000000001</v>
      </c>
      <c r="DW297" s="1" t="s">
        <v>1495</v>
      </c>
      <c r="DX297" s="1" t="s">
        <v>1495</v>
      </c>
      <c r="DY297" s="1" t="s">
        <v>1060</v>
      </c>
      <c r="DZ297" s="1">
        <v>-1836</v>
      </c>
      <c r="EA297" s="1">
        <v>6747</v>
      </c>
      <c r="ED297" s="1" t="s">
        <v>50</v>
      </c>
      <c r="EE297" s="1" t="s">
        <v>1551</v>
      </c>
      <c r="EF297" s="1" t="s">
        <v>53</v>
      </c>
      <c r="EG297" s="1" t="s">
        <v>1551</v>
      </c>
      <c r="EH297" s="1" t="s">
        <v>51</v>
      </c>
      <c r="EJ297" s="1" t="s">
        <v>55</v>
      </c>
      <c r="EL297" s="1" t="s">
        <v>57</v>
      </c>
    </row>
    <row r="298" spans="1:142" x14ac:dyDescent="0.2">
      <c r="A298" s="101">
        <v>89738980001</v>
      </c>
      <c r="B298" s="101">
        <v>89738980</v>
      </c>
      <c r="D298" s="1" t="s">
        <v>75</v>
      </c>
      <c r="E298" s="1" t="s">
        <v>44</v>
      </c>
      <c r="F298" s="1" t="s">
        <v>583</v>
      </c>
      <c r="AI298" s="1" t="s">
        <v>551</v>
      </c>
      <c r="AJ298" s="1" t="s">
        <v>44</v>
      </c>
      <c r="AK298" s="1" t="s">
        <v>584</v>
      </c>
      <c r="AL298" s="1" t="s">
        <v>1101</v>
      </c>
      <c r="AR298" s="1" t="s">
        <v>79</v>
      </c>
      <c r="AS298" s="1" t="s">
        <v>71</v>
      </c>
      <c r="AT298" s="1">
        <v>2.0691999999999999</v>
      </c>
      <c r="AV298" s="1" t="s">
        <v>1297</v>
      </c>
      <c r="AW298" s="1" t="s">
        <v>944</v>
      </c>
      <c r="AX298" s="1">
        <v>4944250</v>
      </c>
      <c r="BA298" s="1" t="s">
        <v>69</v>
      </c>
      <c r="BB298" s="1" t="s">
        <v>574</v>
      </c>
      <c r="BC298" s="1" t="s">
        <v>456</v>
      </c>
      <c r="BD298" s="1" t="s">
        <v>555</v>
      </c>
      <c r="BG298" s="1" t="s">
        <v>558</v>
      </c>
      <c r="BH298" s="1">
        <v>9</v>
      </c>
      <c r="BI298" s="1" t="s">
        <v>431</v>
      </c>
      <c r="BJ298" s="1" t="s">
        <v>67</v>
      </c>
      <c r="BK298" s="1" t="s">
        <v>440</v>
      </c>
      <c r="BL298" s="1">
        <v>0</v>
      </c>
      <c r="BM298" s="1" t="s">
        <v>1297</v>
      </c>
      <c r="BN298" s="1" t="s">
        <v>944</v>
      </c>
      <c r="BP298" s="1">
        <v>4944250</v>
      </c>
      <c r="BR298" s="1" t="s">
        <v>69</v>
      </c>
      <c r="BS298" s="1" t="s">
        <v>69</v>
      </c>
      <c r="BT298" s="1" t="s">
        <v>574</v>
      </c>
      <c r="BU298" s="1" t="s">
        <v>456</v>
      </c>
      <c r="BV298" s="1" t="s">
        <v>555</v>
      </c>
      <c r="BY298" s="1" t="s">
        <v>558</v>
      </c>
      <c r="BZ298" s="1">
        <v>9</v>
      </c>
      <c r="CJ298" s="1">
        <v>2.01979</v>
      </c>
      <c r="CK298" s="1">
        <v>2.01729</v>
      </c>
      <c r="CL298" s="1">
        <v>2.0222899999999999</v>
      </c>
      <c r="CR298" s="1">
        <v>-977.22933776490004</v>
      </c>
      <c r="CS298" s="1">
        <v>-1099.8399999999999</v>
      </c>
      <c r="CT298" s="1">
        <v>-854.62</v>
      </c>
      <c r="CU298" s="1">
        <v>-1.9800000000000002E-2</v>
      </c>
      <c r="CZ298" s="1">
        <v>-977.23</v>
      </c>
      <c r="DA298" s="1">
        <v>-977.23</v>
      </c>
      <c r="DB298" s="1">
        <v>-2051.38</v>
      </c>
      <c r="DC298" s="1">
        <v>1074.1500000000001</v>
      </c>
      <c r="DD298" s="2">
        <v>461.59</v>
      </c>
      <c r="DG298" s="1">
        <v>80.64</v>
      </c>
      <c r="DL298" s="1">
        <v>-4952264.32</v>
      </c>
      <c r="DM298" s="1">
        <v>-4946296.45</v>
      </c>
      <c r="DN298" s="1">
        <v>-5967.87</v>
      </c>
      <c r="DO298" s="1">
        <v>2.0691999999999999</v>
      </c>
      <c r="DP298" s="1" t="s">
        <v>1557</v>
      </c>
      <c r="DQ298" s="1" t="s">
        <v>1557</v>
      </c>
      <c r="DS298" s="1">
        <v>4951287.09</v>
      </c>
      <c r="DT298" s="1">
        <v>4944245.07</v>
      </c>
      <c r="DU298" s="1">
        <v>7042.02</v>
      </c>
      <c r="DV298" s="1">
        <v>2.0492699999999999</v>
      </c>
      <c r="DW298" s="1" t="s">
        <v>1557</v>
      </c>
      <c r="DX298" s="1" t="s">
        <v>1557</v>
      </c>
      <c r="DY298" s="1" t="s">
        <v>1350</v>
      </c>
      <c r="DZ298" s="1">
        <v>-5639</v>
      </c>
      <c r="EA298" s="1">
        <v>3684</v>
      </c>
      <c r="ED298" s="1" t="s">
        <v>50</v>
      </c>
      <c r="EE298" s="1" t="s">
        <v>1558</v>
      </c>
      <c r="EF298" s="1" t="s">
        <v>53</v>
      </c>
      <c r="EG298" s="1" t="s">
        <v>1558</v>
      </c>
      <c r="EH298" s="1" t="s">
        <v>51</v>
      </c>
      <c r="EJ298" s="1" t="s">
        <v>55</v>
      </c>
      <c r="EL298" s="1" t="s">
        <v>57</v>
      </c>
    </row>
    <row r="299" spans="1:142" x14ac:dyDescent="0.2">
      <c r="A299" s="101">
        <v>89738982001</v>
      </c>
      <c r="B299" s="101">
        <v>89738982</v>
      </c>
      <c r="D299" s="1" t="s">
        <v>43</v>
      </c>
      <c r="E299" s="1" t="s">
        <v>44</v>
      </c>
      <c r="F299" s="1" t="s">
        <v>583</v>
      </c>
      <c r="AI299" s="1" t="s">
        <v>551</v>
      </c>
      <c r="AJ299" s="1" t="s">
        <v>44</v>
      </c>
      <c r="AK299" s="1" t="s">
        <v>584</v>
      </c>
      <c r="AL299" s="1" t="s">
        <v>1101</v>
      </c>
      <c r="AR299" s="1" t="s">
        <v>79</v>
      </c>
      <c r="AS299" s="1" t="s">
        <v>71</v>
      </c>
      <c r="AT299" s="1">
        <v>2.0002</v>
      </c>
      <c r="AV299" s="1" t="s">
        <v>1297</v>
      </c>
      <c r="AW299" s="1" t="s">
        <v>1559</v>
      </c>
      <c r="AX299" s="1">
        <v>3846640</v>
      </c>
      <c r="BA299" s="1" t="s">
        <v>69</v>
      </c>
      <c r="BB299" s="1" t="s">
        <v>574</v>
      </c>
      <c r="BC299" s="1" t="s">
        <v>456</v>
      </c>
      <c r="BD299" s="1" t="s">
        <v>555</v>
      </c>
      <c r="BG299" s="1" t="s">
        <v>558</v>
      </c>
      <c r="BH299" s="1">
        <v>4</v>
      </c>
      <c r="BI299" s="1" t="s">
        <v>431</v>
      </c>
      <c r="BJ299" s="1" t="s">
        <v>67</v>
      </c>
      <c r="BK299" s="1" t="s">
        <v>440</v>
      </c>
      <c r="BL299" s="1">
        <v>0</v>
      </c>
      <c r="BM299" s="1" t="s">
        <v>1297</v>
      </c>
      <c r="BN299" s="1" t="s">
        <v>1559</v>
      </c>
      <c r="BP299" s="1">
        <v>3846640</v>
      </c>
      <c r="BR299" s="1" t="s">
        <v>69</v>
      </c>
      <c r="BS299" s="1" t="s">
        <v>69</v>
      </c>
      <c r="BT299" s="1" t="s">
        <v>574</v>
      </c>
      <c r="BU299" s="1" t="s">
        <v>456</v>
      </c>
      <c r="BV299" s="1" t="s">
        <v>555</v>
      </c>
      <c r="BY299" s="1" t="s">
        <v>558</v>
      </c>
      <c r="BZ299" s="1">
        <v>4</v>
      </c>
      <c r="CJ299" s="1">
        <v>1.95953</v>
      </c>
      <c r="CK299" s="1">
        <v>1.95703</v>
      </c>
      <c r="CL299" s="1">
        <v>1.9620299999999999</v>
      </c>
      <c r="CR299" s="1">
        <v>757.23266830199998</v>
      </c>
      <c r="CS299" s="1">
        <v>608.74</v>
      </c>
      <c r="CT299" s="1">
        <v>905.73</v>
      </c>
      <c r="CU299" s="1">
        <v>1.9699999999999999E-2</v>
      </c>
      <c r="CZ299" s="1">
        <v>757.23</v>
      </c>
      <c r="DA299" s="1">
        <v>757.23</v>
      </c>
      <c r="DB299" s="1">
        <v>-2024.3</v>
      </c>
      <c r="DC299" s="1">
        <v>2781.53</v>
      </c>
      <c r="DD299" s="2">
        <v>545.13</v>
      </c>
      <c r="DG299" s="1">
        <v>59.11</v>
      </c>
      <c r="DL299" s="1">
        <v>-3858482.04</v>
      </c>
      <c r="DM299" s="1">
        <v>-3848650.75</v>
      </c>
      <c r="DN299" s="1">
        <v>-9831.2900000000009</v>
      </c>
      <c r="DO299" s="1">
        <v>2.0002</v>
      </c>
      <c r="DP299" s="1" t="s">
        <v>1241</v>
      </c>
      <c r="DQ299" s="1" t="s">
        <v>1560</v>
      </c>
      <c r="DS299" s="1">
        <v>3859239.27</v>
      </c>
      <c r="DT299" s="1">
        <v>3846626.45</v>
      </c>
      <c r="DU299" s="1">
        <v>12612.82</v>
      </c>
      <c r="DV299" s="1">
        <v>2.2601599999999999</v>
      </c>
      <c r="DW299" s="1" t="s">
        <v>1241</v>
      </c>
      <c r="DX299" s="1" t="s">
        <v>1560</v>
      </c>
      <c r="DY299" s="1" t="s">
        <v>1561</v>
      </c>
      <c r="DZ299" s="1">
        <v>-4584</v>
      </c>
      <c r="EA299" s="1">
        <v>6098</v>
      </c>
      <c r="ED299" s="1" t="s">
        <v>50</v>
      </c>
      <c r="EE299" s="1" t="s">
        <v>1562</v>
      </c>
      <c r="EF299" s="1" t="s">
        <v>53</v>
      </c>
      <c r="EG299" s="1" t="s">
        <v>1562</v>
      </c>
      <c r="EH299" s="1" t="s">
        <v>51</v>
      </c>
      <c r="EJ299" s="1" t="s">
        <v>55</v>
      </c>
      <c r="EL299" s="1" t="s">
        <v>57</v>
      </c>
    </row>
    <row r="300" spans="1:142" x14ac:dyDescent="0.2">
      <c r="A300" s="101">
        <v>89738990001</v>
      </c>
      <c r="B300" s="101">
        <v>89738990</v>
      </c>
      <c r="D300" s="1" t="s">
        <v>334</v>
      </c>
      <c r="E300" s="1" t="s">
        <v>44</v>
      </c>
      <c r="F300" s="1" t="s">
        <v>583</v>
      </c>
      <c r="AI300" s="1" t="s">
        <v>551</v>
      </c>
      <c r="AJ300" s="1" t="s">
        <v>44</v>
      </c>
      <c r="AK300" s="1" t="s">
        <v>584</v>
      </c>
      <c r="AL300" s="1" t="s">
        <v>1101</v>
      </c>
      <c r="AR300" s="1" t="s">
        <v>79</v>
      </c>
      <c r="AS300" s="1" t="s">
        <v>71</v>
      </c>
      <c r="AT300" s="1">
        <v>2.4577</v>
      </c>
      <c r="AV300" s="1" t="s">
        <v>1297</v>
      </c>
      <c r="AW300" s="1" t="s">
        <v>1419</v>
      </c>
      <c r="AX300" s="1">
        <v>14902003</v>
      </c>
      <c r="BA300" s="1" t="s">
        <v>69</v>
      </c>
      <c r="BB300" s="1" t="s">
        <v>574</v>
      </c>
      <c r="BC300" s="1" t="s">
        <v>456</v>
      </c>
      <c r="BD300" s="1" t="s">
        <v>555</v>
      </c>
      <c r="BG300" s="1" t="s">
        <v>558</v>
      </c>
      <c r="BH300" s="1">
        <v>13</v>
      </c>
      <c r="BI300" s="1" t="s">
        <v>431</v>
      </c>
      <c r="BJ300" s="1" t="s">
        <v>67</v>
      </c>
      <c r="BK300" s="1" t="s">
        <v>440</v>
      </c>
      <c r="BL300" s="1">
        <v>0</v>
      </c>
      <c r="BM300" s="1" t="s">
        <v>1297</v>
      </c>
      <c r="BN300" s="1" t="s">
        <v>1419</v>
      </c>
      <c r="BP300" s="1">
        <v>14902003</v>
      </c>
      <c r="BR300" s="1" t="s">
        <v>69</v>
      </c>
      <c r="BS300" s="1" t="s">
        <v>1023</v>
      </c>
      <c r="BT300" s="1" t="s">
        <v>574</v>
      </c>
      <c r="BU300" s="1" t="s">
        <v>456</v>
      </c>
      <c r="BV300" s="1" t="s">
        <v>555</v>
      </c>
      <c r="BY300" s="1" t="s">
        <v>558</v>
      </c>
      <c r="BZ300" s="1">
        <v>13</v>
      </c>
      <c r="CJ300" s="1">
        <v>2.3331300000000001</v>
      </c>
      <c r="CK300" s="1">
        <v>2.3306300000000002</v>
      </c>
      <c r="CL300" s="1">
        <v>2.3356300000000001</v>
      </c>
      <c r="CR300" s="1">
        <v>57.539056338400002</v>
      </c>
      <c r="CS300" s="1">
        <v>-34.299999999999997</v>
      </c>
      <c r="CT300" s="1">
        <v>149.38</v>
      </c>
      <c r="CU300" s="1">
        <v>4.0000000000000002E-4</v>
      </c>
      <c r="CZ300" s="1">
        <v>57.54</v>
      </c>
      <c r="DA300" s="1">
        <v>57.54</v>
      </c>
      <c r="DB300" s="1">
        <v>-2006.75</v>
      </c>
      <c r="DC300" s="1">
        <v>2064.29</v>
      </c>
      <c r="DD300" s="2">
        <v>173.96</v>
      </c>
      <c r="DG300" s="1">
        <v>71.239999999999995</v>
      </c>
      <c r="DL300" s="1">
        <v>-14950802.800000001</v>
      </c>
      <c r="DM300" s="1">
        <v>-14904004.630000001</v>
      </c>
      <c r="DN300" s="1">
        <v>-46798.17</v>
      </c>
      <c r="DO300" s="1">
        <v>2.4577</v>
      </c>
      <c r="DP300" s="1" t="s">
        <v>1022</v>
      </c>
      <c r="DQ300" s="1" t="s">
        <v>1022</v>
      </c>
      <c r="DS300" s="1">
        <v>14950860.34</v>
      </c>
      <c r="DT300" s="1">
        <v>14901997.880000001</v>
      </c>
      <c r="DU300" s="1">
        <v>48862.46</v>
      </c>
      <c r="DV300" s="1">
        <v>2.4592700000000001</v>
      </c>
      <c r="DW300" s="1" t="s">
        <v>1022</v>
      </c>
      <c r="DX300" s="1" t="s">
        <v>1022</v>
      </c>
      <c r="DY300" s="1" t="s">
        <v>1101</v>
      </c>
      <c r="DZ300" s="1">
        <v>-1972</v>
      </c>
      <c r="EA300" s="1">
        <v>2087</v>
      </c>
      <c r="ED300" s="1" t="s">
        <v>50</v>
      </c>
      <c r="EE300" s="1" t="s">
        <v>1563</v>
      </c>
      <c r="EF300" s="1" t="s">
        <v>53</v>
      </c>
      <c r="EG300" s="1" t="s">
        <v>1563</v>
      </c>
      <c r="EH300" s="1" t="s">
        <v>51</v>
      </c>
      <c r="EJ300" s="1" t="s">
        <v>55</v>
      </c>
      <c r="EL300" s="1" t="s">
        <v>57</v>
      </c>
    </row>
    <row r="301" spans="1:142" x14ac:dyDescent="0.2">
      <c r="A301" s="101">
        <v>89738991001</v>
      </c>
      <c r="B301" s="101">
        <v>89738991</v>
      </c>
      <c r="D301" s="1" t="s">
        <v>334</v>
      </c>
      <c r="E301" s="1" t="s">
        <v>44</v>
      </c>
      <c r="F301" s="1" t="s">
        <v>583</v>
      </c>
      <c r="AI301" s="1" t="s">
        <v>551</v>
      </c>
      <c r="AJ301" s="1" t="s">
        <v>44</v>
      </c>
      <c r="AK301" s="1" t="s">
        <v>584</v>
      </c>
      <c r="AL301" s="1" t="s">
        <v>1101</v>
      </c>
      <c r="AR301" s="1" t="s">
        <v>79</v>
      </c>
      <c r="AS301" s="1" t="s">
        <v>71</v>
      </c>
      <c r="AT301" s="1">
        <v>2.1652</v>
      </c>
      <c r="AV301" s="1" t="s">
        <v>1297</v>
      </c>
      <c r="AW301" s="1" t="s">
        <v>857</v>
      </c>
      <c r="AX301" s="1">
        <v>3358520</v>
      </c>
      <c r="BA301" s="1" t="s">
        <v>69</v>
      </c>
      <c r="BB301" s="1" t="s">
        <v>574</v>
      </c>
      <c r="BC301" s="1" t="s">
        <v>456</v>
      </c>
      <c r="BD301" s="1" t="s">
        <v>555</v>
      </c>
      <c r="BG301" s="1" t="s">
        <v>558</v>
      </c>
      <c r="BH301" s="1">
        <v>17</v>
      </c>
      <c r="BI301" s="1" t="s">
        <v>431</v>
      </c>
      <c r="BJ301" s="1" t="s">
        <v>67</v>
      </c>
      <c r="BK301" s="1" t="s">
        <v>440</v>
      </c>
      <c r="BL301" s="1">
        <v>0</v>
      </c>
      <c r="BM301" s="1" t="s">
        <v>1297</v>
      </c>
      <c r="BN301" s="1" t="s">
        <v>857</v>
      </c>
      <c r="BP301" s="1">
        <v>3358520</v>
      </c>
      <c r="BR301" s="1" t="s">
        <v>69</v>
      </c>
      <c r="BS301" s="1" t="s">
        <v>1023</v>
      </c>
      <c r="BT301" s="1" t="s">
        <v>574</v>
      </c>
      <c r="BU301" s="1" t="s">
        <v>456</v>
      </c>
      <c r="BV301" s="1" t="s">
        <v>555</v>
      </c>
      <c r="BY301" s="1" t="s">
        <v>558</v>
      </c>
      <c r="BZ301" s="1">
        <v>17</v>
      </c>
      <c r="CJ301" s="1">
        <v>2.0889700000000002</v>
      </c>
      <c r="CK301" s="1">
        <v>2.0864699999999998</v>
      </c>
      <c r="CL301" s="1">
        <v>2.0914700000000002</v>
      </c>
      <c r="CR301" s="1">
        <v>288.76109812499999</v>
      </c>
      <c r="CS301" s="1">
        <v>225.02</v>
      </c>
      <c r="CT301" s="1">
        <v>352.51</v>
      </c>
      <c r="CU301" s="1">
        <v>8.6E-3</v>
      </c>
      <c r="CZ301" s="1">
        <v>288.76</v>
      </c>
      <c r="DA301" s="1">
        <v>288.76</v>
      </c>
      <c r="DB301" s="1">
        <v>-1431.72</v>
      </c>
      <c r="DC301" s="1">
        <v>1720.48</v>
      </c>
      <c r="DD301" s="2">
        <v>212.42</v>
      </c>
      <c r="DG301" s="1">
        <v>49.98</v>
      </c>
      <c r="DL301" s="1">
        <v>-3369240.77</v>
      </c>
      <c r="DM301" s="1">
        <v>-3359948.94</v>
      </c>
      <c r="DN301" s="1">
        <v>-9291.83</v>
      </c>
      <c r="DO301" s="1">
        <v>2.1652</v>
      </c>
      <c r="DP301" s="1" t="s">
        <v>983</v>
      </c>
      <c r="DQ301" s="1" t="s">
        <v>983</v>
      </c>
      <c r="DS301" s="1">
        <v>3369529.53</v>
      </c>
      <c r="DT301" s="1">
        <v>3358517.22</v>
      </c>
      <c r="DU301" s="1">
        <v>11012.31</v>
      </c>
      <c r="DV301" s="1">
        <v>2.17652</v>
      </c>
      <c r="DW301" s="1" t="s">
        <v>983</v>
      </c>
      <c r="DX301" s="1" t="s">
        <v>983</v>
      </c>
      <c r="DY301" s="1" t="s">
        <v>1101</v>
      </c>
      <c r="DZ301" s="1">
        <v>-1930</v>
      </c>
      <c r="EA301" s="1">
        <v>2507</v>
      </c>
      <c r="ED301" s="1" t="s">
        <v>50</v>
      </c>
      <c r="EE301" s="1" t="s">
        <v>1564</v>
      </c>
      <c r="EF301" s="1" t="s">
        <v>53</v>
      </c>
      <c r="EG301" s="1" t="s">
        <v>1564</v>
      </c>
      <c r="EH301" s="1" t="s">
        <v>51</v>
      </c>
      <c r="EJ301" s="1" t="s">
        <v>55</v>
      </c>
      <c r="EL301" s="1" t="s">
        <v>57</v>
      </c>
    </row>
    <row r="302" spans="1:142" x14ac:dyDescent="0.2">
      <c r="A302" s="101">
        <v>89805969001</v>
      </c>
      <c r="B302" s="101">
        <v>89805969</v>
      </c>
      <c r="D302" s="1" t="s">
        <v>63</v>
      </c>
      <c r="E302" s="1" t="s">
        <v>44</v>
      </c>
      <c r="F302" s="1" t="s">
        <v>583</v>
      </c>
      <c r="AI302" s="1" t="s">
        <v>551</v>
      </c>
      <c r="AJ302" s="1" t="s">
        <v>44</v>
      </c>
      <c r="AK302" s="1" t="s">
        <v>584</v>
      </c>
      <c r="AL302" s="1" t="s">
        <v>1143</v>
      </c>
      <c r="AR302" s="1" t="s">
        <v>79</v>
      </c>
      <c r="AS302" s="1" t="s">
        <v>71</v>
      </c>
      <c r="AT302" s="1">
        <v>2.3712</v>
      </c>
      <c r="AV302" s="1" t="s">
        <v>1099</v>
      </c>
      <c r="AW302" s="1" t="s">
        <v>1482</v>
      </c>
      <c r="AX302" s="1">
        <v>1194168</v>
      </c>
      <c r="BA302" s="1" t="s">
        <v>69</v>
      </c>
      <c r="BB302" s="1" t="s">
        <v>574</v>
      </c>
      <c r="BC302" s="1" t="s">
        <v>456</v>
      </c>
      <c r="BD302" s="1" t="s">
        <v>555</v>
      </c>
      <c r="BG302" s="1" t="s">
        <v>558</v>
      </c>
      <c r="BH302" s="1">
        <v>27</v>
      </c>
      <c r="BI302" s="1" t="s">
        <v>431</v>
      </c>
      <c r="BJ302" s="1" t="s">
        <v>67</v>
      </c>
      <c r="BK302" s="1" t="s">
        <v>440</v>
      </c>
      <c r="BL302" s="1">
        <v>0</v>
      </c>
      <c r="BM302" s="1" t="s">
        <v>1099</v>
      </c>
      <c r="BN302" s="1" t="s">
        <v>1482</v>
      </c>
      <c r="BP302" s="1">
        <v>1194168</v>
      </c>
      <c r="BR302" s="1" t="s">
        <v>69</v>
      </c>
      <c r="BS302" s="1" t="s">
        <v>1023</v>
      </c>
      <c r="BT302" s="1" t="s">
        <v>574</v>
      </c>
      <c r="BU302" s="1" t="s">
        <v>456</v>
      </c>
      <c r="BV302" s="1" t="s">
        <v>555</v>
      </c>
      <c r="BY302" s="1" t="s">
        <v>558</v>
      </c>
      <c r="BZ302" s="1">
        <v>27</v>
      </c>
      <c r="CJ302" s="1">
        <v>2.2538</v>
      </c>
      <c r="CK302" s="1">
        <v>2.2513000000000001</v>
      </c>
      <c r="CL302" s="1">
        <v>2.2563</v>
      </c>
      <c r="CR302" s="1">
        <v>-22.489141632100001</v>
      </c>
      <c r="CS302" s="1">
        <v>-33.46</v>
      </c>
      <c r="CT302" s="1">
        <v>-11.52</v>
      </c>
      <c r="CU302" s="1">
        <v>-1.9E-3</v>
      </c>
      <c r="CZ302" s="1">
        <v>-22.49</v>
      </c>
      <c r="DA302" s="1">
        <v>-22.49</v>
      </c>
      <c r="DB302" s="1">
        <v>-309.8</v>
      </c>
      <c r="DC302" s="1">
        <v>287.31</v>
      </c>
      <c r="DD302" s="2">
        <v>28.79</v>
      </c>
      <c r="DG302" s="1">
        <v>11.42</v>
      </c>
      <c r="DL302" s="1">
        <v>-1198015.57</v>
      </c>
      <c r="DM302" s="1">
        <v>-1194476.06</v>
      </c>
      <c r="DN302" s="1">
        <v>-3539.51</v>
      </c>
      <c r="DO302" s="1">
        <v>2.3712</v>
      </c>
      <c r="DP302" s="1" t="s">
        <v>1404</v>
      </c>
      <c r="DQ302" s="1" t="s">
        <v>1404</v>
      </c>
      <c r="DS302" s="1">
        <v>1197993.08</v>
      </c>
      <c r="DT302" s="1">
        <v>1194166.25</v>
      </c>
      <c r="DU302" s="1">
        <v>3826.83</v>
      </c>
      <c r="DV302" s="1">
        <v>2.3660700000000001</v>
      </c>
      <c r="DW302" s="1" t="s">
        <v>1404</v>
      </c>
      <c r="DX302" s="1" t="s">
        <v>1404</v>
      </c>
      <c r="DY302" s="1" t="s">
        <v>1143</v>
      </c>
      <c r="DZ302" s="1">
        <v>-347</v>
      </c>
      <c r="EA302" s="1">
        <v>302</v>
      </c>
      <c r="ED302" s="1" t="s">
        <v>50</v>
      </c>
      <c r="EE302" s="1" t="s">
        <v>1483</v>
      </c>
      <c r="EF302" s="1" t="s">
        <v>53</v>
      </c>
      <c r="EG302" s="1" t="s">
        <v>1483</v>
      </c>
      <c r="EH302" s="1" t="s">
        <v>51</v>
      </c>
      <c r="EJ302" s="1" t="s">
        <v>55</v>
      </c>
      <c r="EL302" s="1" t="s">
        <v>57</v>
      </c>
    </row>
    <row r="303" spans="1:142" x14ac:dyDescent="0.2">
      <c r="A303" s="101">
        <v>89806192001</v>
      </c>
      <c r="B303" s="101">
        <v>89806192</v>
      </c>
      <c r="D303" s="1" t="s">
        <v>334</v>
      </c>
      <c r="E303" s="1" t="s">
        <v>44</v>
      </c>
      <c r="F303" s="1" t="s">
        <v>583</v>
      </c>
      <c r="AI303" s="1" t="s">
        <v>551</v>
      </c>
      <c r="AJ303" s="1" t="s">
        <v>44</v>
      </c>
      <c r="AK303" s="1" t="s">
        <v>584</v>
      </c>
      <c r="AL303" s="1" t="s">
        <v>1143</v>
      </c>
      <c r="AR303" s="1" t="s">
        <v>79</v>
      </c>
      <c r="AS303" s="1" t="s">
        <v>71</v>
      </c>
      <c r="AT303" s="1">
        <v>2.1867000000000001</v>
      </c>
      <c r="AV303" s="1" t="s">
        <v>1099</v>
      </c>
      <c r="AW303" s="1" t="s">
        <v>1485</v>
      </c>
      <c r="AX303" s="1">
        <v>127586019</v>
      </c>
      <c r="BA303" s="1" t="s">
        <v>69</v>
      </c>
      <c r="BB303" s="1" t="s">
        <v>574</v>
      </c>
      <c r="BC303" s="1" t="s">
        <v>456</v>
      </c>
      <c r="BD303" s="1" t="s">
        <v>555</v>
      </c>
      <c r="BG303" s="1" t="s">
        <v>558</v>
      </c>
      <c r="BH303" s="1">
        <v>14</v>
      </c>
      <c r="BI303" s="1" t="s">
        <v>431</v>
      </c>
      <c r="BJ303" s="1" t="s">
        <v>67</v>
      </c>
      <c r="BK303" s="1" t="s">
        <v>440</v>
      </c>
      <c r="BL303" s="1">
        <v>0</v>
      </c>
      <c r="BM303" s="1" t="s">
        <v>1099</v>
      </c>
      <c r="BN303" s="1" t="s">
        <v>1485</v>
      </c>
      <c r="BP303" s="1">
        <v>127586019</v>
      </c>
      <c r="BR303" s="1" t="s">
        <v>69</v>
      </c>
      <c r="BS303" s="1" t="s">
        <v>1023</v>
      </c>
      <c r="BT303" s="1" t="s">
        <v>574</v>
      </c>
      <c r="BU303" s="1" t="s">
        <v>456</v>
      </c>
      <c r="BV303" s="1" t="s">
        <v>555</v>
      </c>
      <c r="BY303" s="1" t="s">
        <v>558</v>
      </c>
      <c r="BZ303" s="1">
        <v>14</v>
      </c>
      <c r="CJ303" s="1">
        <v>2.0913900000000001</v>
      </c>
      <c r="CK303" s="1">
        <v>2.0888900000000001</v>
      </c>
      <c r="CL303" s="1">
        <v>2.09389</v>
      </c>
      <c r="CR303" s="1">
        <v>-8825.4975795150003</v>
      </c>
      <c r="CS303" s="1">
        <v>-11212.28</v>
      </c>
      <c r="CT303" s="1">
        <v>-6438.72</v>
      </c>
      <c r="CU303" s="1">
        <v>-6.8999999999999999E-3</v>
      </c>
      <c r="CZ303" s="1">
        <v>-8825.5</v>
      </c>
      <c r="DA303" s="1">
        <v>-8825.5</v>
      </c>
      <c r="DB303" s="1">
        <v>-68946.960000000006</v>
      </c>
      <c r="DC303" s="1">
        <v>60121.46</v>
      </c>
      <c r="DD303" s="2">
        <v>7965.47</v>
      </c>
      <c r="DG303" s="1">
        <v>1892.92</v>
      </c>
      <c r="DL303" s="1">
        <v>-128003384.70999999</v>
      </c>
      <c r="DM303" s="1">
        <v>-127654644.28</v>
      </c>
      <c r="DN303" s="1">
        <v>-348740.43</v>
      </c>
      <c r="DO303" s="1">
        <v>2.1867000000000001</v>
      </c>
      <c r="DP303" s="1" t="s">
        <v>857</v>
      </c>
      <c r="DQ303" s="1" t="s">
        <v>857</v>
      </c>
      <c r="DS303" s="1">
        <v>127994559.20999999</v>
      </c>
      <c r="DT303" s="1">
        <v>127585697.31999999</v>
      </c>
      <c r="DU303" s="1">
        <v>408861.9</v>
      </c>
      <c r="DV303" s="1">
        <v>2.17746</v>
      </c>
      <c r="DW303" s="1" t="s">
        <v>857</v>
      </c>
      <c r="DX303" s="1" t="s">
        <v>857</v>
      </c>
      <c r="DY303" s="1" t="s">
        <v>1143</v>
      </c>
      <c r="DZ303" s="1">
        <v>-92120</v>
      </c>
      <c r="EA303" s="1">
        <v>74469</v>
      </c>
      <c r="ED303" s="1" t="s">
        <v>50</v>
      </c>
      <c r="EE303" s="1" t="s">
        <v>1486</v>
      </c>
      <c r="EF303" s="1" t="s">
        <v>53</v>
      </c>
      <c r="EG303" s="1" t="s">
        <v>1486</v>
      </c>
      <c r="EH303" s="1" t="s">
        <v>51</v>
      </c>
      <c r="EJ303" s="1" t="s">
        <v>55</v>
      </c>
      <c r="EL303" s="1" t="s">
        <v>57</v>
      </c>
    </row>
    <row r="304" spans="1:142" x14ac:dyDescent="0.2">
      <c r="A304" s="101">
        <v>89806344001</v>
      </c>
      <c r="B304" s="101">
        <v>89806344</v>
      </c>
      <c r="D304" s="1" t="s">
        <v>63</v>
      </c>
      <c r="E304" s="1" t="s">
        <v>44</v>
      </c>
      <c r="F304" s="1" t="s">
        <v>583</v>
      </c>
      <c r="AI304" s="1" t="s">
        <v>551</v>
      </c>
      <c r="AJ304" s="1" t="s">
        <v>44</v>
      </c>
      <c r="AK304" s="1" t="s">
        <v>584</v>
      </c>
      <c r="AL304" s="1" t="s">
        <v>1143</v>
      </c>
      <c r="AR304" s="1" t="s">
        <v>79</v>
      </c>
      <c r="AS304" s="1" t="s">
        <v>71</v>
      </c>
      <c r="AT304" s="1">
        <v>2.1861999999999999</v>
      </c>
      <c r="AV304" s="1" t="s">
        <v>1099</v>
      </c>
      <c r="AW304" s="1" t="s">
        <v>967</v>
      </c>
      <c r="AX304" s="1">
        <v>15234390</v>
      </c>
      <c r="BA304" s="1" t="s">
        <v>69</v>
      </c>
      <c r="BB304" s="1" t="s">
        <v>574</v>
      </c>
      <c r="BC304" s="1" t="s">
        <v>456</v>
      </c>
      <c r="BD304" s="1" t="s">
        <v>555</v>
      </c>
      <c r="BG304" s="1" t="s">
        <v>558</v>
      </c>
      <c r="BH304" s="1">
        <v>1</v>
      </c>
      <c r="BI304" s="1" t="s">
        <v>431</v>
      </c>
      <c r="BJ304" s="1" t="s">
        <v>67</v>
      </c>
      <c r="BK304" s="1" t="s">
        <v>440</v>
      </c>
      <c r="BL304" s="1">
        <v>0</v>
      </c>
      <c r="BM304" s="1" t="s">
        <v>1099</v>
      </c>
      <c r="BN304" s="1" t="s">
        <v>967</v>
      </c>
      <c r="BP304" s="1">
        <v>15234390</v>
      </c>
      <c r="BR304" s="1" t="s">
        <v>69</v>
      </c>
      <c r="BS304" s="1" t="s">
        <v>1023</v>
      </c>
      <c r="BT304" s="1" t="s">
        <v>574</v>
      </c>
      <c r="BU304" s="1" t="s">
        <v>456</v>
      </c>
      <c r="BV304" s="1" t="s">
        <v>555</v>
      </c>
      <c r="BY304" s="1" t="s">
        <v>558</v>
      </c>
      <c r="BZ304" s="1">
        <v>1</v>
      </c>
      <c r="CJ304" s="1">
        <v>2.0783200000000002</v>
      </c>
      <c r="CK304" s="1">
        <v>2.0758200000000002</v>
      </c>
      <c r="CL304" s="1">
        <v>2.0808200000000001</v>
      </c>
      <c r="CR304" s="1">
        <v>-2947.6415572873998</v>
      </c>
      <c r="CS304" s="1">
        <v>-3250.14</v>
      </c>
      <c r="CT304" s="1">
        <v>-2645.14</v>
      </c>
      <c r="CU304" s="1">
        <v>-1.9300000000000001E-2</v>
      </c>
      <c r="CZ304" s="1">
        <v>-2947.64</v>
      </c>
      <c r="DA304" s="1">
        <v>-2947.64</v>
      </c>
      <c r="DB304" s="1">
        <v>-10135.959999999999</v>
      </c>
      <c r="DC304" s="1">
        <v>7188.32</v>
      </c>
      <c r="DD304" s="2">
        <v>1021.67</v>
      </c>
      <c r="DG304" s="1">
        <v>229.14</v>
      </c>
      <c r="DL304" s="1">
        <v>-15286144.640000001</v>
      </c>
      <c r="DM304" s="1">
        <v>-15244512.859999999</v>
      </c>
      <c r="DN304" s="1">
        <v>-41631.78</v>
      </c>
      <c r="DO304" s="1">
        <v>2.1861999999999999</v>
      </c>
      <c r="DP304" s="1" t="s">
        <v>968</v>
      </c>
      <c r="DQ304" s="1" t="s">
        <v>968</v>
      </c>
      <c r="DS304" s="1">
        <v>15283197</v>
      </c>
      <c r="DT304" s="1">
        <v>15234376.9</v>
      </c>
      <c r="DU304" s="1">
        <v>48820.1</v>
      </c>
      <c r="DV304" s="1">
        <v>2.1618400000000002</v>
      </c>
      <c r="DW304" s="1" t="s">
        <v>968</v>
      </c>
      <c r="DX304" s="1" t="s">
        <v>968</v>
      </c>
      <c r="DY304" s="1" t="s">
        <v>1143</v>
      </c>
      <c r="DZ304" s="1">
        <v>-13564</v>
      </c>
      <c r="EA304" s="1">
        <v>7669</v>
      </c>
      <c r="ED304" s="1" t="s">
        <v>50</v>
      </c>
      <c r="EE304" s="1" t="s">
        <v>1488</v>
      </c>
      <c r="EF304" s="1" t="s">
        <v>53</v>
      </c>
      <c r="EG304" s="1" t="s">
        <v>1488</v>
      </c>
      <c r="EH304" s="1" t="s">
        <v>51</v>
      </c>
      <c r="EJ304" s="1" t="s">
        <v>55</v>
      </c>
      <c r="EL304" s="1" t="s">
        <v>57</v>
      </c>
    </row>
    <row r="305" spans="1:142" x14ac:dyDescent="0.2">
      <c r="A305" s="101">
        <v>90304041001</v>
      </c>
      <c r="B305" s="101">
        <v>90304041</v>
      </c>
      <c r="D305" s="1" t="s">
        <v>334</v>
      </c>
      <c r="E305" s="1" t="s">
        <v>44</v>
      </c>
      <c r="F305" s="1" t="s">
        <v>583</v>
      </c>
      <c r="AI305" s="1" t="s">
        <v>551</v>
      </c>
      <c r="AJ305" s="1" t="s">
        <v>44</v>
      </c>
      <c r="AK305" s="1" t="s">
        <v>584</v>
      </c>
      <c r="AL305" s="1" t="s">
        <v>1028</v>
      </c>
      <c r="AR305" s="1" t="s">
        <v>79</v>
      </c>
      <c r="AS305" s="1" t="s">
        <v>71</v>
      </c>
      <c r="AT305" s="1">
        <v>2.1337000000000002</v>
      </c>
      <c r="AV305" s="1" t="s">
        <v>1200</v>
      </c>
      <c r="AW305" s="1" t="s">
        <v>1505</v>
      </c>
      <c r="AX305" s="1">
        <v>117076090</v>
      </c>
      <c r="BA305" s="1" t="s">
        <v>69</v>
      </c>
      <c r="BB305" s="1" t="s">
        <v>574</v>
      </c>
      <c r="BC305" s="1" t="s">
        <v>456</v>
      </c>
      <c r="BD305" s="1" t="s">
        <v>555</v>
      </c>
      <c r="BG305" s="1" t="s">
        <v>558</v>
      </c>
      <c r="BH305" s="1">
        <v>20</v>
      </c>
      <c r="BI305" s="1" t="s">
        <v>431</v>
      </c>
      <c r="BJ305" s="1" t="s">
        <v>67</v>
      </c>
      <c r="BK305" s="1" t="s">
        <v>440</v>
      </c>
      <c r="BL305" s="1">
        <v>0</v>
      </c>
      <c r="BM305" s="1" t="s">
        <v>1200</v>
      </c>
      <c r="BN305" s="1" t="s">
        <v>1505</v>
      </c>
      <c r="BP305" s="1">
        <v>117076090</v>
      </c>
      <c r="BR305" s="1" t="s">
        <v>69</v>
      </c>
      <c r="BS305" s="1" t="s">
        <v>1023</v>
      </c>
      <c r="BT305" s="1" t="s">
        <v>574</v>
      </c>
      <c r="BU305" s="1" t="s">
        <v>456</v>
      </c>
      <c r="BV305" s="1" t="s">
        <v>555</v>
      </c>
      <c r="BY305" s="1" t="s">
        <v>558</v>
      </c>
      <c r="BZ305" s="1">
        <v>20</v>
      </c>
      <c r="CJ305" s="1">
        <v>2.02772</v>
      </c>
      <c r="CK305" s="1">
        <v>2.02522</v>
      </c>
      <c r="CL305" s="1">
        <v>2.0302199999999999</v>
      </c>
      <c r="CR305" s="1">
        <v>-52155.913420528203</v>
      </c>
      <c r="CS305" s="1">
        <v>-55061.46</v>
      </c>
      <c r="CT305" s="1">
        <v>-49250.36</v>
      </c>
      <c r="CU305" s="1">
        <v>-4.4499999999999998E-2</v>
      </c>
      <c r="CZ305" s="1">
        <v>-52155.91</v>
      </c>
      <c r="DA305" s="1">
        <v>-52155.91</v>
      </c>
      <c r="DB305" s="1">
        <v>-102792.18</v>
      </c>
      <c r="DC305" s="1">
        <v>50636.27</v>
      </c>
      <c r="DD305" s="2">
        <v>10410.549999999999</v>
      </c>
      <c r="DG305" s="1">
        <v>1888.99</v>
      </c>
      <c r="DL305" s="1">
        <v>-117442198.11</v>
      </c>
      <c r="DM305" s="1">
        <v>-117178514.78</v>
      </c>
      <c r="DN305" s="1">
        <v>-263683.32</v>
      </c>
      <c r="DO305" s="1">
        <v>2.1337000000000002</v>
      </c>
      <c r="DP305" s="1" t="s">
        <v>1506</v>
      </c>
      <c r="DQ305" s="1" t="s">
        <v>1506</v>
      </c>
      <c r="DS305" s="1">
        <v>117390042.19</v>
      </c>
      <c r="DT305" s="1">
        <v>117075722.61</v>
      </c>
      <c r="DU305" s="1">
        <v>314319.59000000003</v>
      </c>
      <c r="DV305" s="1">
        <v>2.0888200000000001</v>
      </c>
      <c r="DW305" s="1" t="s">
        <v>1506</v>
      </c>
      <c r="DX305" s="1" t="s">
        <v>1506</v>
      </c>
      <c r="DY305" s="1" t="s">
        <v>1028</v>
      </c>
      <c r="DZ305" s="1">
        <v>-157704</v>
      </c>
      <c r="EA305" s="1">
        <v>53392</v>
      </c>
      <c r="ED305" s="1" t="s">
        <v>50</v>
      </c>
      <c r="EE305" s="1" t="s">
        <v>1507</v>
      </c>
      <c r="EF305" s="1" t="s">
        <v>53</v>
      </c>
      <c r="EG305" s="1" t="s">
        <v>1507</v>
      </c>
      <c r="EH305" s="1" t="s">
        <v>51</v>
      </c>
      <c r="EJ305" s="1" t="s">
        <v>55</v>
      </c>
      <c r="EL305" s="1" t="s">
        <v>57</v>
      </c>
    </row>
    <row r="306" spans="1:142" x14ac:dyDescent="0.2">
      <c r="A306" s="101">
        <v>89885577001</v>
      </c>
      <c r="B306" s="101">
        <v>89885577</v>
      </c>
      <c r="D306" s="1" t="s">
        <v>334</v>
      </c>
      <c r="E306" s="1" t="s">
        <v>44</v>
      </c>
      <c r="F306" s="1" t="s">
        <v>583</v>
      </c>
      <c r="AI306" s="1" t="s">
        <v>551</v>
      </c>
      <c r="AJ306" s="1" t="s">
        <v>44</v>
      </c>
      <c r="AK306" s="1" t="s">
        <v>584</v>
      </c>
      <c r="AL306" s="1" t="s">
        <v>1297</v>
      </c>
      <c r="AR306" s="1" t="s">
        <v>79</v>
      </c>
      <c r="AS306" s="1" t="s">
        <v>71</v>
      </c>
      <c r="AT306" s="1">
        <v>2.1352000000000002</v>
      </c>
      <c r="AV306" s="1" t="s">
        <v>243</v>
      </c>
      <c r="AW306" s="1" t="s">
        <v>1100</v>
      </c>
      <c r="AX306" s="1">
        <v>97544163</v>
      </c>
      <c r="BA306" s="1" t="s">
        <v>69</v>
      </c>
      <c r="BB306" s="1" t="s">
        <v>574</v>
      </c>
      <c r="BC306" s="1" t="s">
        <v>456</v>
      </c>
      <c r="BD306" s="1" t="s">
        <v>555</v>
      </c>
      <c r="BG306" s="1" t="s">
        <v>558</v>
      </c>
      <c r="BH306" s="1">
        <v>16</v>
      </c>
      <c r="BI306" s="1" t="s">
        <v>431</v>
      </c>
      <c r="BJ306" s="1" t="s">
        <v>67</v>
      </c>
      <c r="BK306" s="1" t="s">
        <v>440</v>
      </c>
      <c r="BL306" s="1">
        <v>0</v>
      </c>
      <c r="BM306" s="1" t="s">
        <v>243</v>
      </c>
      <c r="BN306" s="1" t="s">
        <v>1100</v>
      </c>
      <c r="BP306" s="1">
        <v>97544163</v>
      </c>
      <c r="BR306" s="1" t="s">
        <v>69</v>
      </c>
      <c r="BS306" s="1" t="s">
        <v>1023</v>
      </c>
      <c r="BT306" s="1" t="s">
        <v>574</v>
      </c>
      <c r="BU306" s="1" t="s">
        <v>456</v>
      </c>
      <c r="BV306" s="1" t="s">
        <v>555</v>
      </c>
      <c r="BY306" s="1" t="s">
        <v>558</v>
      </c>
      <c r="BZ306" s="1">
        <v>16</v>
      </c>
      <c r="CJ306" s="1">
        <v>2.0297200000000002</v>
      </c>
      <c r="CK306" s="1">
        <v>2.0272199999999998</v>
      </c>
      <c r="CL306" s="1">
        <v>2.0322200000000001</v>
      </c>
      <c r="CR306" s="1">
        <v>-35898.227260395899</v>
      </c>
      <c r="CS306" s="1">
        <v>-38320.17</v>
      </c>
      <c r="CT306" s="1">
        <v>-33476.28</v>
      </c>
      <c r="CU306" s="1">
        <v>-3.6799999999999999E-2</v>
      </c>
      <c r="CZ306" s="1">
        <v>-35898.230000000003</v>
      </c>
      <c r="DA306" s="1">
        <v>-35898.230000000003</v>
      </c>
      <c r="DB306" s="1">
        <v>-83763.360000000001</v>
      </c>
      <c r="DC306" s="1">
        <v>47865.13</v>
      </c>
      <c r="DD306" s="2">
        <v>8572.86</v>
      </c>
      <c r="DG306" s="1">
        <v>1579.15</v>
      </c>
      <c r="DL306" s="1">
        <v>-97886499.590000004</v>
      </c>
      <c r="DM306" s="1">
        <v>-97643510.569999993</v>
      </c>
      <c r="DN306" s="1">
        <v>-242989.01</v>
      </c>
      <c r="DO306" s="1">
        <v>2.1352000000000002</v>
      </c>
      <c r="DP306" s="1" t="s">
        <v>1423</v>
      </c>
      <c r="DQ306" s="1" t="s">
        <v>1423</v>
      </c>
      <c r="DS306" s="1">
        <v>97850601.359999999</v>
      </c>
      <c r="DT306" s="1">
        <v>97559747.209999993</v>
      </c>
      <c r="DU306" s="1">
        <v>290854.15000000002</v>
      </c>
      <c r="DV306" s="1">
        <v>2.0981399999999999</v>
      </c>
      <c r="DW306" s="1" t="s">
        <v>1423</v>
      </c>
      <c r="DX306" s="1" t="s">
        <v>1423</v>
      </c>
      <c r="DY306" s="1" t="s">
        <v>1297</v>
      </c>
      <c r="DZ306" s="1">
        <v>-122901</v>
      </c>
      <c r="EA306" s="1">
        <v>51104</v>
      </c>
      <c r="ED306" s="1" t="s">
        <v>50</v>
      </c>
      <c r="EE306" s="1" t="s">
        <v>1490</v>
      </c>
      <c r="EF306" s="1" t="s">
        <v>53</v>
      </c>
      <c r="EG306" s="1" t="s">
        <v>1490</v>
      </c>
      <c r="EH306" s="1" t="s">
        <v>51</v>
      </c>
      <c r="EJ306" s="1" t="s">
        <v>55</v>
      </c>
      <c r="EL306" s="1" t="s">
        <v>57</v>
      </c>
    </row>
    <row r="307" spans="1:142" x14ac:dyDescent="0.2">
      <c r="A307" s="101">
        <v>90304043001</v>
      </c>
      <c r="B307" s="101">
        <v>90304043</v>
      </c>
      <c r="D307" s="1" t="s">
        <v>220</v>
      </c>
      <c r="E307" s="1" t="s">
        <v>44</v>
      </c>
      <c r="F307" s="1" t="s">
        <v>583</v>
      </c>
      <c r="AI307" s="1" t="s">
        <v>551</v>
      </c>
      <c r="AJ307" s="1" t="s">
        <v>44</v>
      </c>
      <c r="AK307" s="1" t="s">
        <v>584</v>
      </c>
      <c r="AL307" s="1" t="s">
        <v>1028</v>
      </c>
      <c r="AR307" s="1" t="s">
        <v>79</v>
      </c>
      <c r="AS307" s="1" t="s">
        <v>71</v>
      </c>
      <c r="AT307" s="1">
        <v>2.3826999999999998</v>
      </c>
      <c r="AV307" s="1" t="s">
        <v>1200</v>
      </c>
      <c r="AW307" s="1" t="s">
        <v>1134</v>
      </c>
      <c r="AX307" s="1">
        <v>35674288</v>
      </c>
      <c r="BA307" s="1" t="s">
        <v>69</v>
      </c>
      <c r="BB307" s="1" t="s">
        <v>574</v>
      </c>
      <c r="BC307" s="1" t="s">
        <v>456</v>
      </c>
      <c r="BD307" s="1" t="s">
        <v>555</v>
      </c>
      <c r="BG307" s="1" t="s">
        <v>558</v>
      </c>
      <c r="BH307" s="1">
        <v>26</v>
      </c>
      <c r="BI307" s="1" t="s">
        <v>431</v>
      </c>
      <c r="BJ307" s="1" t="s">
        <v>67</v>
      </c>
      <c r="BK307" s="1" t="s">
        <v>440</v>
      </c>
      <c r="BL307" s="1">
        <v>0</v>
      </c>
      <c r="BM307" s="1" t="s">
        <v>1200</v>
      </c>
      <c r="BN307" s="1" t="s">
        <v>1134</v>
      </c>
      <c r="BP307" s="1">
        <v>35674288</v>
      </c>
      <c r="BR307" s="1" t="s">
        <v>69</v>
      </c>
      <c r="BS307" s="1" t="s">
        <v>1023</v>
      </c>
      <c r="BT307" s="1" t="s">
        <v>574</v>
      </c>
      <c r="BU307" s="1" t="s">
        <v>456</v>
      </c>
      <c r="BV307" s="1" t="s">
        <v>555</v>
      </c>
      <c r="BY307" s="1" t="s">
        <v>558</v>
      </c>
      <c r="BZ307" s="1">
        <v>26</v>
      </c>
      <c r="CJ307" s="1">
        <v>2.2557999999999998</v>
      </c>
      <c r="CK307" s="1">
        <v>2.2532999999999999</v>
      </c>
      <c r="CL307" s="1">
        <v>2.2583000000000002</v>
      </c>
      <c r="CR307" s="1">
        <v>-3998.4018088727998</v>
      </c>
      <c r="CS307" s="1">
        <v>-4306.37</v>
      </c>
      <c r="CT307" s="1">
        <v>-3690.43</v>
      </c>
      <c r="CU307" s="1">
        <v>-1.12E-2</v>
      </c>
      <c r="CZ307" s="1">
        <v>-3998.4</v>
      </c>
      <c r="DA307" s="1">
        <v>-3998.4</v>
      </c>
      <c r="DB307" s="1">
        <v>-10051.4</v>
      </c>
      <c r="DC307" s="1">
        <v>6053</v>
      </c>
      <c r="DD307" s="2">
        <v>850.06</v>
      </c>
      <c r="DG307" s="1">
        <v>337.53</v>
      </c>
      <c r="DL307" s="1">
        <v>-35774047.380000003</v>
      </c>
      <c r="DM307" s="1">
        <v>-35684323.969999999</v>
      </c>
      <c r="DN307" s="1">
        <v>-89723.41</v>
      </c>
      <c r="DO307" s="1">
        <v>2.3826999999999998</v>
      </c>
      <c r="DP307" s="1" t="s">
        <v>1482</v>
      </c>
      <c r="DQ307" s="1" t="s">
        <v>1482</v>
      </c>
      <c r="DS307" s="1">
        <v>35770048.979999997</v>
      </c>
      <c r="DT307" s="1">
        <v>35674272.57</v>
      </c>
      <c r="DU307" s="1">
        <v>95776.41</v>
      </c>
      <c r="DV307" s="1">
        <v>2.3502399999999999</v>
      </c>
      <c r="DW307" s="1" t="s">
        <v>1482</v>
      </c>
      <c r="DX307" s="1" t="s">
        <v>1482</v>
      </c>
      <c r="DY307" s="1" t="s">
        <v>1028</v>
      </c>
      <c r="DZ307" s="1">
        <v>-13586</v>
      </c>
      <c r="EA307" s="1">
        <v>5589</v>
      </c>
      <c r="ED307" s="1" t="s">
        <v>50</v>
      </c>
      <c r="EE307" s="1" t="s">
        <v>1512</v>
      </c>
      <c r="EF307" s="1" t="s">
        <v>53</v>
      </c>
      <c r="EG307" s="1" t="s">
        <v>1512</v>
      </c>
      <c r="EH307" s="1" t="s">
        <v>51</v>
      </c>
      <c r="EJ307" s="1" t="s">
        <v>55</v>
      </c>
      <c r="EL307" s="1" t="s">
        <v>57</v>
      </c>
    </row>
    <row r="308" spans="1:142" x14ac:dyDescent="0.2">
      <c r="A308" s="101">
        <v>89893532001</v>
      </c>
      <c r="B308" s="101">
        <v>89893532</v>
      </c>
      <c r="D308" s="1" t="s">
        <v>80</v>
      </c>
      <c r="E308" s="1" t="s">
        <v>64</v>
      </c>
      <c r="F308" s="1" t="s">
        <v>583</v>
      </c>
      <c r="AI308" s="1" t="s">
        <v>551</v>
      </c>
      <c r="AJ308" s="1" t="s">
        <v>64</v>
      </c>
      <c r="AK308" s="1" t="s">
        <v>584</v>
      </c>
      <c r="AL308" s="1" t="s">
        <v>1143</v>
      </c>
      <c r="AR308" s="1" t="s">
        <v>79</v>
      </c>
      <c r="AS308" s="1" t="s">
        <v>71</v>
      </c>
      <c r="AT308" s="1">
        <v>4.0354999999999999</v>
      </c>
      <c r="AV308" s="1" t="s">
        <v>1143</v>
      </c>
      <c r="AW308" s="1" t="s">
        <v>1493</v>
      </c>
      <c r="AX308" s="1">
        <v>107000000</v>
      </c>
      <c r="BA308" s="1" t="s">
        <v>69</v>
      </c>
      <c r="BB308" s="1" t="s">
        <v>566</v>
      </c>
      <c r="BC308" s="1" t="s">
        <v>456</v>
      </c>
      <c r="BD308" s="1" t="s">
        <v>555</v>
      </c>
      <c r="BG308" s="1" t="s">
        <v>558</v>
      </c>
      <c r="BH308" s="1">
        <v>12</v>
      </c>
      <c r="BI308" s="1" t="s">
        <v>431</v>
      </c>
      <c r="BJ308" s="1" t="s">
        <v>67</v>
      </c>
      <c r="BK308" s="1" t="s">
        <v>1494</v>
      </c>
      <c r="BL308" s="1">
        <v>0</v>
      </c>
      <c r="BM308" s="1" t="s">
        <v>1143</v>
      </c>
      <c r="BN308" s="1" t="s">
        <v>1493</v>
      </c>
      <c r="BP308" s="1">
        <v>107000000</v>
      </c>
      <c r="BR308" s="1" t="s">
        <v>69</v>
      </c>
      <c r="BS308" s="1" t="s">
        <v>69</v>
      </c>
      <c r="BT308" s="1" t="s">
        <v>566</v>
      </c>
      <c r="BU308" s="1" t="s">
        <v>456</v>
      </c>
      <c r="BV308" s="1" t="s">
        <v>555</v>
      </c>
      <c r="BY308" s="1" t="s">
        <v>558</v>
      </c>
      <c r="BZ308" s="1">
        <v>12</v>
      </c>
      <c r="CJ308" s="1">
        <v>4.0452300000000001</v>
      </c>
      <c r="CK308" s="1">
        <v>4.0427299999999997</v>
      </c>
      <c r="CL308" s="1">
        <v>4.0477299999999996</v>
      </c>
      <c r="CR308" s="1">
        <v>97565.810835465803</v>
      </c>
      <c r="CS308" s="1">
        <v>92501.75</v>
      </c>
      <c r="CT308" s="1">
        <v>102629.87</v>
      </c>
      <c r="CU308" s="1">
        <v>9.1200000000000003E-2</v>
      </c>
      <c r="CZ308" s="1">
        <v>97565.81</v>
      </c>
      <c r="DA308" s="1">
        <v>97565.81</v>
      </c>
      <c r="DB308" s="1">
        <v>38059.97</v>
      </c>
      <c r="DC308" s="1">
        <v>59505.84</v>
      </c>
      <c r="DD308" s="2">
        <v>18942.28</v>
      </c>
      <c r="DG308" s="1">
        <v>1845.99</v>
      </c>
      <c r="DL308" s="1">
        <v>-107517949.52</v>
      </c>
      <c r="DM308" s="1">
        <v>-106961935.02</v>
      </c>
      <c r="DN308" s="1">
        <v>-556014.51</v>
      </c>
      <c r="DO308" s="1">
        <v>4.0354999999999999</v>
      </c>
      <c r="DP308" s="1" t="s">
        <v>1495</v>
      </c>
      <c r="DQ308" s="1" t="s">
        <v>1493</v>
      </c>
      <c r="DS308" s="1">
        <v>107615515.34</v>
      </c>
      <c r="DT308" s="1">
        <v>106999994.98999999</v>
      </c>
      <c r="DU308" s="1">
        <v>615520.35</v>
      </c>
      <c r="DV308" s="1">
        <v>4.2596800000000004</v>
      </c>
      <c r="DW308" s="1" t="s">
        <v>1495</v>
      </c>
      <c r="DX308" s="1" t="s">
        <v>1493</v>
      </c>
      <c r="DY308" s="1" t="s">
        <v>1495</v>
      </c>
      <c r="DZ308" s="1">
        <v>-285564</v>
      </c>
      <c r="EA308" s="1">
        <v>480695</v>
      </c>
      <c r="ED308" s="1" t="s">
        <v>50</v>
      </c>
      <c r="EE308" s="1" t="s">
        <v>1496</v>
      </c>
      <c r="EF308" s="1" t="s">
        <v>53</v>
      </c>
      <c r="EG308" s="1" t="s">
        <v>1496</v>
      </c>
      <c r="EH308" s="1" t="s">
        <v>51</v>
      </c>
      <c r="EJ308" s="1" t="s">
        <v>55</v>
      </c>
      <c r="EL308" s="1" t="s">
        <v>57</v>
      </c>
    </row>
    <row r="309" spans="1:142" x14ac:dyDescent="0.2">
      <c r="A309" s="101">
        <v>90304136001</v>
      </c>
      <c r="B309" s="101">
        <v>90304136</v>
      </c>
      <c r="D309" s="1" t="s">
        <v>334</v>
      </c>
      <c r="E309" s="1" t="s">
        <v>44</v>
      </c>
      <c r="F309" s="1" t="s">
        <v>583</v>
      </c>
      <c r="AI309" s="1" t="s">
        <v>551</v>
      </c>
      <c r="AJ309" s="1" t="s">
        <v>44</v>
      </c>
      <c r="AK309" s="1" t="s">
        <v>584</v>
      </c>
      <c r="AL309" s="1" t="s">
        <v>1028</v>
      </c>
      <c r="AR309" s="1" t="s">
        <v>79</v>
      </c>
      <c r="AS309" s="1" t="s">
        <v>71</v>
      </c>
      <c r="AT309" s="1">
        <v>2.3481999999999998</v>
      </c>
      <c r="AV309" s="1" t="s">
        <v>1200</v>
      </c>
      <c r="AW309" s="1" t="s">
        <v>1516</v>
      </c>
      <c r="AX309" s="1">
        <v>9895656</v>
      </c>
      <c r="BA309" s="1" t="s">
        <v>69</v>
      </c>
      <c r="BB309" s="1" t="s">
        <v>574</v>
      </c>
      <c r="BC309" s="1" t="s">
        <v>456</v>
      </c>
      <c r="BD309" s="1" t="s">
        <v>555</v>
      </c>
      <c r="BG309" s="1" t="s">
        <v>558</v>
      </c>
      <c r="BH309" s="1">
        <v>17</v>
      </c>
      <c r="BI309" s="1" t="s">
        <v>431</v>
      </c>
      <c r="BJ309" s="1" t="s">
        <v>67</v>
      </c>
      <c r="BK309" s="1" t="s">
        <v>440</v>
      </c>
      <c r="BL309" s="1">
        <v>0</v>
      </c>
      <c r="BM309" s="1" t="s">
        <v>1200</v>
      </c>
      <c r="BN309" s="1" t="s">
        <v>1516</v>
      </c>
      <c r="BP309" s="1">
        <v>9895656</v>
      </c>
      <c r="BR309" s="1" t="s">
        <v>69</v>
      </c>
      <c r="BS309" s="1" t="s">
        <v>1023</v>
      </c>
      <c r="BT309" s="1" t="s">
        <v>574</v>
      </c>
      <c r="BU309" s="1" t="s">
        <v>456</v>
      </c>
      <c r="BV309" s="1" t="s">
        <v>555</v>
      </c>
      <c r="BY309" s="1" t="s">
        <v>558</v>
      </c>
      <c r="BZ309" s="1">
        <v>17</v>
      </c>
      <c r="CJ309" s="1">
        <v>2.2197499999999999</v>
      </c>
      <c r="CK309" s="1">
        <v>2.2172499999999999</v>
      </c>
      <c r="CL309" s="1">
        <v>2.2222499999999998</v>
      </c>
      <c r="CR309" s="1">
        <v>-1469.8056792617001</v>
      </c>
      <c r="CS309" s="1">
        <v>-1569.47</v>
      </c>
      <c r="CT309" s="1">
        <v>-1370.15</v>
      </c>
      <c r="CU309" s="1">
        <v>-1.49E-2</v>
      </c>
      <c r="CZ309" s="1">
        <v>-1469.81</v>
      </c>
      <c r="DA309" s="1">
        <v>-1469.81</v>
      </c>
      <c r="DB309" s="1">
        <v>-3509.21</v>
      </c>
      <c r="DC309" s="1">
        <v>2039.4</v>
      </c>
      <c r="DD309" s="2">
        <v>293.02999999999997</v>
      </c>
      <c r="DG309" s="1">
        <v>98.12</v>
      </c>
      <c r="DL309" s="1">
        <v>-9923688.1999999993</v>
      </c>
      <c r="DM309" s="1">
        <v>-9899160.2799999993</v>
      </c>
      <c r="DN309" s="1">
        <v>-24527.919999999998</v>
      </c>
      <c r="DO309" s="1">
        <v>2.3481999999999998</v>
      </c>
      <c r="DP309" s="1" t="s">
        <v>1517</v>
      </c>
      <c r="DQ309" s="1" t="s">
        <v>1517</v>
      </c>
      <c r="DS309" s="1">
        <v>9922218.4000000004</v>
      </c>
      <c r="DT309" s="1">
        <v>9895651.0700000003</v>
      </c>
      <c r="DU309" s="1">
        <v>26567.32</v>
      </c>
      <c r="DV309" s="1">
        <v>2.3113299999999999</v>
      </c>
      <c r="DW309" s="1" t="s">
        <v>1517</v>
      </c>
      <c r="DX309" s="1" t="s">
        <v>1517</v>
      </c>
      <c r="DY309" s="1" t="s">
        <v>1028</v>
      </c>
      <c r="DZ309" s="1">
        <v>-4722</v>
      </c>
      <c r="EA309" s="1">
        <v>1782</v>
      </c>
      <c r="ED309" s="1" t="s">
        <v>50</v>
      </c>
      <c r="EE309" s="1" t="s">
        <v>1518</v>
      </c>
      <c r="EF309" s="1" t="s">
        <v>53</v>
      </c>
      <c r="EG309" s="1" t="s">
        <v>1518</v>
      </c>
      <c r="EH309" s="1" t="s">
        <v>51</v>
      </c>
      <c r="EJ309" s="1" t="s">
        <v>55</v>
      </c>
      <c r="EL309" s="1" t="s">
        <v>57</v>
      </c>
    </row>
    <row r="310" spans="1:142" x14ac:dyDescent="0.2">
      <c r="A310" s="101">
        <v>89893555001</v>
      </c>
      <c r="B310" s="101">
        <v>89893555</v>
      </c>
      <c r="D310" s="1" t="s">
        <v>80</v>
      </c>
      <c r="E310" s="1" t="s">
        <v>64</v>
      </c>
      <c r="F310" s="1" t="s">
        <v>583</v>
      </c>
      <c r="AI310" s="1" t="s">
        <v>551</v>
      </c>
      <c r="AJ310" s="1" t="s">
        <v>64</v>
      </c>
      <c r="AK310" s="1" t="s">
        <v>584</v>
      </c>
      <c r="AL310" s="1" t="s">
        <v>1143</v>
      </c>
      <c r="AR310" s="1" t="s">
        <v>79</v>
      </c>
      <c r="AS310" s="1" t="s">
        <v>67</v>
      </c>
      <c r="AT310" s="1">
        <v>4.0092999999999996</v>
      </c>
      <c r="AV310" s="1" t="s">
        <v>1143</v>
      </c>
      <c r="AW310" s="1" t="s">
        <v>1502</v>
      </c>
      <c r="AX310" s="1">
        <v>25000000</v>
      </c>
      <c r="BA310" s="1" t="s">
        <v>69</v>
      </c>
      <c r="BB310" s="1" t="s">
        <v>566</v>
      </c>
      <c r="BC310" s="1" t="s">
        <v>456</v>
      </c>
      <c r="BD310" s="1" t="s">
        <v>555</v>
      </c>
      <c r="BG310" s="1" t="s">
        <v>558</v>
      </c>
      <c r="BH310" s="1">
        <v>12</v>
      </c>
      <c r="BI310" s="1" t="s">
        <v>431</v>
      </c>
      <c r="BJ310" s="1" t="s">
        <v>71</v>
      </c>
      <c r="BK310" s="1" t="s">
        <v>1494</v>
      </c>
      <c r="BL310" s="1">
        <v>0</v>
      </c>
      <c r="BM310" s="1" t="s">
        <v>1143</v>
      </c>
      <c r="BN310" s="1" t="s">
        <v>1502</v>
      </c>
      <c r="BP310" s="1">
        <v>25000000</v>
      </c>
      <c r="BR310" s="1" t="s">
        <v>69</v>
      </c>
      <c r="BS310" s="1" t="s">
        <v>69</v>
      </c>
      <c r="BT310" s="1" t="s">
        <v>566</v>
      </c>
      <c r="BU310" s="1" t="s">
        <v>456</v>
      </c>
      <c r="BV310" s="1" t="s">
        <v>555</v>
      </c>
      <c r="BY310" s="1" t="s">
        <v>558</v>
      </c>
      <c r="BZ310" s="1">
        <v>12</v>
      </c>
      <c r="CJ310" s="1">
        <v>4.1651300000000004</v>
      </c>
      <c r="CK310" s="1">
        <v>4.1626300000000001</v>
      </c>
      <c r="CL310" s="1">
        <v>4.1676299999999999</v>
      </c>
      <c r="CR310" s="1">
        <v>-330951.11201275903</v>
      </c>
      <c r="CS310" s="1">
        <v>-336028.45</v>
      </c>
      <c r="CT310" s="1">
        <v>-325873.77</v>
      </c>
      <c r="CU310" s="1">
        <v>-1.3238000000000001</v>
      </c>
      <c r="CZ310" s="1">
        <v>-330951.11</v>
      </c>
      <c r="DA310" s="1">
        <v>-330951.11</v>
      </c>
      <c r="DB310" s="1">
        <v>-316204.45</v>
      </c>
      <c r="DC310" s="1">
        <v>-14746.66</v>
      </c>
      <c r="DD310" s="2">
        <v>-19828.71</v>
      </c>
      <c r="DG310" s="1">
        <v>-73.67</v>
      </c>
      <c r="DL310" s="1">
        <v>24812860.879999999</v>
      </c>
      <c r="DM310" s="1">
        <v>24683794.379999999</v>
      </c>
      <c r="DN310" s="1">
        <v>129066.51</v>
      </c>
      <c r="DO310" s="1">
        <v>4.0092999999999996</v>
      </c>
      <c r="DP310" s="1" t="s">
        <v>1495</v>
      </c>
      <c r="DQ310" s="1" t="s">
        <v>1493</v>
      </c>
      <c r="DS310" s="1">
        <v>-25143811.989999998</v>
      </c>
      <c r="DT310" s="1">
        <v>-24999998.829999998</v>
      </c>
      <c r="DU310" s="1">
        <v>-143813.17000000001</v>
      </c>
      <c r="DV310" s="1">
        <v>4.2596800000000004</v>
      </c>
      <c r="DW310" s="1" t="s">
        <v>1495</v>
      </c>
      <c r="DX310" s="1" t="s">
        <v>1493</v>
      </c>
      <c r="DY310" s="1" t="s">
        <v>1495</v>
      </c>
      <c r="DZ310" s="1">
        <v>81995</v>
      </c>
      <c r="EA310" s="1">
        <v>-743897</v>
      </c>
      <c r="ED310" s="1" t="s">
        <v>50</v>
      </c>
      <c r="EE310" s="1" t="s">
        <v>1503</v>
      </c>
      <c r="EF310" s="1" t="s">
        <v>53</v>
      </c>
      <c r="EG310" s="1" t="s">
        <v>1503</v>
      </c>
      <c r="EH310" s="1" t="s">
        <v>51</v>
      </c>
      <c r="EJ310" s="1" t="s">
        <v>55</v>
      </c>
      <c r="EL310" s="1" t="s">
        <v>57</v>
      </c>
    </row>
    <row r="311" spans="1:142" x14ac:dyDescent="0.2">
      <c r="A311" s="101">
        <v>90304144001</v>
      </c>
      <c r="B311" s="101">
        <v>90304144</v>
      </c>
      <c r="D311" s="1" t="s">
        <v>334</v>
      </c>
      <c r="E311" s="1" t="s">
        <v>44</v>
      </c>
      <c r="F311" s="1" t="s">
        <v>583</v>
      </c>
      <c r="AI311" s="1" t="s">
        <v>551</v>
      </c>
      <c r="AJ311" s="1" t="s">
        <v>44</v>
      </c>
      <c r="AK311" s="1" t="s">
        <v>584</v>
      </c>
      <c r="AL311" s="1" t="s">
        <v>1028</v>
      </c>
      <c r="AR311" s="1" t="s">
        <v>79</v>
      </c>
      <c r="AS311" s="1" t="s">
        <v>71</v>
      </c>
      <c r="AT311" s="1">
        <v>2.3862000000000001</v>
      </c>
      <c r="AV311" s="1" t="s">
        <v>1200</v>
      </c>
      <c r="AW311" s="1" t="s">
        <v>1521</v>
      </c>
      <c r="AX311" s="1">
        <v>9910661</v>
      </c>
      <c r="BA311" s="1" t="s">
        <v>69</v>
      </c>
      <c r="BB311" s="1" t="s">
        <v>574</v>
      </c>
      <c r="BC311" s="1" t="s">
        <v>456</v>
      </c>
      <c r="BD311" s="1" t="s">
        <v>555</v>
      </c>
      <c r="BG311" s="1" t="s">
        <v>558</v>
      </c>
      <c r="BH311" s="1">
        <v>23</v>
      </c>
      <c r="BI311" s="1" t="s">
        <v>431</v>
      </c>
      <c r="BJ311" s="1" t="s">
        <v>67</v>
      </c>
      <c r="BK311" s="1" t="s">
        <v>440</v>
      </c>
      <c r="BL311" s="1">
        <v>0</v>
      </c>
      <c r="BM311" s="1" t="s">
        <v>1200</v>
      </c>
      <c r="BN311" s="1" t="s">
        <v>1521</v>
      </c>
      <c r="BP311" s="1">
        <v>9910661</v>
      </c>
      <c r="BR311" s="1" t="s">
        <v>69</v>
      </c>
      <c r="BS311" s="1" t="s">
        <v>1023</v>
      </c>
      <c r="BT311" s="1" t="s">
        <v>574</v>
      </c>
      <c r="BU311" s="1" t="s">
        <v>456</v>
      </c>
      <c r="BV311" s="1" t="s">
        <v>555</v>
      </c>
      <c r="BY311" s="1" t="s">
        <v>558</v>
      </c>
      <c r="BZ311" s="1">
        <v>23</v>
      </c>
      <c r="CJ311" s="1">
        <v>2.26186</v>
      </c>
      <c r="CK311" s="1">
        <v>2.25936</v>
      </c>
      <c r="CL311" s="1">
        <v>2.2643599999999999</v>
      </c>
      <c r="CR311" s="1">
        <v>-992.38338347900003</v>
      </c>
      <c r="CS311" s="1">
        <v>-1075.9000000000001</v>
      </c>
      <c r="CT311" s="1">
        <v>-908.86</v>
      </c>
      <c r="CU311" s="1">
        <v>-0.01</v>
      </c>
      <c r="CZ311" s="1">
        <v>-992.38</v>
      </c>
      <c r="DA311" s="1">
        <v>-992.38</v>
      </c>
      <c r="DB311" s="1">
        <v>-2637.35</v>
      </c>
      <c r="DC311" s="1">
        <v>1644.97</v>
      </c>
      <c r="DD311" s="2">
        <v>227.96</v>
      </c>
      <c r="DG311" s="1">
        <v>90.81</v>
      </c>
      <c r="DL311" s="1">
        <v>-9938256.7799999993</v>
      </c>
      <c r="DM311" s="1">
        <v>-9913294.1400000006</v>
      </c>
      <c r="DN311" s="1">
        <v>-24962.639999999999</v>
      </c>
      <c r="DO311" s="1">
        <v>2.3862000000000001</v>
      </c>
      <c r="DP311" s="1" t="s">
        <v>1113</v>
      </c>
      <c r="DQ311" s="1" t="s">
        <v>1113</v>
      </c>
      <c r="DS311" s="1">
        <v>9937264.4000000004</v>
      </c>
      <c r="DT311" s="1">
        <v>9910656.7899999991</v>
      </c>
      <c r="DU311" s="1">
        <v>26607.61</v>
      </c>
      <c r="DV311" s="1">
        <v>2.35649</v>
      </c>
      <c r="DW311" s="1" t="s">
        <v>1113</v>
      </c>
      <c r="DX311" s="1" t="s">
        <v>1113</v>
      </c>
      <c r="DY311" s="1" t="s">
        <v>1028</v>
      </c>
      <c r="DZ311" s="1">
        <v>-3570</v>
      </c>
      <c r="EA311" s="1">
        <v>1586</v>
      </c>
      <c r="ED311" s="1" t="s">
        <v>50</v>
      </c>
      <c r="EE311" s="1" t="s">
        <v>1522</v>
      </c>
      <c r="EF311" s="1" t="s">
        <v>53</v>
      </c>
      <c r="EG311" s="1" t="s">
        <v>1522</v>
      </c>
      <c r="EH311" s="1" t="s">
        <v>51</v>
      </c>
      <c r="EJ311" s="1" t="s">
        <v>55</v>
      </c>
      <c r="EL311" s="1" t="s">
        <v>57</v>
      </c>
    </row>
    <row r="312" spans="1:142" x14ac:dyDescent="0.2">
      <c r="A312" s="101">
        <v>90399275001</v>
      </c>
      <c r="B312" s="101">
        <v>90399275</v>
      </c>
      <c r="D312" s="1" t="s">
        <v>334</v>
      </c>
      <c r="E312" s="1" t="s">
        <v>44</v>
      </c>
      <c r="F312" s="1" t="s">
        <v>583</v>
      </c>
      <c r="AI312" s="1" t="s">
        <v>551</v>
      </c>
      <c r="AJ312" s="1" t="s">
        <v>44</v>
      </c>
      <c r="AK312" s="1" t="s">
        <v>584</v>
      </c>
      <c r="AL312" s="1" t="s">
        <v>1525</v>
      </c>
      <c r="AR312" s="1" t="s">
        <v>79</v>
      </c>
      <c r="AS312" s="1" t="s">
        <v>71</v>
      </c>
      <c r="AT312" s="1">
        <v>2.2606999999999999</v>
      </c>
      <c r="AV312" s="1" t="s">
        <v>1201</v>
      </c>
      <c r="AW312" s="1" t="s">
        <v>877</v>
      </c>
      <c r="AX312" s="1">
        <v>49269093</v>
      </c>
      <c r="BA312" s="1" t="s">
        <v>69</v>
      </c>
      <c r="BB312" s="1" t="s">
        <v>574</v>
      </c>
      <c r="BC312" s="1" t="s">
        <v>456</v>
      </c>
      <c r="BD312" s="1" t="s">
        <v>555</v>
      </c>
      <c r="BG312" s="1" t="s">
        <v>558</v>
      </c>
      <c r="BH312" s="1">
        <v>19</v>
      </c>
      <c r="BI312" s="1" t="s">
        <v>431</v>
      </c>
      <c r="BJ312" s="1" t="s">
        <v>67</v>
      </c>
      <c r="BK312" s="1" t="s">
        <v>440</v>
      </c>
      <c r="BL312" s="1">
        <v>0</v>
      </c>
      <c r="BM312" s="1" t="s">
        <v>1201</v>
      </c>
      <c r="BN312" s="1" t="s">
        <v>877</v>
      </c>
      <c r="BP312" s="1">
        <v>49269093</v>
      </c>
      <c r="BR312" s="1" t="s">
        <v>69</v>
      </c>
      <c r="BS312" s="1" t="s">
        <v>1023</v>
      </c>
      <c r="BT312" s="1" t="s">
        <v>574</v>
      </c>
      <c r="BU312" s="1" t="s">
        <v>456</v>
      </c>
      <c r="BV312" s="1" t="s">
        <v>555</v>
      </c>
      <c r="BY312" s="1" t="s">
        <v>558</v>
      </c>
      <c r="BZ312" s="1">
        <v>19</v>
      </c>
      <c r="CJ312" s="1">
        <v>2.1436099999999998</v>
      </c>
      <c r="CK312" s="1">
        <v>2.1411099999999998</v>
      </c>
      <c r="CL312" s="1">
        <v>2.1461100000000002</v>
      </c>
      <c r="CR312" s="1">
        <v>-12362.7870233059</v>
      </c>
      <c r="CS312" s="1">
        <v>-13063.72</v>
      </c>
      <c r="CT312" s="1">
        <v>-11661.85</v>
      </c>
      <c r="CU312" s="1">
        <v>-2.5100000000000001E-2</v>
      </c>
      <c r="CZ312" s="1">
        <v>-12362.79</v>
      </c>
      <c r="DA312" s="1">
        <v>-12362.79</v>
      </c>
      <c r="DB312" s="1">
        <v>-25376.22</v>
      </c>
      <c r="DC312" s="1">
        <v>13013.43</v>
      </c>
      <c r="DD312" s="2">
        <v>2322.7800000000002</v>
      </c>
      <c r="DG312" s="1">
        <v>638.39</v>
      </c>
      <c r="DL312" s="1">
        <v>-49402658.729999997</v>
      </c>
      <c r="DM312" s="1">
        <v>-49294370.049999997</v>
      </c>
      <c r="DN312" s="1">
        <v>-108288.68</v>
      </c>
      <c r="DO312" s="1">
        <v>2.2606999999999999</v>
      </c>
      <c r="DP312" s="1" t="s">
        <v>1273</v>
      </c>
      <c r="DQ312" s="1" t="s">
        <v>1273</v>
      </c>
      <c r="DS312" s="1">
        <v>49390295.939999998</v>
      </c>
      <c r="DT312" s="1">
        <v>49268993.829999998</v>
      </c>
      <c r="DU312" s="1">
        <v>121302.11</v>
      </c>
      <c r="DV312" s="1">
        <v>2.2166100000000002</v>
      </c>
      <c r="DW312" s="1" t="s">
        <v>1273</v>
      </c>
      <c r="DX312" s="1" t="s">
        <v>1273</v>
      </c>
      <c r="DY312" s="1" t="s">
        <v>1525</v>
      </c>
      <c r="DZ312" s="1">
        <v>-37258</v>
      </c>
      <c r="EA312" s="1">
        <v>12533</v>
      </c>
      <c r="ED312" s="1" t="s">
        <v>50</v>
      </c>
      <c r="EE312" s="1" t="s">
        <v>1526</v>
      </c>
      <c r="EF312" s="1" t="s">
        <v>53</v>
      </c>
      <c r="EG312" s="1" t="s">
        <v>1526</v>
      </c>
      <c r="EH312" s="1" t="s">
        <v>51</v>
      </c>
      <c r="EJ312" s="1" t="s">
        <v>55</v>
      </c>
      <c r="EL312" s="1" t="s">
        <v>57</v>
      </c>
    </row>
    <row r="313" spans="1:142" x14ac:dyDescent="0.2">
      <c r="A313" s="101">
        <v>90017702001</v>
      </c>
      <c r="B313" s="101">
        <v>90017702</v>
      </c>
      <c r="D313" s="1" t="s">
        <v>80</v>
      </c>
      <c r="E313" s="1" t="s">
        <v>46</v>
      </c>
      <c r="F313" s="1" t="s">
        <v>583</v>
      </c>
      <c r="AI313" s="1" t="s">
        <v>551</v>
      </c>
      <c r="AJ313" s="1" t="s">
        <v>46</v>
      </c>
      <c r="AK313" s="1" t="s">
        <v>584</v>
      </c>
      <c r="AL313" s="1" t="s">
        <v>1143</v>
      </c>
      <c r="AR313" s="1" t="s">
        <v>79</v>
      </c>
      <c r="AS313" s="1" t="s">
        <v>71</v>
      </c>
      <c r="AT313" s="1">
        <v>4.1159999999999997</v>
      </c>
      <c r="AV313" s="1" t="s">
        <v>1099</v>
      </c>
      <c r="AW313" s="1" t="s">
        <v>1508</v>
      </c>
      <c r="AX313" s="1">
        <v>31000000</v>
      </c>
      <c r="BA313" s="1" t="s">
        <v>69</v>
      </c>
      <c r="BB313" s="1" t="s">
        <v>574</v>
      </c>
      <c r="BC313" s="1" t="s">
        <v>456</v>
      </c>
      <c r="BD313" s="1" t="s">
        <v>555</v>
      </c>
      <c r="BG313" s="1" t="s">
        <v>558</v>
      </c>
      <c r="BH313" s="1">
        <v>14</v>
      </c>
      <c r="BI313" s="1" t="s">
        <v>431</v>
      </c>
      <c r="BJ313" s="1" t="s">
        <v>67</v>
      </c>
      <c r="BK313" s="1" t="s">
        <v>1255</v>
      </c>
      <c r="BL313" s="1">
        <v>0</v>
      </c>
      <c r="BM313" s="1" t="s">
        <v>1099</v>
      </c>
      <c r="BN313" s="1" t="s">
        <v>1508</v>
      </c>
      <c r="BP313" s="1">
        <v>31000000</v>
      </c>
      <c r="BR313" s="1" t="s">
        <v>69</v>
      </c>
      <c r="BS313" s="1" t="s">
        <v>69</v>
      </c>
      <c r="BT313" s="1" t="s">
        <v>574</v>
      </c>
      <c r="BU313" s="1" t="s">
        <v>456</v>
      </c>
      <c r="BV313" s="1" t="s">
        <v>555</v>
      </c>
      <c r="BY313" s="1" t="s">
        <v>558</v>
      </c>
      <c r="BZ313" s="1">
        <v>14</v>
      </c>
      <c r="CJ313" s="1">
        <v>3.7779099999999999</v>
      </c>
      <c r="CK313" s="1">
        <v>3.7754099999999999</v>
      </c>
      <c r="CL313" s="1">
        <v>3.7804099999999998</v>
      </c>
      <c r="CR313" s="1">
        <v>-847386.46927811205</v>
      </c>
      <c r="CS313" s="1">
        <v>-853861.08</v>
      </c>
      <c r="CT313" s="1">
        <v>-840911.86</v>
      </c>
      <c r="CU313" s="1">
        <v>-2.7334999999999998</v>
      </c>
      <c r="CZ313" s="1">
        <v>-847386.47</v>
      </c>
      <c r="DA313" s="1">
        <v>-847386.47</v>
      </c>
      <c r="DB313" s="1">
        <v>-856182.14</v>
      </c>
      <c r="DC313" s="1">
        <v>8795.67</v>
      </c>
      <c r="DD313" s="2">
        <v>25938.06</v>
      </c>
      <c r="DG313" s="1">
        <v>363.64</v>
      </c>
      <c r="DL313" s="1">
        <v>-32013001.32</v>
      </c>
      <c r="DM313" s="1">
        <v>-31853506.32</v>
      </c>
      <c r="DN313" s="1">
        <v>-159495</v>
      </c>
      <c r="DO313" s="1">
        <v>4.1159999999999997</v>
      </c>
      <c r="DP313" s="1" t="s">
        <v>1509</v>
      </c>
      <c r="DQ313" s="1" t="s">
        <v>1510</v>
      </c>
      <c r="DS313" s="1">
        <v>31165614.859999999</v>
      </c>
      <c r="DT313" s="1">
        <v>30997324.190000001</v>
      </c>
      <c r="DU313" s="1">
        <v>168290.67</v>
      </c>
      <c r="DV313" s="1">
        <v>4.0781900000000002</v>
      </c>
      <c r="DW313" s="1" t="s">
        <v>1509</v>
      </c>
      <c r="DX313" s="1" t="s">
        <v>1510</v>
      </c>
      <c r="DY313" s="1" t="s">
        <v>1495</v>
      </c>
      <c r="DZ313" s="1">
        <v>-1337345</v>
      </c>
      <c r="EA313" s="1">
        <v>-357428</v>
      </c>
      <c r="ED313" s="1" t="s">
        <v>50</v>
      </c>
      <c r="EE313" s="1" t="s">
        <v>1511</v>
      </c>
      <c r="EF313" s="1" t="s">
        <v>53</v>
      </c>
      <c r="EG313" s="1" t="s">
        <v>1511</v>
      </c>
      <c r="EH313" s="1" t="s">
        <v>51</v>
      </c>
      <c r="EJ313" s="1" t="s">
        <v>55</v>
      </c>
      <c r="EL313" s="1" t="s">
        <v>57</v>
      </c>
    </row>
    <row r="314" spans="1:142" x14ac:dyDescent="0.2">
      <c r="A314" s="101">
        <v>90399369001</v>
      </c>
      <c r="B314" s="101">
        <v>90399369</v>
      </c>
      <c r="D314" s="1" t="s">
        <v>334</v>
      </c>
      <c r="E314" s="1" t="s">
        <v>44</v>
      </c>
      <c r="F314" s="1" t="s">
        <v>583</v>
      </c>
      <c r="AI314" s="1" t="s">
        <v>551</v>
      </c>
      <c r="AJ314" s="1" t="s">
        <v>44</v>
      </c>
      <c r="AK314" s="1" t="s">
        <v>584</v>
      </c>
      <c r="AL314" s="1" t="s">
        <v>1525</v>
      </c>
      <c r="AR314" s="1" t="s">
        <v>79</v>
      </c>
      <c r="AS314" s="1" t="s">
        <v>71</v>
      </c>
      <c r="AT314" s="1">
        <v>2.1436999999999999</v>
      </c>
      <c r="AV314" s="1" t="s">
        <v>1201</v>
      </c>
      <c r="AW314" s="1" t="s">
        <v>1505</v>
      </c>
      <c r="AX314" s="1">
        <v>29263447</v>
      </c>
      <c r="BA314" s="1" t="s">
        <v>69</v>
      </c>
      <c r="BB314" s="1" t="s">
        <v>574</v>
      </c>
      <c r="BC314" s="1" t="s">
        <v>456</v>
      </c>
      <c r="BD314" s="1" t="s">
        <v>555</v>
      </c>
      <c r="BG314" s="1" t="s">
        <v>558</v>
      </c>
      <c r="BH314" s="1">
        <v>20</v>
      </c>
      <c r="BI314" s="1" t="s">
        <v>431</v>
      </c>
      <c r="BJ314" s="1" t="s">
        <v>67</v>
      </c>
      <c r="BK314" s="1" t="s">
        <v>440</v>
      </c>
      <c r="BL314" s="1">
        <v>0</v>
      </c>
      <c r="BM314" s="1" t="s">
        <v>1201</v>
      </c>
      <c r="BN314" s="1" t="s">
        <v>1505</v>
      </c>
      <c r="BP314" s="1">
        <v>29263447</v>
      </c>
      <c r="BR314" s="1" t="s">
        <v>69</v>
      </c>
      <c r="BS314" s="1" t="s">
        <v>1023</v>
      </c>
      <c r="BT314" s="1" t="s">
        <v>574</v>
      </c>
      <c r="BU314" s="1" t="s">
        <v>456</v>
      </c>
      <c r="BV314" s="1" t="s">
        <v>555</v>
      </c>
      <c r="BY314" s="1" t="s">
        <v>558</v>
      </c>
      <c r="BZ314" s="1">
        <v>20</v>
      </c>
      <c r="CJ314" s="1">
        <v>2.02772</v>
      </c>
      <c r="CK314" s="1">
        <v>2.02522</v>
      </c>
      <c r="CL314" s="1">
        <v>2.0302199999999999</v>
      </c>
      <c r="CR314" s="1">
        <v>-17325.357946809399</v>
      </c>
      <c r="CS314" s="1">
        <v>-18045.62</v>
      </c>
      <c r="CT314" s="1">
        <v>-16605.09</v>
      </c>
      <c r="CU314" s="1">
        <v>-5.9200000000000003E-2</v>
      </c>
      <c r="CZ314" s="1">
        <v>-17325.36</v>
      </c>
      <c r="DA314" s="1">
        <v>-17325.36</v>
      </c>
      <c r="DB314" s="1">
        <v>-28383.42</v>
      </c>
      <c r="DC314" s="1">
        <v>11058.07</v>
      </c>
      <c r="DD314" s="2">
        <v>2601.9499999999998</v>
      </c>
      <c r="DG314" s="1">
        <v>471.83</v>
      </c>
      <c r="DL314" s="1">
        <v>-29352729.079999998</v>
      </c>
      <c r="DM314" s="1">
        <v>-29291739.59</v>
      </c>
      <c r="DN314" s="1">
        <v>-60989.49</v>
      </c>
      <c r="DO314" s="1">
        <v>2.1436999999999999</v>
      </c>
      <c r="DP314" s="1" t="s">
        <v>1506</v>
      </c>
      <c r="DQ314" s="1" t="s">
        <v>1506</v>
      </c>
      <c r="DS314" s="1">
        <v>29335403.719999999</v>
      </c>
      <c r="DT314" s="1">
        <v>29263356.170000002</v>
      </c>
      <c r="DU314" s="1">
        <v>72047.56</v>
      </c>
      <c r="DV314" s="1">
        <v>2.0835599999999999</v>
      </c>
      <c r="DW314" s="1" t="s">
        <v>1506</v>
      </c>
      <c r="DX314" s="1" t="s">
        <v>1506</v>
      </c>
      <c r="DY314" s="1" t="s">
        <v>1525</v>
      </c>
      <c r="DZ314" s="1">
        <v>-43705</v>
      </c>
      <c r="EA314" s="1">
        <v>9055</v>
      </c>
      <c r="ED314" s="1" t="s">
        <v>50</v>
      </c>
      <c r="EE314" s="1" t="s">
        <v>1530</v>
      </c>
      <c r="EF314" s="1" t="s">
        <v>53</v>
      </c>
      <c r="EG314" s="1" t="s">
        <v>1530</v>
      </c>
      <c r="EH314" s="1" t="s">
        <v>51</v>
      </c>
      <c r="EJ314" s="1" t="s">
        <v>55</v>
      </c>
      <c r="EL314" s="1" t="s">
        <v>57</v>
      </c>
    </row>
    <row r="315" spans="1:142" x14ac:dyDescent="0.2">
      <c r="A315" s="101">
        <v>90025149001</v>
      </c>
      <c r="B315" s="101">
        <v>90025149</v>
      </c>
      <c r="D315" s="1" t="s">
        <v>80</v>
      </c>
      <c r="E315" s="1" t="s">
        <v>46</v>
      </c>
      <c r="F315" s="1" t="s">
        <v>583</v>
      </c>
      <c r="AI315" s="1" t="s">
        <v>551</v>
      </c>
      <c r="AJ315" s="1" t="s">
        <v>46</v>
      </c>
      <c r="AK315" s="1" t="s">
        <v>584</v>
      </c>
      <c r="AL315" s="1" t="s">
        <v>1143</v>
      </c>
      <c r="AR315" s="1" t="s">
        <v>79</v>
      </c>
      <c r="AS315" s="1" t="s">
        <v>67</v>
      </c>
      <c r="AT315" s="1">
        <v>4.1360000000000001</v>
      </c>
      <c r="AV315" s="1" t="s">
        <v>1099</v>
      </c>
      <c r="AW315" s="1" t="s">
        <v>1514</v>
      </c>
      <c r="AX315" s="1">
        <v>133000000</v>
      </c>
      <c r="BA315" s="1" t="s">
        <v>69</v>
      </c>
      <c r="BB315" s="1" t="s">
        <v>574</v>
      </c>
      <c r="BC315" s="1" t="s">
        <v>456</v>
      </c>
      <c r="BD315" s="1" t="s">
        <v>555</v>
      </c>
      <c r="BG315" s="1" t="s">
        <v>558</v>
      </c>
      <c r="BH315" s="1">
        <v>16</v>
      </c>
      <c r="BI315" s="1" t="s">
        <v>431</v>
      </c>
      <c r="BJ315" s="1" t="s">
        <v>71</v>
      </c>
      <c r="BK315" s="1" t="s">
        <v>1255</v>
      </c>
      <c r="BL315" s="1">
        <v>0</v>
      </c>
      <c r="BM315" s="1" t="s">
        <v>1099</v>
      </c>
      <c r="BN315" s="1" t="s">
        <v>1514</v>
      </c>
      <c r="BP315" s="1">
        <v>133000000</v>
      </c>
      <c r="BR315" s="1" t="s">
        <v>69</v>
      </c>
      <c r="BS315" s="1" t="s">
        <v>69</v>
      </c>
      <c r="BT315" s="1" t="s">
        <v>574</v>
      </c>
      <c r="BU315" s="1" t="s">
        <v>456</v>
      </c>
      <c r="BV315" s="1" t="s">
        <v>555</v>
      </c>
      <c r="BY315" s="1" t="s">
        <v>558</v>
      </c>
      <c r="BZ315" s="1">
        <v>16</v>
      </c>
      <c r="CJ315" s="1">
        <v>3.7394599999999998</v>
      </c>
      <c r="CK315" s="1">
        <v>3.7369599999999998</v>
      </c>
      <c r="CL315" s="1">
        <v>3.7419600000000002</v>
      </c>
      <c r="CR315" s="1">
        <v>889814.48020929098</v>
      </c>
      <c r="CS315" s="1">
        <v>883400.74</v>
      </c>
      <c r="CT315" s="1">
        <v>896228.23</v>
      </c>
      <c r="CU315" s="1">
        <v>0.66900000000000004</v>
      </c>
      <c r="CZ315" s="1">
        <v>889814.48</v>
      </c>
      <c r="DA315" s="1">
        <v>889814.48</v>
      </c>
      <c r="DB315" s="1">
        <v>924225.73</v>
      </c>
      <c r="DC315" s="1">
        <v>-34411.25</v>
      </c>
      <c r="DD315" s="2">
        <v>-24211.48</v>
      </c>
      <c r="DG315" s="1">
        <v>-3601.25</v>
      </c>
      <c r="DL315" s="1">
        <v>134609690.5</v>
      </c>
      <c r="DM315" s="1">
        <v>133922080.5</v>
      </c>
      <c r="DN315" s="1">
        <v>687610</v>
      </c>
      <c r="DO315" s="1">
        <v>4.1360000000000001</v>
      </c>
      <c r="DP315" s="1" t="s">
        <v>1509</v>
      </c>
      <c r="DQ315" s="1" t="s">
        <v>1510</v>
      </c>
      <c r="DS315" s="1">
        <v>-133719876.02</v>
      </c>
      <c r="DT315" s="1">
        <v>-132997854.77</v>
      </c>
      <c r="DU315" s="1">
        <v>-722021.25</v>
      </c>
      <c r="DV315" s="1">
        <v>4.0781900000000002</v>
      </c>
      <c r="DW315" s="1" t="s">
        <v>1509</v>
      </c>
      <c r="DX315" s="1" t="s">
        <v>1510</v>
      </c>
      <c r="DY315" s="1" t="s">
        <v>1495</v>
      </c>
      <c r="DZ315" s="1">
        <v>1342504</v>
      </c>
      <c r="EA315" s="1">
        <v>437125</v>
      </c>
      <c r="ED315" s="1" t="s">
        <v>50</v>
      </c>
      <c r="EE315" s="1" t="s">
        <v>1515</v>
      </c>
      <c r="EF315" s="1" t="s">
        <v>53</v>
      </c>
      <c r="EG315" s="1" t="s">
        <v>1515</v>
      </c>
      <c r="EH315" s="1" t="s">
        <v>51</v>
      </c>
      <c r="EJ315" s="1" t="s">
        <v>55</v>
      </c>
      <c r="EL315" s="1" t="s">
        <v>57</v>
      </c>
    </row>
    <row r="316" spans="1:142" x14ac:dyDescent="0.2">
      <c r="A316" s="101">
        <v>90612447001</v>
      </c>
      <c r="B316" s="101">
        <v>90612447</v>
      </c>
      <c r="D316" s="1" t="s">
        <v>43</v>
      </c>
      <c r="E316" s="1" t="s">
        <v>44</v>
      </c>
      <c r="F316" s="1" t="s">
        <v>583</v>
      </c>
      <c r="AI316" s="1" t="s">
        <v>551</v>
      </c>
      <c r="AJ316" s="1" t="s">
        <v>44</v>
      </c>
      <c r="AK316" s="1" t="s">
        <v>584</v>
      </c>
      <c r="AL316" s="1" t="s">
        <v>1201</v>
      </c>
      <c r="AR316" s="1" t="s">
        <v>79</v>
      </c>
      <c r="AS316" s="1" t="s">
        <v>71</v>
      </c>
      <c r="AT316" s="1">
        <v>2.2557</v>
      </c>
      <c r="AV316" s="1" t="s">
        <v>921</v>
      </c>
      <c r="AW316" s="1" t="s">
        <v>1141</v>
      </c>
      <c r="AX316" s="1">
        <v>39503464</v>
      </c>
      <c r="BA316" s="1" t="s">
        <v>69</v>
      </c>
      <c r="BB316" s="1" t="s">
        <v>574</v>
      </c>
      <c r="BC316" s="1" t="s">
        <v>456</v>
      </c>
      <c r="BD316" s="1" t="s">
        <v>555</v>
      </c>
      <c r="BG316" s="1" t="s">
        <v>558</v>
      </c>
      <c r="BH316" s="1">
        <v>26</v>
      </c>
      <c r="BI316" s="1" t="s">
        <v>431</v>
      </c>
      <c r="BJ316" s="1" t="s">
        <v>67</v>
      </c>
      <c r="BK316" s="1" t="s">
        <v>440</v>
      </c>
      <c r="BL316" s="1">
        <v>0</v>
      </c>
      <c r="BM316" s="1" t="s">
        <v>921</v>
      </c>
      <c r="BN316" s="1" t="s">
        <v>1141</v>
      </c>
      <c r="BP316" s="1">
        <v>39503464</v>
      </c>
      <c r="BR316" s="1" t="s">
        <v>69</v>
      </c>
      <c r="BS316" s="1" t="s">
        <v>1023</v>
      </c>
      <c r="BT316" s="1" t="s">
        <v>574</v>
      </c>
      <c r="BU316" s="1" t="s">
        <v>456</v>
      </c>
      <c r="BV316" s="1" t="s">
        <v>555</v>
      </c>
      <c r="BY316" s="1" t="s">
        <v>558</v>
      </c>
      <c r="BZ316" s="1">
        <v>26</v>
      </c>
      <c r="CJ316" s="1">
        <v>2.17055</v>
      </c>
      <c r="CK316" s="1">
        <v>2.16805</v>
      </c>
      <c r="CL316" s="1">
        <v>2.1730499999999999</v>
      </c>
      <c r="CR316" s="1">
        <v>-2688.7339159772</v>
      </c>
      <c r="CS316" s="1">
        <v>-3180.84</v>
      </c>
      <c r="CT316" s="1">
        <v>-2196.62</v>
      </c>
      <c r="CU316" s="1">
        <v>-6.7999999999999996E-3</v>
      </c>
      <c r="CZ316" s="1">
        <v>-2688.73</v>
      </c>
      <c r="DA316" s="1">
        <v>-2688.73</v>
      </c>
      <c r="DB316" s="1">
        <v>-12400.59</v>
      </c>
      <c r="DC316" s="1">
        <v>9711.86</v>
      </c>
      <c r="DD316" s="2">
        <v>1602.74</v>
      </c>
      <c r="DG316" s="1">
        <v>481.5</v>
      </c>
      <c r="DL316" s="1">
        <v>-39597524.039999999</v>
      </c>
      <c r="DM316" s="1">
        <v>-39515841.740000002</v>
      </c>
      <c r="DN316" s="1">
        <v>-81682.3</v>
      </c>
      <c r="DO316" s="1">
        <v>2.2557</v>
      </c>
      <c r="DP316" s="1" t="s">
        <v>1203</v>
      </c>
      <c r="DQ316" s="1" t="s">
        <v>1203</v>
      </c>
      <c r="DS316" s="1">
        <v>39594835.299999997</v>
      </c>
      <c r="DT316" s="1">
        <v>39503441.140000001</v>
      </c>
      <c r="DU316" s="1">
        <v>91394.16</v>
      </c>
      <c r="DV316" s="1">
        <v>2.2420399999999998</v>
      </c>
      <c r="DW316" s="1" t="s">
        <v>1203</v>
      </c>
      <c r="DX316" s="1" t="s">
        <v>1203</v>
      </c>
      <c r="DY316" s="1" t="s">
        <v>1201</v>
      </c>
      <c r="DZ316" s="1">
        <v>-20083</v>
      </c>
      <c r="EA316" s="1">
        <v>14705</v>
      </c>
      <c r="ED316" s="1" t="s">
        <v>50</v>
      </c>
      <c r="EE316" s="1" t="s">
        <v>1532</v>
      </c>
      <c r="EF316" s="1" t="s">
        <v>53</v>
      </c>
      <c r="EG316" s="1" t="s">
        <v>1532</v>
      </c>
      <c r="EH316" s="1" t="s">
        <v>51</v>
      </c>
      <c r="EJ316" s="1" t="s">
        <v>55</v>
      </c>
      <c r="EL316" s="1" t="s">
        <v>57</v>
      </c>
    </row>
    <row r="317" spans="1:142" x14ac:dyDescent="0.2">
      <c r="A317" s="101">
        <v>90099859001</v>
      </c>
      <c r="B317" s="101">
        <v>90099859</v>
      </c>
      <c r="D317" s="1" t="s">
        <v>334</v>
      </c>
      <c r="E317" s="1" t="s">
        <v>44</v>
      </c>
      <c r="F317" s="1" t="s">
        <v>583</v>
      </c>
      <c r="AI317" s="1" t="s">
        <v>551</v>
      </c>
      <c r="AJ317" s="1" t="s">
        <v>44</v>
      </c>
      <c r="AK317" s="1" t="s">
        <v>584</v>
      </c>
      <c r="AL317" s="1" t="s">
        <v>243</v>
      </c>
      <c r="AR317" s="1" t="s">
        <v>79</v>
      </c>
      <c r="AS317" s="1" t="s">
        <v>71</v>
      </c>
      <c r="AT317" s="1">
        <v>2.0847000000000002</v>
      </c>
      <c r="AV317" s="1" t="s">
        <v>1028</v>
      </c>
      <c r="AW317" s="1" t="s">
        <v>1499</v>
      </c>
      <c r="AX317" s="1">
        <v>15912920</v>
      </c>
      <c r="BA317" s="1" t="s">
        <v>69</v>
      </c>
      <c r="BB317" s="1" t="s">
        <v>574</v>
      </c>
      <c r="BC317" s="1" t="s">
        <v>456</v>
      </c>
      <c r="BD317" s="1" t="s">
        <v>555</v>
      </c>
      <c r="BG317" s="1" t="s">
        <v>558</v>
      </c>
      <c r="BH317" s="1">
        <v>28</v>
      </c>
      <c r="BI317" s="1" t="s">
        <v>431</v>
      </c>
      <c r="BJ317" s="1" t="s">
        <v>67</v>
      </c>
      <c r="BK317" s="1" t="s">
        <v>440</v>
      </c>
      <c r="BL317" s="1">
        <v>0</v>
      </c>
      <c r="BM317" s="1" t="s">
        <v>1028</v>
      </c>
      <c r="BN317" s="1" t="s">
        <v>1499</v>
      </c>
      <c r="BP317" s="1">
        <v>15912920</v>
      </c>
      <c r="BR317" s="1" t="s">
        <v>69</v>
      </c>
      <c r="BS317" s="1" t="s">
        <v>69</v>
      </c>
      <c r="BT317" s="1" t="s">
        <v>574</v>
      </c>
      <c r="BU317" s="1" t="s">
        <v>456</v>
      </c>
      <c r="BV317" s="1" t="s">
        <v>555</v>
      </c>
      <c r="BY317" s="1" t="s">
        <v>558</v>
      </c>
      <c r="BZ317" s="1">
        <v>28</v>
      </c>
      <c r="CJ317" s="1">
        <v>1.9839899999999999</v>
      </c>
      <c r="CK317" s="1">
        <v>1.98149</v>
      </c>
      <c r="CL317" s="1">
        <v>1.9864900000000001</v>
      </c>
      <c r="CR317" s="1">
        <v>-9697.6142680720004</v>
      </c>
      <c r="CS317" s="1">
        <v>-10199.61</v>
      </c>
      <c r="CT317" s="1">
        <v>-9195.6200000000008</v>
      </c>
      <c r="CU317" s="1">
        <v>-6.0900000000000003E-2</v>
      </c>
      <c r="CZ317" s="1">
        <v>-9697.61</v>
      </c>
      <c r="DA317" s="1">
        <v>-9697.61</v>
      </c>
      <c r="DB317" s="1">
        <v>-17923.43</v>
      </c>
      <c r="DC317" s="1">
        <v>8225.82</v>
      </c>
      <c r="DD317" s="2">
        <v>1827.25</v>
      </c>
      <c r="DG317" s="1">
        <v>259.14999999999998</v>
      </c>
      <c r="DL317" s="1">
        <v>-15967681.720000001</v>
      </c>
      <c r="DM317" s="1">
        <v>-15930822.09</v>
      </c>
      <c r="DN317" s="1">
        <v>-36859.629999999997</v>
      </c>
      <c r="DO317" s="1">
        <v>2.0847000000000002</v>
      </c>
      <c r="DP317" s="1" t="s">
        <v>759</v>
      </c>
      <c r="DQ317" s="1" t="s">
        <v>1500</v>
      </c>
      <c r="DS317" s="1">
        <v>15957984.1</v>
      </c>
      <c r="DT317" s="1">
        <v>15912898.66</v>
      </c>
      <c r="DU317" s="1">
        <v>45085.45</v>
      </c>
      <c r="DV317" s="1">
        <v>2.4134699999999998</v>
      </c>
      <c r="DW317" s="1" t="s">
        <v>759</v>
      </c>
      <c r="DX317" s="1" t="s">
        <v>1500</v>
      </c>
      <c r="DY317" s="1" t="s">
        <v>1469</v>
      </c>
      <c r="DZ317" s="1">
        <v>-27824</v>
      </c>
      <c r="EA317" s="1">
        <v>8429</v>
      </c>
      <c r="ED317" s="1" t="s">
        <v>50</v>
      </c>
      <c r="EE317" s="1" t="s">
        <v>1501</v>
      </c>
      <c r="EF317" s="1" t="s">
        <v>53</v>
      </c>
      <c r="EG317" s="1" t="s">
        <v>1501</v>
      </c>
      <c r="EH317" s="1" t="s">
        <v>51</v>
      </c>
      <c r="EJ317" s="1" t="s">
        <v>55</v>
      </c>
      <c r="EL317" s="1" t="s">
        <v>57</v>
      </c>
    </row>
    <row r="318" spans="1:142" x14ac:dyDescent="0.2">
      <c r="A318" s="101">
        <v>90612498001</v>
      </c>
      <c r="B318" s="101">
        <v>90612498</v>
      </c>
      <c r="D318" s="1" t="s">
        <v>43</v>
      </c>
      <c r="E318" s="1" t="s">
        <v>44</v>
      </c>
      <c r="F318" s="1" t="s">
        <v>583</v>
      </c>
      <c r="AI318" s="1" t="s">
        <v>551</v>
      </c>
      <c r="AJ318" s="1" t="s">
        <v>44</v>
      </c>
      <c r="AK318" s="1" t="s">
        <v>584</v>
      </c>
      <c r="AL318" s="1" t="s">
        <v>1201</v>
      </c>
      <c r="AR318" s="1" t="s">
        <v>79</v>
      </c>
      <c r="AS318" s="1" t="s">
        <v>71</v>
      </c>
      <c r="AT318" s="1">
        <v>2.2602000000000002</v>
      </c>
      <c r="AV318" s="1" t="s">
        <v>921</v>
      </c>
      <c r="AW318" s="1" t="s">
        <v>1141</v>
      </c>
      <c r="AX318" s="1">
        <v>113580917</v>
      </c>
      <c r="BA318" s="1" t="s">
        <v>69</v>
      </c>
      <c r="BB318" s="1" t="s">
        <v>574</v>
      </c>
      <c r="BC318" s="1" t="s">
        <v>456</v>
      </c>
      <c r="BD318" s="1" t="s">
        <v>555</v>
      </c>
      <c r="BG318" s="1" t="s">
        <v>558</v>
      </c>
      <c r="BH318" s="1">
        <v>26</v>
      </c>
      <c r="BI318" s="1" t="s">
        <v>431</v>
      </c>
      <c r="BJ318" s="1" t="s">
        <v>67</v>
      </c>
      <c r="BK318" s="1" t="s">
        <v>440</v>
      </c>
      <c r="BL318" s="1">
        <v>0</v>
      </c>
      <c r="BM318" s="1" t="s">
        <v>921</v>
      </c>
      <c r="BN318" s="1" t="s">
        <v>1141</v>
      </c>
      <c r="BP318" s="1">
        <v>113580917</v>
      </c>
      <c r="BR318" s="1" t="s">
        <v>69</v>
      </c>
      <c r="BS318" s="1" t="s">
        <v>1023</v>
      </c>
      <c r="BT318" s="1" t="s">
        <v>574</v>
      </c>
      <c r="BU318" s="1" t="s">
        <v>456</v>
      </c>
      <c r="BV318" s="1" t="s">
        <v>555</v>
      </c>
      <c r="BY318" s="1" t="s">
        <v>558</v>
      </c>
      <c r="BZ318" s="1">
        <v>26</v>
      </c>
      <c r="CJ318" s="1">
        <v>2.17055</v>
      </c>
      <c r="CK318" s="1">
        <v>2.16805</v>
      </c>
      <c r="CL318" s="1">
        <v>2.1730499999999999</v>
      </c>
      <c r="CR318" s="1">
        <v>-10277.5485451818</v>
      </c>
      <c r="CS318" s="1">
        <v>-11692.47</v>
      </c>
      <c r="CT318" s="1">
        <v>-8862.6200000000008</v>
      </c>
      <c r="CU318" s="1">
        <v>-8.9999999999999993E-3</v>
      </c>
      <c r="CZ318" s="1">
        <v>-10277.549999999999</v>
      </c>
      <c r="DA318" s="1">
        <v>-10277.549999999999</v>
      </c>
      <c r="DB318" s="1">
        <v>-37732.699999999997</v>
      </c>
      <c r="DC318" s="1">
        <v>27455.15</v>
      </c>
      <c r="DD318" s="2">
        <v>4608.32</v>
      </c>
      <c r="DG318" s="1">
        <v>1384.26</v>
      </c>
      <c r="DL318" s="1">
        <v>-113853906.61</v>
      </c>
      <c r="DM318" s="1">
        <v>-113618583.98999999</v>
      </c>
      <c r="DN318" s="1">
        <v>-235322.62</v>
      </c>
      <c r="DO318" s="1">
        <v>2.2602000000000002</v>
      </c>
      <c r="DP318" s="1" t="s">
        <v>1203</v>
      </c>
      <c r="DQ318" s="1" t="s">
        <v>1203</v>
      </c>
      <c r="DS318" s="1">
        <v>113843629.06</v>
      </c>
      <c r="DT318" s="1">
        <v>113580851.28</v>
      </c>
      <c r="DU318" s="1">
        <v>262777.78000000003</v>
      </c>
      <c r="DV318" s="1">
        <v>2.2420399999999998</v>
      </c>
      <c r="DW318" s="1" t="s">
        <v>1203</v>
      </c>
      <c r="DX318" s="1" t="s">
        <v>1203</v>
      </c>
      <c r="DY318" s="1" t="s">
        <v>1201</v>
      </c>
      <c r="DZ318" s="1">
        <v>-60290</v>
      </c>
      <c r="EA318" s="1">
        <v>39735</v>
      </c>
      <c r="ED318" s="1" t="s">
        <v>50</v>
      </c>
      <c r="EE318" s="1" t="s">
        <v>1538</v>
      </c>
      <c r="EF318" s="1" t="s">
        <v>53</v>
      </c>
      <c r="EG318" s="1" t="s">
        <v>1538</v>
      </c>
      <c r="EH318" s="1" t="s">
        <v>51</v>
      </c>
      <c r="EJ318" s="1" t="s">
        <v>55</v>
      </c>
      <c r="EL318" s="1" t="s">
        <v>57</v>
      </c>
    </row>
    <row r="319" spans="1:142" x14ac:dyDescent="0.2">
      <c r="A319" s="101">
        <v>90694535001</v>
      </c>
      <c r="B319" s="101">
        <v>90694535</v>
      </c>
      <c r="D319" s="1" t="s">
        <v>43</v>
      </c>
      <c r="E319" s="1" t="s">
        <v>44</v>
      </c>
      <c r="F319" s="1" t="s">
        <v>583</v>
      </c>
      <c r="AI319" s="1" t="s">
        <v>551</v>
      </c>
      <c r="AJ319" s="1" t="s">
        <v>44</v>
      </c>
      <c r="AK319" s="1" t="s">
        <v>584</v>
      </c>
      <c r="AL319" s="1" t="s">
        <v>1369</v>
      </c>
      <c r="AR319" s="1" t="s">
        <v>79</v>
      </c>
      <c r="AS319" s="1" t="s">
        <v>71</v>
      </c>
      <c r="AT319" s="1">
        <v>2.1432000000000002</v>
      </c>
      <c r="AV319" s="1" t="s">
        <v>1542</v>
      </c>
      <c r="AW319" s="1" t="s">
        <v>1543</v>
      </c>
      <c r="AX319" s="1">
        <v>81492123</v>
      </c>
      <c r="BA319" s="1" t="s">
        <v>69</v>
      </c>
      <c r="BB319" s="1" t="s">
        <v>574</v>
      </c>
      <c r="BC319" s="1" t="s">
        <v>456</v>
      </c>
      <c r="BD319" s="1" t="s">
        <v>555</v>
      </c>
      <c r="BG319" s="1" t="s">
        <v>558</v>
      </c>
      <c r="BH319" s="1">
        <v>27</v>
      </c>
      <c r="BI319" s="1" t="s">
        <v>431</v>
      </c>
      <c r="BJ319" s="1" t="s">
        <v>67</v>
      </c>
      <c r="BK319" s="1" t="s">
        <v>440</v>
      </c>
      <c r="BL319" s="1">
        <v>0</v>
      </c>
      <c r="BM319" s="1" t="s">
        <v>1542</v>
      </c>
      <c r="BN319" s="1" t="s">
        <v>1543</v>
      </c>
      <c r="BP319" s="1">
        <v>81492123</v>
      </c>
      <c r="BR319" s="1" t="s">
        <v>69</v>
      </c>
      <c r="BS319" s="1" t="s">
        <v>1023</v>
      </c>
      <c r="BT319" s="1" t="s">
        <v>574</v>
      </c>
      <c r="BU319" s="1" t="s">
        <v>456</v>
      </c>
      <c r="BV319" s="1" t="s">
        <v>555</v>
      </c>
      <c r="BY319" s="1" t="s">
        <v>558</v>
      </c>
      <c r="BZ319" s="1">
        <v>27</v>
      </c>
      <c r="CJ319" s="1">
        <v>2.08127</v>
      </c>
      <c r="CK319" s="1">
        <v>2.07877</v>
      </c>
      <c r="CL319" s="1">
        <v>2.0837699999999999</v>
      </c>
      <c r="CR319" s="1">
        <v>-2294.5240829885001</v>
      </c>
      <c r="CS319" s="1">
        <v>-3818.14</v>
      </c>
      <c r="CT319" s="1">
        <v>-770.91</v>
      </c>
      <c r="CU319" s="1">
        <v>-2.8E-3</v>
      </c>
      <c r="CZ319" s="1">
        <v>-2294.52</v>
      </c>
      <c r="DA319" s="1">
        <v>-2294.52</v>
      </c>
      <c r="DB319" s="1">
        <v>-29538.41</v>
      </c>
      <c r="DC319" s="1">
        <v>27243.88</v>
      </c>
      <c r="DD319" s="2">
        <v>5370.6</v>
      </c>
      <c r="DG319" s="1">
        <v>1221.05</v>
      </c>
      <c r="DL319" s="1">
        <v>-81676844.170000002</v>
      </c>
      <c r="DM319" s="1">
        <v>-81521596.239999995</v>
      </c>
      <c r="DN319" s="1">
        <v>-155247.93</v>
      </c>
      <c r="DO319" s="1">
        <v>2.1432000000000002</v>
      </c>
      <c r="DP319" s="1" t="s">
        <v>1491</v>
      </c>
      <c r="DQ319" s="1" t="s">
        <v>1491</v>
      </c>
      <c r="DS319" s="1">
        <v>81674549.640000001</v>
      </c>
      <c r="DT319" s="1">
        <v>81492057.829999998</v>
      </c>
      <c r="DU319" s="1">
        <v>182491.81</v>
      </c>
      <c r="DV319" s="1">
        <v>2.13944</v>
      </c>
      <c r="DW319" s="1" t="s">
        <v>1491</v>
      </c>
      <c r="DX319" s="1" t="s">
        <v>1491</v>
      </c>
      <c r="DY319" s="1" t="s">
        <v>1369</v>
      </c>
      <c r="DZ319" s="1">
        <v>-58183</v>
      </c>
      <c r="EA319" s="1">
        <v>53594</v>
      </c>
      <c r="ED319" s="1" t="s">
        <v>50</v>
      </c>
      <c r="EE319" s="1" t="s">
        <v>1544</v>
      </c>
      <c r="EF319" s="1" t="s">
        <v>53</v>
      </c>
      <c r="EG319" s="1" t="s">
        <v>1544</v>
      </c>
      <c r="EH319" s="1" t="s">
        <v>51</v>
      </c>
      <c r="EJ319" s="1" t="s">
        <v>55</v>
      </c>
      <c r="EL319" s="1" t="s">
        <v>57</v>
      </c>
    </row>
    <row r="320" spans="1:142" x14ac:dyDescent="0.2">
      <c r="A320" s="101">
        <v>90771340001</v>
      </c>
      <c r="B320" s="101">
        <v>90771340</v>
      </c>
      <c r="D320" s="1" t="s">
        <v>334</v>
      </c>
      <c r="E320" s="1" t="s">
        <v>44</v>
      </c>
      <c r="F320" s="1" t="s">
        <v>583</v>
      </c>
      <c r="AI320" s="1" t="s">
        <v>551</v>
      </c>
      <c r="AJ320" s="1" t="s">
        <v>44</v>
      </c>
      <c r="AK320" s="1" t="s">
        <v>584</v>
      </c>
      <c r="AL320" s="1" t="s">
        <v>921</v>
      </c>
      <c r="AR320" s="1" t="s">
        <v>79</v>
      </c>
      <c r="AS320" s="1" t="s">
        <v>71</v>
      </c>
      <c r="AT320" s="1">
        <v>2.1387</v>
      </c>
      <c r="AV320" s="1" t="s">
        <v>958</v>
      </c>
      <c r="AW320" s="1" t="s">
        <v>1491</v>
      </c>
      <c r="AX320" s="1">
        <v>24544907</v>
      </c>
      <c r="BA320" s="1" t="s">
        <v>69</v>
      </c>
      <c r="BB320" s="1" t="s">
        <v>574</v>
      </c>
      <c r="BC320" s="1" t="s">
        <v>456</v>
      </c>
      <c r="BD320" s="1" t="s">
        <v>555</v>
      </c>
      <c r="BG320" s="1" t="s">
        <v>558</v>
      </c>
      <c r="BH320" s="1">
        <v>28</v>
      </c>
      <c r="BI320" s="1" t="s">
        <v>431</v>
      </c>
      <c r="BJ320" s="1" t="s">
        <v>67</v>
      </c>
      <c r="BK320" s="1" t="s">
        <v>440</v>
      </c>
      <c r="BL320" s="1">
        <v>0</v>
      </c>
      <c r="BM320" s="1" t="s">
        <v>958</v>
      </c>
      <c r="BN320" s="1" t="s">
        <v>1491</v>
      </c>
      <c r="BP320" s="1">
        <v>24544907</v>
      </c>
      <c r="BR320" s="1" t="s">
        <v>69</v>
      </c>
      <c r="BS320" s="1" t="s">
        <v>1023</v>
      </c>
      <c r="BT320" s="1" t="s">
        <v>574</v>
      </c>
      <c r="BU320" s="1" t="s">
        <v>456</v>
      </c>
      <c r="BV320" s="1" t="s">
        <v>555</v>
      </c>
      <c r="BY320" s="1" t="s">
        <v>558</v>
      </c>
      <c r="BZ320" s="1">
        <v>28</v>
      </c>
      <c r="CJ320" s="1">
        <v>2.08053</v>
      </c>
      <c r="CK320" s="1">
        <v>2.07803</v>
      </c>
      <c r="CL320" s="1">
        <v>2.0830299999999999</v>
      </c>
      <c r="CR320" s="1">
        <v>-404.07773847509998</v>
      </c>
      <c r="CS320" s="1">
        <v>-862.91</v>
      </c>
      <c r="CT320" s="1">
        <v>54.75</v>
      </c>
      <c r="CU320" s="1">
        <v>-1.6000000000000001E-3</v>
      </c>
      <c r="CZ320" s="1">
        <v>-404.08</v>
      </c>
      <c r="DA320" s="1">
        <v>-404.08</v>
      </c>
      <c r="DB320" s="1">
        <v>-8344.49</v>
      </c>
      <c r="DC320" s="1">
        <v>7940.41</v>
      </c>
      <c r="DD320" s="2">
        <v>1623.93</v>
      </c>
      <c r="DG320" s="1">
        <v>368.03</v>
      </c>
      <c r="DL320" s="1">
        <v>-24598394.359999999</v>
      </c>
      <c r="DM320" s="1">
        <v>-24553191.030000001</v>
      </c>
      <c r="DN320" s="1">
        <v>-45203.33</v>
      </c>
      <c r="DO320" s="1">
        <v>2.1387</v>
      </c>
      <c r="DP320" s="1" t="s">
        <v>967</v>
      </c>
      <c r="DQ320" s="1" t="s">
        <v>967</v>
      </c>
      <c r="DS320" s="1">
        <v>24597990.289999999</v>
      </c>
      <c r="DT320" s="1">
        <v>24544846.539999999</v>
      </c>
      <c r="DU320" s="1">
        <v>53143.74</v>
      </c>
      <c r="DV320" s="1">
        <v>2.1364999999999998</v>
      </c>
      <c r="DW320" s="1" t="s">
        <v>967</v>
      </c>
      <c r="DX320" s="1" t="s">
        <v>967</v>
      </c>
      <c r="DY320" s="1" t="s">
        <v>921</v>
      </c>
      <c r="DZ320" s="1">
        <v>-17297</v>
      </c>
      <c r="EA320" s="1">
        <v>16489</v>
      </c>
      <c r="ED320" s="1" t="s">
        <v>50</v>
      </c>
      <c r="EE320" s="1" t="s">
        <v>1546</v>
      </c>
      <c r="EF320" s="1" t="s">
        <v>53</v>
      </c>
      <c r="EG320" s="1" t="s">
        <v>1546</v>
      </c>
      <c r="EH320" s="1" t="s">
        <v>51</v>
      </c>
      <c r="EJ320" s="1" t="s">
        <v>55</v>
      </c>
      <c r="EL320" s="1" t="s">
        <v>57</v>
      </c>
    </row>
    <row r="321" spans="1:142" x14ac:dyDescent="0.2">
      <c r="A321" s="101">
        <v>90771347001</v>
      </c>
      <c r="B321" s="101">
        <v>90771347</v>
      </c>
      <c r="D321" s="1" t="s">
        <v>334</v>
      </c>
      <c r="E321" s="1" t="s">
        <v>44</v>
      </c>
      <c r="F321" s="1" t="s">
        <v>583</v>
      </c>
      <c r="AI321" s="1" t="s">
        <v>551</v>
      </c>
      <c r="AJ321" s="1" t="s">
        <v>44</v>
      </c>
      <c r="AK321" s="1" t="s">
        <v>584</v>
      </c>
      <c r="AL321" s="1" t="s">
        <v>921</v>
      </c>
      <c r="AR321" s="1" t="s">
        <v>79</v>
      </c>
      <c r="AS321" s="1" t="s">
        <v>71</v>
      </c>
      <c r="AT321" s="1">
        <v>2.3332000000000002</v>
      </c>
      <c r="AV321" s="1" t="s">
        <v>958</v>
      </c>
      <c r="AW321" s="1" t="s">
        <v>1404</v>
      </c>
      <c r="AX321" s="1">
        <v>13867474</v>
      </c>
      <c r="BA321" s="1" t="s">
        <v>69</v>
      </c>
      <c r="BB321" s="1" t="s">
        <v>574</v>
      </c>
      <c r="BC321" s="1" t="s">
        <v>456</v>
      </c>
      <c r="BD321" s="1" t="s">
        <v>555</v>
      </c>
      <c r="BG321" s="1" t="s">
        <v>558</v>
      </c>
      <c r="BH321" s="1">
        <v>30</v>
      </c>
      <c r="BI321" s="1" t="s">
        <v>431</v>
      </c>
      <c r="BJ321" s="1" t="s">
        <v>67</v>
      </c>
      <c r="BK321" s="1" t="s">
        <v>440</v>
      </c>
      <c r="BL321" s="1">
        <v>0</v>
      </c>
      <c r="BM321" s="1" t="s">
        <v>958</v>
      </c>
      <c r="BN321" s="1" t="s">
        <v>1404</v>
      </c>
      <c r="BP321" s="1">
        <v>13867474</v>
      </c>
      <c r="BR321" s="1" t="s">
        <v>69</v>
      </c>
      <c r="BS321" s="1" t="s">
        <v>1023</v>
      </c>
      <c r="BT321" s="1" t="s">
        <v>574</v>
      </c>
      <c r="BU321" s="1" t="s">
        <v>456</v>
      </c>
      <c r="BV321" s="1" t="s">
        <v>555</v>
      </c>
      <c r="BY321" s="1" t="s">
        <v>558</v>
      </c>
      <c r="BZ321" s="1">
        <v>30</v>
      </c>
      <c r="CJ321" s="1">
        <v>2.2478699999999998</v>
      </c>
      <c r="CK321" s="1">
        <v>2.2453699999999999</v>
      </c>
      <c r="CL321" s="1">
        <v>2.2503700000000002</v>
      </c>
      <c r="CR321" s="1">
        <v>-513.42174500789997</v>
      </c>
      <c r="CS321" s="1">
        <v>-630.24</v>
      </c>
      <c r="CT321" s="1">
        <v>-396.61</v>
      </c>
      <c r="CU321" s="1">
        <v>-3.7000000000000002E-3</v>
      </c>
      <c r="CZ321" s="1">
        <v>-513.41999999999996</v>
      </c>
      <c r="DA321" s="1">
        <v>-513.41999999999996</v>
      </c>
      <c r="DB321" s="1">
        <v>-2677.02</v>
      </c>
      <c r="DC321" s="1">
        <v>2163.59</v>
      </c>
      <c r="DD321" s="2">
        <v>345.52</v>
      </c>
      <c r="DG321" s="1">
        <v>135.76</v>
      </c>
      <c r="DL321" s="1">
        <v>-13898007.039999999</v>
      </c>
      <c r="DM321" s="1">
        <v>-13870145.279999999</v>
      </c>
      <c r="DN321" s="1">
        <v>-27861.759999999998</v>
      </c>
      <c r="DO321" s="1">
        <v>2.3332000000000002</v>
      </c>
      <c r="DP321" s="1" t="s">
        <v>770</v>
      </c>
      <c r="DQ321" s="1" t="s">
        <v>770</v>
      </c>
      <c r="DS321" s="1">
        <v>13897493.619999999</v>
      </c>
      <c r="DT321" s="1">
        <v>13867468.27</v>
      </c>
      <c r="DU321" s="1">
        <v>30025.35</v>
      </c>
      <c r="DV321" s="1">
        <v>2.3222100000000001</v>
      </c>
      <c r="DW321" s="1" t="s">
        <v>770</v>
      </c>
      <c r="DX321" s="1" t="s">
        <v>770</v>
      </c>
      <c r="DY321" s="1" t="s">
        <v>921</v>
      </c>
      <c r="DZ321" s="1">
        <v>-4397</v>
      </c>
      <c r="EA321" s="1">
        <v>3370</v>
      </c>
      <c r="ED321" s="1" t="s">
        <v>50</v>
      </c>
      <c r="EE321" s="1" t="s">
        <v>1548</v>
      </c>
      <c r="EF321" s="1" t="s">
        <v>53</v>
      </c>
      <c r="EG321" s="1" t="s">
        <v>1548</v>
      </c>
      <c r="EH321" s="1" t="s">
        <v>51</v>
      </c>
      <c r="EJ321" s="1" t="s">
        <v>55</v>
      </c>
      <c r="EL321" s="1" t="s">
        <v>57</v>
      </c>
    </row>
    <row r="322" spans="1:142" x14ac:dyDescent="0.2">
      <c r="A322" s="101">
        <v>90887561001</v>
      </c>
      <c r="B322" s="101">
        <v>90887561</v>
      </c>
      <c r="D322" s="1" t="s">
        <v>43</v>
      </c>
      <c r="E322" s="1" t="s">
        <v>44</v>
      </c>
      <c r="F322" s="1" t="s">
        <v>583</v>
      </c>
      <c r="AI322" s="1" t="s">
        <v>551</v>
      </c>
      <c r="AJ322" s="1" t="s">
        <v>44</v>
      </c>
      <c r="AK322" s="1" t="s">
        <v>584</v>
      </c>
      <c r="AL322" s="1" t="s">
        <v>1542</v>
      </c>
      <c r="AR322" s="1" t="s">
        <v>79</v>
      </c>
      <c r="AS322" s="1" t="s">
        <v>71</v>
      </c>
      <c r="AT322" s="1">
        <v>2.1166999999999998</v>
      </c>
      <c r="AV322" s="1" t="s">
        <v>1029</v>
      </c>
      <c r="AW322" s="1" t="s">
        <v>1405</v>
      </c>
      <c r="AX322" s="1">
        <v>58819942</v>
      </c>
      <c r="BA322" s="1" t="s">
        <v>69</v>
      </c>
      <c r="BB322" s="1" t="s">
        <v>574</v>
      </c>
      <c r="BC322" s="1" t="s">
        <v>456</v>
      </c>
      <c r="BD322" s="1" t="s">
        <v>555</v>
      </c>
      <c r="BG322" s="1" t="s">
        <v>558</v>
      </c>
      <c r="BH322" s="1">
        <v>24</v>
      </c>
      <c r="BI322" s="1" t="s">
        <v>431</v>
      </c>
      <c r="BJ322" s="1" t="s">
        <v>67</v>
      </c>
      <c r="BK322" s="1" t="s">
        <v>440</v>
      </c>
      <c r="BL322" s="1">
        <v>0</v>
      </c>
      <c r="BM322" s="1" t="s">
        <v>1029</v>
      </c>
      <c r="BN322" s="1" t="s">
        <v>1405</v>
      </c>
      <c r="BP322" s="1">
        <v>58819942</v>
      </c>
      <c r="BR322" s="1" t="s">
        <v>69</v>
      </c>
      <c r="BS322" s="1" t="s">
        <v>1023</v>
      </c>
      <c r="BT322" s="1" t="s">
        <v>574</v>
      </c>
      <c r="BU322" s="1" t="s">
        <v>456</v>
      </c>
      <c r="BV322" s="1" t="s">
        <v>555</v>
      </c>
      <c r="BY322" s="1" t="s">
        <v>558</v>
      </c>
      <c r="BZ322" s="1">
        <v>24</v>
      </c>
      <c r="CJ322" s="1">
        <v>2.0627200000000001</v>
      </c>
      <c r="CK322" s="1">
        <v>2.0602200000000002</v>
      </c>
      <c r="CL322" s="1">
        <v>2.0652200000000001</v>
      </c>
      <c r="CR322" s="1">
        <v>-3090.6692268774</v>
      </c>
      <c r="CS322" s="1">
        <v>-4281.13</v>
      </c>
      <c r="CT322" s="1">
        <v>-1900.21</v>
      </c>
      <c r="CU322" s="1">
        <v>-5.3E-3</v>
      </c>
      <c r="CZ322" s="1">
        <v>-3090.67</v>
      </c>
      <c r="DA322" s="1">
        <v>-3090.67</v>
      </c>
      <c r="DB322" s="1">
        <v>-20554.97</v>
      </c>
      <c r="DC322" s="1">
        <v>17464.3</v>
      </c>
      <c r="DD322" s="2">
        <v>4304.3900000000003</v>
      </c>
      <c r="DG322" s="1">
        <v>903.18</v>
      </c>
      <c r="DL322" s="1">
        <v>-58937075.799999997</v>
      </c>
      <c r="DM322" s="1">
        <v>-58840239.219999999</v>
      </c>
      <c r="DN322" s="1">
        <v>-96836.58</v>
      </c>
      <c r="DO322" s="1">
        <v>2.1166999999999998</v>
      </c>
      <c r="DP322" s="1" t="s">
        <v>1410</v>
      </c>
      <c r="DQ322" s="1" t="s">
        <v>1410</v>
      </c>
      <c r="DS322" s="1">
        <v>58933985.130000003</v>
      </c>
      <c r="DT322" s="1">
        <v>58819684.25</v>
      </c>
      <c r="DU322" s="1">
        <v>114300.88</v>
      </c>
      <c r="DV322" s="1">
        <v>2.1102099999999999</v>
      </c>
      <c r="DW322" s="1" t="s">
        <v>1410</v>
      </c>
      <c r="DX322" s="1" t="s">
        <v>1410</v>
      </c>
      <c r="DY322" s="1" t="s">
        <v>1542</v>
      </c>
      <c r="DZ322" s="1">
        <v>-47484</v>
      </c>
      <c r="EA322" s="1">
        <v>41303</v>
      </c>
      <c r="ED322" s="1" t="s">
        <v>50</v>
      </c>
      <c r="EE322" s="1" t="s">
        <v>1550</v>
      </c>
      <c r="EF322" s="1" t="s">
        <v>53</v>
      </c>
      <c r="EG322" s="1" t="s">
        <v>1550</v>
      </c>
      <c r="EH322" s="1" t="s">
        <v>51</v>
      </c>
      <c r="EJ322" s="1" t="s">
        <v>55</v>
      </c>
      <c r="EL322" s="1" t="s">
        <v>57</v>
      </c>
    </row>
    <row r="323" spans="1:142" x14ac:dyDescent="0.2">
      <c r="A323" s="101">
        <v>91005564001</v>
      </c>
      <c r="B323" s="101">
        <v>91005564</v>
      </c>
      <c r="D323" s="1" t="s">
        <v>43</v>
      </c>
      <c r="E323" s="1" t="s">
        <v>44</v>
      </c>
      <c r="F323" s="1" t="s">
        <v>583</v>
      </c>
      <c r="AI323" s="1" t="s">
        <v>551</v>
      </c>
      <c r="AJ323" s="1" t="s">
        <v>44</v>
      </c>
      <c r="AK323" s="1" t="s">
        <v>584</v>
      </c>
      <c r="AL323" s="1" t="s">
        <v>958</v>
      </c>
      <c r="AR323" s="1" t="s">
        <v>79</v>
      </c>
      <c r="AS323" s="1" t="s">
        <v>71</v>
      </c>
      <c r="AT323" s="1">
        <v>2.0327000000000002</v>
      </c>
      <c r="AV323" s="1" t="s">
        <v>1041</v>
      </c>
      <c r="AW323" s="1" t="s">
        <v>1552</v>
      </c>
      <c r="AX323" s="1">
        <v>53707557</v>
      </c>
      <c r="BA323" s="1" t="s">
        <v>69</v>
      </c>
      <c r="BB323" s="1" t="s">
        <v>574</v>
      </c>
      <c r="BC323" s="1" t="s">
        <v>456</v>
      </c>
      <c r="BD323" s="1" t="s">
        <v>555</v>
      </c>
      <c r="BG323" s="1" t="s">
        <v>558</v>
      </c>
      <c r="BH323" s="1">
        <v>3</v>
      </c>
      <c r="BI323" s="1" t="s">
        <v>431</v>
      </c>
      <c r="BJ323" s="1" t="s">
        <v>67</v>
      </c>
      <c r="BK323" s="1" t="s">
        <v>440</v>
      </c>
      <c r="BL323" s="1">
        <v>0</v>
      </c>
      <c r="BM323" s="1" t="s">
        <v>1041</v>
      </c>
      <c r="BN323" s="1" t="s">
        <v>1552</v>
      </c>
      <c r="BP323" s="1">
        <v>53707557</v>
      </c>
      <c r="BR323" s="1" t="s">
        <v>69</v>
      </c>
      <c r="BS323" s="1" t="s">
        <v>1023</v>
      </c>
      <c r="BT323" s="1" t="s">
        <v>574</v>
      </c>
      <c r="BU323" s="1" t="s">
        <v>456</v>
      </c>
      <c r="BV323" s="1" t="s">
        <v>555</v>
      </c>
      <c r="BY323" s="1" t="s">
        <v>558</v>
      </c>
      <c r="BZ323" s="1">
        <v>3</v>
      </c>
      <c r="CJ323" s="1">
        <v>2.0225399999999998</v>
      </c>
      <c r="CK323" s="1">
        <v>2.0200399999999998</v>
      </c>
      <c r="CL323" s="1">
        <v>2.0250400000000002</v>
      </c>
      <c r="CR323" s="1">
        <v>16304.5452839136</v>
      </c>
      <c r="CS323" s="1">
        <v>14972.26</v>
      </c>
      <c r="CT323" s="1">
        <v>17636.830000000002</v>
      </c>
      <c r="CU323" s="1">
        <v>3.04E-2</v>
      </c>
      <c r="CZ323" s="1">
        <v>16304.55</v>
      </c>
      <c r="DA323" s="1">
        <v>16304.55</v>
      </c>
      <c r="DB323" s="1">
        <v>-2202.9699999999998</v>
      </c>
      <c r="DC323" s="1">
        <v>18507.509999999998</v>
      </c>
      <c r="DD323" s="2">
        <v>4927.37</v>
      </c>
      <c r="DG323" s="1">
        <v>868.96</v>
      </c>
      <c r="DL323" s="1">
        <v>-53791584.32</v>
      </c>
      <c r="DM323" s="1">
        <v>-53709705.810000002</v>
      </c>
      <c r="DN323" s="1">
        <v>-81878.509999999995</v>
      </c>
      <c r="DO323" s="1">
        <v>2.0327000000000002</v>
      </c>
      <c r="DP323" s="1" t="s">
        <v>1553</v>
      </c>
      <c r="DQ323" s="1" t="s">
        <v>1553</v>
      </c>
      <c r="DS323" s="1">
        <v>53807888.869999997</v>
      </c>
      <c r="DT323" s="1">
        <v>53707502.840000004</v>
      </c>
      <c r="DU323" s="1">
        <v>100386.03</v>
      </c>
      <c r="DV323" s="1">
        <v>2.0632999999999999</v>
      </c>
      <c r="DW323" s="1" t="s">
        <v>1553</v>
      </c>
      <c r="DX323" s="1" t="s">
        <v>1553</v>
      </c>
      <c r="DY323" s="1" t="s">
        <v>958</v>
      </c>
      <c r="DZ323" s="1">
        <v>-33524</v>
      </c>
      <c r="EA323" s="1">
        <v>66134</v>
      </c>
      <c r="ED323" s="1" t="s">
        <v>50</v>
      </c>
      <c r="EE323" s="1" t="s">
        <v>1554</v>
      </c>
      <c r="EF323" s="1" t="s">
        <v>53</v>
      </c>
      <c r="EG323" s="1" t="s">
        <v>1554</v>
      </c>
      <c r="EH323" s="1" t="s">
        <v>51</v>
      </c>
      <c r="EJ323" s="1" t="s">
        <v>55</v>
      </c>
      <c r="EL323" s="1" t="s">
        <v>57</v>
      </c>
    </row>
    <row r="324" spans="1:142" x14ac:dyDescent="0.2">
      <c r="A324" s="101">
        <v>91135575001</v>
      </c>
      <c r="B324" s="101">
        <v>91135575</v>
      </c>
      <c r="D324" s="1" t="s">
        <v>63</v>
      </c>
      <c r="E324" s="1" t="s">
        <v>44</v>
      </c>
      <c r="F324" s="1" t="s">
        <v>1254</v>
      </c>
      <c r="AI324" s="1" t="s">
        <v>551</v>
      </c>
      <c r="AJ324" s="1" t="s">
        <v>44</v>
      </c>
      <c r="AK324" s="1" t="s">
        <v>813</v>
      </c>
      <c r="AL324" s="1" t="s">
        <v>1041</v>
      </c>
      <c r="AM324" s="1">
        <v>-24701</v>
      </c>
      <c r="AN324" s="1" t="s">
        <v>44</v>
      </c>
      <c r="AO324" s="1">
        <v>2.4701</v>
      </c>
      <c r="AP324" s="1" t="s">
        <v>1350</v>
      </c>
      <c r="AR324" s="1" t="s">
        <v>814</v>
      </c>
      <c r="AV324" s="1" t="s">
        <v>772</v>
      </c>
      <c r="AW324" s="1" t="s">
        <v>1555</v>
      </c>
      <c r="AX324" s="1">
        <v>1000000</v>
      </c>
      <c r="BG324" s="1" t="s">
        <v>558</v>
      </c>
      <c r="BH324" s="1">
        <v>0</v>
      </c>
      <c r="BI324" s="1" t="s">
        <v>79</v>
      </c>
      <c r="BK324" s="1">
        <v>2.1</v>
      </c>
      <c r="BM324" s="1" t="s">
        <v>772</v>
      </c>
      <c r="BN324" s="1" t="s">
        <v>1555</v>
      </c>
      <c r="BO324" s="1" t="s">
        <v>46</v>
      </c>
      <c r="BS324" s="1" t="s">
        <v>69</v>
      </c>
      <c r="BT324" s="1" t="s">
        <v>574</v>
      </c>
      <c r="BV324" s="1" t="s">
        <v>555</v>
      </c>
      <c r="BY324" s="1" t="s">
        <v>558</v>
      </c>
      <c r="BZ324" s="1">
        <v>0</v>
      </c>
      <c r="CR324" s="1">
        <v>-7700.5806871471004</v>
      </c>
      <c r="CS324" s="1">
        <v>-8176.4217181329996</v>
      </c>
      <c r="CT324" s="1">
        <v>-7224.7396561611004</v>
      </c>
      <c r="CU324" s="1">
        <v>-0.77010000000000001</v>
      </c>
      <c r="DB324" s="1">
        <v>-40325.58</v>
      </c>
      <c r="DC324" s="1">
        <v>-7700.5806871000004</v>
      </c>
      <c r="DV324" s="1">
        <v>2.1</v>
      </c>
      <c r="ED324" s="1" t="s">
        <v>50</v>
      </c>
      <c r="EE324" s="1" t="s">
        <v>1556</v>
      </c>
      <c r="EF324" s="1" t="s">
        <v>53</v>
      </c>
      <c r="EG324" s="1" t="s">
        <v>1556</v>
      </c>
      <c r="EH324" s="1" t="s">
        <v>51</v>
      </c>
      <c r="EJ324" s="1" t="s">
        <v>55</v>
      </c>
      <c r="EL324" s="1" t="s">
        <v>57</v>
      </c>
    </row>
    <row r="325" spans="1:142" x14ac:dyDescent="0.2">
      <c r="A325" s="101">
        <v>91141900001</v>
      </c>
      <c r="B325" s="101">
        <v>91141900</v>
      </c>
      <c r="D325" s="1" t="s">
        <v>334</v>
      </c>
      <c r="E325" s="1" t="s">
        <v>44</v>
      </c>
      <c r="F325" s="1" t="s">
        <v>583</v>
      </c>
      <c r="AI325" s="1" t="s">
        <v>551</v>
      </c>
      <c r="AJ325" s="1" t="s">
        <v>44</v>
      </c>
      <c r="AK325" s="1" t="s">
        <v>584</v>
      </c>
      <c r="AL325" s="1" t="s">
        <v>1029</v>
      </c>
      <c r="AR325" s="1" t="s">
        <v>79</v>
      </c>
      <c r="AS325" s="1" t="s">
        <v>71</v>
      </c>
      <c r="AT325" s="1">
        <v>2.0716999999999999</v>
      </c>
      <c r="AV325" s="1" t="s">
        <v>1145</v>
      </c>
      <c r="AW325" s="1" t="s">
        <v>1528</v>
      </c>
      <c r="AX325" s="1">
        <v>29346183</v>
      </c>
      <c r="BA325" s="1" t="s">
        <v>69</v>
      </c>
      <c r="BB325" s="1" t="s">
        <v>574</v>
      </c>
      <c r="BC325" s="1" t="s">
        <v>456</v>
      </c>
      <c r="BD325" s="1" t="s">
        <v>555</v>
      </c>
      <c r="BG325" s="1" t="s">
        <v>558</v>
      </c>
      <c r="BH325" s="1">
        <v>5</v>
      </c>
      <c r="BI325" s="1" t="s">
        <v>431</v>
      </c>
      <c r="BJ325" s="1" t="s">
        <v>67</v>
      </c>
      <c r="BK325" s="1" t="s">
        <v>440</v>
      </c>
      <c r="BL325" s="1">
        <v>0</v>
      </c>
      <c r="BM325" s="1" t="s">
        <v>1145</v>
      </c>
      <c r="BN325" s="1" t="s">
        <v>1528</v>
      </c>
      <c r="BP325" s="1">
        <v>29346183</v>
      </c>
      <c r="BR325" s="1" t="s">
        <v>69</v>
      </c>
      <c r="BS325" s="1" t="s">
        <v>1023</v>
      </c>
      <c r="BT325" s="1" t="s">
        <v>574</v>
      </c>
      <c r="BU325" s="1" t="s">
        <v>456</v>
      </c>
      <c r="BV325" s="1" t="s">
        <v>555</v>
      </c>
      <c r="BY325" s="1" t="s">
        <v>558</v>
      </c>
      <c r="BZ325" s="1">
        <v>5</v>
      </c>
      <c r="CJ325" s="1">
        <v>2.0356399999999999</v>
      </c>
      <c r="CK325" s="1">
        <v>2.0331399999999999</v>
      </c>
      <c r="CL325" s="1">
        <v>2.0381399999999998</v>
      </c>
      <c r="CR325" s="1">
        <v>1222.0019126385</v>
      </c>
      <c r="CS325" s="1">
        <v>547.14</v>
      </c>
      <c r="CT325" s="1">
        <v>1896.87</v>
      </c>
      <c r="CU325" s="1">
        <v>4.1999999999999997E-3</v>
      </c>
      <c r="CZ325" s="1">
        <v>1222</v>
      </c>
      <c r="DA325" s="1">
        <v>1222</v>
      </c>
      <c r="DB325" s="1">
        <v>-7545.53</v>
      </c>
      <c r="DC325" s="1">
        <v>8767.5300000000007</v>
      </c>
      <c r="DD325" s="2">
        <v>2487.79</v>
      </c>
      <c r="DG325" s="1">
        <v>481.88</v>
      </c>
      <c r="DL325" s="1">
        <v>-29397609.68</v>
      </c>
      <c r="DM325" s="1">
        <v>-29353701.109999999</v>
      </c>
      <c r="DN325" s="1">
        <v>-43908.57</v>
      </c>
      <c r="DO325" s="1">
        <v>2.0716999999999999</v>
      </c>
      <c r="DP325" s="1" t="s">
        <v>1565</v>
      </c>
      <c r="DQ325" s="1" t="s">
        <v>1565</v>
      </c>
      <c r="DS325" s="1">
        <v>29398831.68</v>
      </c>
      <c r="DT325" s="1">
        <v>29346155.57</v>
      </c>
      <c r="DU325" s="1">
        <v>52676.11</v>
      </c>
      <c r="DV325" s="1">
        <v>2.0762299999999998</v>
      </c>
      <c r="DW325" s="1" t="s">
        <v>1565</v>
      </c>
      <c r="DX325" s="1" t="s">
        <v>1565</v>
      </c>
      <c r="DY325" s="1" t="s">
        <v>1029</v>
      </c>
      <c r="DZ325" s="1">
        <v>-24099</v>
      </c>
      <c r="EA325" s="1">
        <v>26543</v>
      </c>
      <c r="ED325" s="1" t="s">
        <v>50</v>
      </c>
      <c r="EE325" s="1" t="s">
        <v>1566</v>
      </c>
      <c r="EF325" s="1" t="s">
        <v>53</v>
      </c>
      <c r="EG325" s="1" t="s">
        <v>1566</v>
      </c>
      <c r="EH325" s="1" t="s">
        <v>51</v>
      </c>
      <c r="EJ325" s="1" t="s">
        <v>55</v>
      </c>
      <c r="EL325" s="1" t="s">
        <v>57</v>
      </c>
    </row>
    <row r="326" spans="1:142" x14ac:dyDescent="0.2">
      <c r="A326" s="101">
        <v>91142420001</v>
      </c>
      <c r="B326" s="101">
        <v>91142420</v>
      </c>
      <c r="D326" s="1" t="s">
        <v>220</v>
      </c>
      <c r="E326" s="1" t="s">
        <v>46</v>
      </c>
      <c r="F326" s="1" t="s">
        <v>561</v>
      </c>
      <c r="U326" s="1">
        <v>79837813.168699801</v>
      </c>
      <c r="AI326" s="1" t="s">
        <v>551</v>
      </c>
      <c r="AJ326" s="1" t="s">
        <v>46</v>
      </c>
      <c r="AK326" s="1" t="s">
        <v>581</v>
      </c>
      <c r="AL326" s="1" t="s">
        <v>1029</v>
      </c>
      <c r="AR326" s="1" t="s">
        <v>66</v>
      </c>
      <c r="AS326" s="1" t="s">
        <v>67</v>
      </c>
      <c r="AT326" s="1">
        <v>2.548</v>
      </c>
      <c r="AV326" s="1" t="s">
        <v>1145</v>
      </c>
      <c r="AW326" s="1" t="s">
        <v>1567</v>
      </c>
      <c r="AX326" s="1">
        <v>70400000</v>
      </c>
      <c r="BA326" s="1" t="s">
        <v>69</v>
      </c>
      <c r="BB326" s="1" t="s">
        <v>560</v>
      </c>
      <c r="BD326" s="1" t="s">
        <v>555</v>
      </c>
      <c r="BG326" s="1" t="s">
        <v>558</v>
      </c>
      <c r="BH326" s="1">
        <v>5</v>
      </c>
      <c r="BI326" s="1" t="s">
        <v>70</v>
      </c>
      <c r="BJ326" s="1" t="s">
        <v>71</v>
      </c>
      <c r="BK326" s="1" t="s">
        <v>452</v>
      </c>
      <c r="BM326" s="1" t="s">
        <v>1145</v>
      </c>
      <c r="BN326" s="1" t="s">
        <v>1567</v>
      </c>
      <c r="BP326" s="1">
        <v>70400000</v>
      </c>
      <c r="BT326" s="1" t="s">
        <v>557</v>
      </c>
      <c r="BV326" s="1" t="s">
        <v>555</v>
      </c>
      <c r="BY326" s="1" t="s">
        <v>558</v>
      </c>
      <c r="BZ326" s="1">
        <v>5</v>
      </c>
      <c r="CJ326" s="1">
        <v>2.64472</v>
      </c>
      <c r="CK326" s="1">
        <v>2.64222</v>
      </c>
      <c r="CL326" s="1">
        <v>2.6472199999999999</v>
      </c>
      <c r="CR326" s="1">
        <v>-315182.84201668203</v>
      </c>
      <c r="CU326" s="1">
        <v>-0.44769999999999999</v>
      </c>
      <c r="CZ326" s="1">
        <v>-315182.84000000003</v>
      </c>
      <c r="DA326" s="1">
        <v>-315182.84000000003</v>
      </c>
      <c r="DB326" s="1">
        <v>-40425.919999999998</v>
      </c>
      <c r="DC326" s="1">
        <v>-274756.92</v>
      </c>
      <c r="DD326" s="2">
        <v>151.77000000000001</v>
      </c>
      <c r="DG326" s="1">
        <v>6800.41</v>
      </c>
      <c r="DL326" s="1">
        <v>66707177.159999996</v>
      </c>
      <c r="DM326" s="1">
        <v>66580887.799999997</v>
      </c>
      <c r="DN326" s="1">
        <v>126289.36</v>
      </c>
      <c r="DO326" s="1">
        <v>2.548</v>
      </c>
      <c r="DP326" s="1" t="s">
        <v>1567</v>
      </c>
      <c r="DQ326" s="1" t="s">
        <v>1567</v>
      </c>
      <c r="DS326" s="1">
        <v>-67022360.009999998</v>
      </c>
      <c r="DT326" s="1">
        <v>-66621313.719999999</v>
      </c>
      <c r="DU326" s="1">
        <v>-401046.28</v>
      </c>
      <c r="DV326" s="1">
        <v>2.64472</v>
      </c>
      <c r="DW326" s="1" t="s">
        <v>1567</v>
      </c>
      <c r="DX326" s="1" t="s">
        <v>1567</v>
      </c>
      <c r="DZ326" s="1">
        <v>-317190</v>
      </c>
      <c r="EA326" s="1">
        <v>-313176</v>
      </c>
      <c r="ED326" s="1" t="s">
        <v>50</v>
      </c>
      <c r="EE326" s="1" t="s">
        <v>1568</v>
      </c>
      <c r="EF326" s="1" t="s">
        <v>53</v>
      </c>
      <c r="EG326" s="1" t="s">
        <v>1568</v>
      </c>
      <c r="EH326" s="1" t="s">
        <v>51</v>
      </c>
      <c r="EJ326" s="1" t="s">
        <v>55</v>
      </c>
      <c r="EL326" s="1" t="s">
        <v>57</v>
      </c>
    </row>
    <row r="327" spans="1:142" x14ac:dyDescent="0.2">
      <c r="A327" s="101">
        <v>91142587001</v>
      </c>
      <c r="B327" s="101">
        <v>91142587</v>
      </c>
      <c r="D327" s="1" t="s">
        <v>220</v>
      </c>
      <c r="E327" s="1" t="s">
        <v>46</v>
      </c>
      <c r="F327" s="1" t="s">
        <v>561</v>
      </c>
      <c r="U327" s="1">
        <v>94807403.137831002</v>
      </c>
      <c r="AI327" s="1" t="s">
        <v>551</v>
      </c>
      <c r="AJ327" s="1" t="s">
        <v>46</v>
      </c>
      <c r="AK327" s="1" t="s">
        <v>581</v>
      </c>
      <c r="AL327" s="1" t="s">
        <v>1029</v>
      </c>
      <c r="AR327" s="1" t="s">
        <v>66</v>
      </c>
      <c r="AS327" s="1" t="s">
        <v>67</v>
      </c>
      <c r="AT327" s="1">
        <v>2.548</v>
      </c>
      <c r="AV327" s="1" t="s">
        <v>1145</v>
      </c>
      <c r="AW327" s="1" t="s">
        <v>1567</v>
      </c>
      <c r="AX327" s="1">
        <v>83600000</v>
      </c>
      <c r="BA327" s="1" t="s">
        <v>69</v>
      </c>
      <c r="BB327" s="1" t="s">
        <v>560</v>
      </c>
      <c r="BD327" s="1" t="s">
        <v>555</v>
      </c>
      <c r="BG327" s="1" t="s">
        <v>558</v>
      </c>
      <c r="BH327" s="1">
        <v>5</v>
      </c>
      <c r="BI327" s="1" t="s">
        <v>70</v>
      </c>
      <c r="BJ327" s="1" t="s">
        <v>71</v>
      </c>
      <c r="BK327" s="1" t="s">
        <v>452</v>
      </c>
      <c r="BM327" s="1" t="s">
        <v>1145</v>
      </c>
      <c r="BN327" s="1" t="s">
        <v>1567</v>
      </c>
      <c r="BP327" s="1">
        <v>83600000</v>
      </c>
      <c r="BT327" s="1" t="s">
        <v>557</v>
      </c>
      <c r="BV327" s="1" t="s">
        <v>555</v>
      </c>
      <c r="BY327" s="1" t="s">
        <v>558</v>
      </c>
      <c r="BZ327" s="1">
        <v>5</v>
      </c>
      <c r="CJ327" s="1">
        <v>2.64472</v>
      </c>
      <c r="CK327" s="1">
        <v>2.64222</v>
      </c>
      <c r="CL327" s="1">
        <v>2.6472199999999999</v>
      </c>
      <c r="CR327" s="1">
        <v>-374279.62489481299</v>
      </c>
      <c r="CU327" s="1">
        <v>-0.44769999999999999</v>
      </c>
      <c r="CZ327" s="1">
        <v>-374279.62</v>
      </c>
      <c r="DA327" s="1">
        <v>-374279.62</v>
      </c>
      <c r="DB327" s="1">
        <v>-48005.78</v>
      </c>
      <c r="DC327" s="1">
        <v>-326273.84000000003</v>
      </c>
      <c r="DD327" s="2">
        <v>180.23</v>
      </c>
      <c r="DG327" s="1">
        <v>8075.48</v>
      </c>
      <c r="DL327" s="1">
        <v>79214772.879999995</v>
      </c>
      <c r="DM327" s="1">
        <v>79064804.269999996</v>
      </c>
      <c r="DN327" s="1">
        <v>149968.60999999999</v>
      </c>
      <c r="DO327" s="1">
        <v>2.548</v>
      </c>
      <c r="DP327" s="1" t="s">
        <v>1567</v>
      </c>
      <c r="DQ327" s="1" t="s">
        <v>1567</v>
      </c>
      <c r="DS327" s="1">
        <v>-79589052.510000005</v>
      </c>
      <c r="DT327" s="1">
        <v>-79112810.049999997</v>
      </c>
      <c r="DU327" s="1">
        <v>-476242.46</v>
      </c>
      <c r="DV327" s="1">
        <v>2.64472</v>
      </c>
      <c r="DW327" s="1" t="s">
        <v>1567</v>
      </c>
      <c r="DX327" s="1" t="s">
        <v>1567</v>
      </c>
      <c r="DZ327" s="1">
        <v>-376663</v>
      </c>
      <c r="EA327" s="1">
        <v>-371896</v>
      </c>
      <c r="ED327" s="1" t="s">
        <v>50</v>
      </c>
      <c r="EE327" s="1" t="s">
        <v>1569</v>
      </c>
      <c r="EF327" s="1" t="s">
        <v>53</v>
      </c>
      <c r="EG327" s="1" t="s">
        <v>1569</v>
      </c>
      <c r="EH327" s="1" t="s">
        <v>51</v>
      </c>
      <c r="EJ327" s="1" t="s">
        <v>55</v>
      </c>
      <c r="EL327" s="1" t="s">
        <v>57</v>
      </c>
    </row>
    <row r="328" spans="1:142" x14ac:dyDescent="0.2">
      <c r="A328" s="101">
        <v>91142992001</v>
      </c>
      <c r="B328" s="101">
        <v>91142992</v>
      </c>
      <c r="D328" s="1" t="s">
        <v>220</v>
      </c>
      <c r="E328" s="1" t="s">
        <v>46</v>
      </c>
      <c r="F328" s="1" t="s">
        <v>561</v>
      </c>
      <c r="U328" s="1">
        <v>44908769.907393597</v>
      </c>
      <c r="AI328" s="1" t="s">
        <v>551</v>
      </c>
      <c r="AJ328" s="1" t="s">
        <v>46</v>
      </c>
      <c r="AK328" s="1" t="s">
        <v>581</v>
      </c>
      <c r="AL328" s="1" t="s">
        <v>1029</v>
      </c>
      <c r="AR328" s="1" t="s">
        <v>66</v>
      </c>
      <c r="AS328" s="1" t="s">
        <v>67</v>
      </c>
      <c r="AT328" s="1">
        <v>2.548</v>
      </c>
      <c r="AV328" s="1" t="s">
        <v>1145</v>
      </c>
      <c r="AW328" s="1" t="s">
        <v>1567</v>
      </c>
      <c r="AX328" s="1">
        <v>39600000</v>
      </c>
      <c r="BA328" s="1" t="s">
        <v>69</v>
      </c>
      <c r="BB328" s="1" t="s">
        <v>560</v>
      </c>
      <c r="BD328" s="1" t="s">
        <v>555</v>
      </c>
      <c r="BG328" s="1" t="s">
        <v>558</v>
      </c>
      <c r="BH328" s="1">
        <v>5</v>
      </c>
      <c r="BI328" s="1" t="s">
        <v>70</v>
      </c>
      <c r="BJ328" s="1" t="s">
        <v>71</v>
      </c>
      <c r="BK328" s="1" t="s">
        <v>452</v>
      </c>
      <c r="BM328" s="1" t="s">
        <v>1145</v>
      </c>
      <c r="BN328" s="1" t="s">
        <v>1567</v>
      </c>
      <c r="BP328" s="1">
        <v>39600000</v>
      </c>
      <c r="BT328" s="1" t="s">
        <v>557</v>
      </c>
      <c r="BV328" s="1" t="s">
        <v>555</v>
      </c>
      <c r="BY328" s="1" t="s">
        <v>558</v>
      </c>
      <c r="BZ328" s="1">
        <v>5</v>
      </c>
      <c r="CJ328" s="1">
        <v>2.64472</v>
      </c>
      <c r="CK328" s="1">
        <v>2.64222</v>
      </c>
      <c r="CL328" s="1">
        <v>2.6472199999999999</v>
      </c>
      <c r="CR328" s="1">
        <v>-177290.34863439199</v>
      </c>
      <c r="CU328" s="1">
        <v>-0.44769999999999999</v>
      </c>
      <c r="CZ328" s="1">
        <v>-177290.35</v>
      </c>
      <c r="DA328" s="1">
        <v>-177290.35</v>
      </c>
      <c r="DB328" s="1">
        <v>-22739.58</v>
      </c>
      <c r="DC328" s="1">
        <v>-154550.76999999999</v>
      </c>
      <c r="DD328" s="2">
        <v>85.37</v>
      </c>
      <c r="DG328" s="1">
        <v>3825.23</v>
      </c>
      <c r="DL328" s="1">
        <v>37522787.149999999</v>
      </c>
      <c r="DM328" s="1">
        <v>37451749.390000001</v>
      </c>
      <c r="DN328" s="1">
        <v>71037.759999999995</v>
      </c>
      <c r="DO328" s="1">
        <v>2.548</v>
      </c>
      <c r="DP328" s="1" t="s">
        <v>1567</v>
      </c>
      <c r="DQ328" s="1" t="s">
        <v>1567</v>
      </c>
      <c r="DS328" s="1">
        <v>-37700077.5</v>
      </c>
      <c r="DT328" s="1">
        <v>-37474488.969999999</v>
      </c>
      <c r="DU328" s="1">
        <v>-225588.53</v>
      </c>
      <c r="DV328" s="1">
        <v>2.64472</v>
      </c>
      <c r="DW328" s="1" t="s">
        <v>1567</v>
      </c>
      <c r="DX328" s="1" t="s">
        <v>1567</v>
      </c>
      <c r="DZ328" s="1">
        <v>-178419</v>
      </c>
      <c r="EA328" s="1">
        <v>-176161</v>
      </c>
      <c r="ED328" s="1" t="s">
        <v>50</v>
      </c>
      <c r="EE328" s="1" t="s">
        <v>1570</v>
      </c>
      <c r="EF328" s="1" t="s">
        <v>53</v>
      </c>
      <c r="EG328" s="1" t="s">
        <v>1570</v>
      </c>
      <c r="EH328" s="1" t="s">
        <v>51</v>
      </c>
      <c r="EJ328" s="1" t="s">
        <v>55</v>
      </c>
      <c r="EL328" s="1" t="s">
        <v>57</v>
      </c>
    </row>
    <row r="329" spans="1:142" x14ac:dyDescent="0.2">
      <c r="A329" s="101">
        <v>91143042001</v>
      </c>
      <c r="B329" s="101">
        <v>91143042</v>
      </c>
      <c r="D329" s="1" t="s">
        <v>220</v>
      </c>
      <c r="E329" s="1" t="s">
        <v>46</v>
      </c>
      <c r="F329" s="1" t="s">
        <v>561</v>
      </c>
      <c r="U329" s="1">
        <v>5626879.4092064202</v>
      </c>
      <c r="AI329" s="1" t="s">
        <v>551</v>
      </c>
      <c r="AJ329" s="1" t="s">
        <v>46</v>
      </c>
      <c r="AK329" s="1" t="s">
        <v>581</v>
      </c>
      <c r="AL329" s="1" t="s">
        <v>1029</v>
      </c>
      <c r="AR329" s="1" t="s">
        <v>66</v>
      </c>
      <c r="AS329" s="1" t="s">
        <v>71</v>
      </c>
      <c r="AT329" s="1">
        <v>2.4900000000000002</v>
      </c>
      <c r="AV329" s="1" t="s">
        <v>1145</v>
      </c>
      <c r="AW329" s="1" t="s">
        <v>1572</v>
      </c>
      <c r="AX329" s="1">
        <v>4400000</v>
      </c>
      <c r="BA329" s="1" t="s">
        <v>69</v>
      </c>
      <c r="BB329" s="1" t="s">
        <v>560</v>
      </c>
      <c r="BD329" s="1" t="s">
        <v>555</v>
      </c>
      <c r="BG329" s="1" t="s">
        <v>558</v>
      </c>
      <c r="BH329" s="1">
        <v>5</v>
      </c>
      <c r="BI329" s="1" t="s">
        <v>70</v>
      </c>
      <c r="BJ329" s="1" t="s">
        <v>67</v>
      </c>
      <c r="BK329" s="1" t="s">
        <v>452</v>
      </c>
      <c r="BM329" s="1" t="s">
        <v>1145</v>
      </c>
      <c r="BN329" s="1" t="s">
        <v>1572</v>
      </c>
      <c r="BP329" s="1">
        <v>4400000</v>
      </c>
      <c r="BT329" s="1" t="s">
        <v>557</v>
      </c>
      <c r="BV329" s="1" t="s">
        <v>555</v>
      </c>
      <c r="BY329" s="1" t="s">
        <v>558</v>
      </c>
      <c r="BZ329" s="1">
        <v>5</v>
      </c>
      <c r="CJ329" s="1">
        <v>2.5284499999999999</v>
      </c>
      <c r="CK329" s="1">
        <v>2.5259499999999999</v>
      </c>
      <c r="CL329" s="1">
        <v>2.5309499999999998</v>
      </c>
      <c r="CR329" s="1">
        <v>14533.073103087499</v>
      </c>
      <c r="CU329" s="1">
        <v>0.33029999999999998</v>
      </c>
      <c r="CZ329" s="1">
        <v>14533.07</v>
      </c>
      <c r="DA329" s="1">
        <v>14533.07</v>
      </c>
      <c r="DB329" s="1">
        <v>-2816.87</v>
      </c>
      <c r="DC329" s="1">
        <v>17349.939999999999</v>
      </c>
      <c r="DD329" s="2">
        <v>-14.14</v>
      </c>
      <c r="DG329" s="1">
        <v>-428.1</v>
      </c>
      <c r="DL329" s="1">
        <v>-3867728.55</v>
      </c>
      <c r="DM329" s="1">
        <v>-3860013.1</v>
      </c>
      <c r="DN329" s="1">
        <v>-7715.45</v>
      </c>
      <c r="DO329" s="1">
        <v>2.4900000000000002</v>
      </c>
      <c r="DP329" s="1" t="s">
        <v>1572</v>
      </c>
      <c r="DQ329" s="1" t="s">
        <v>1572</v>
      </c>
      <c r="DS329" s="1">
        <v>3882261.62</v>
      </c>
      <c r="DT329" s="1">
        <v>3857196.23</v>
      </c>
      <c r="DU329" s="1">
        <v>25065.39</v>
      </c>
      <c r="DV329" s="1">
        <v>2.5284499999999999</v>
      </c>
      <c r="DW329" s="1" t="s">
        <v>1572</v>
      </c>
      <c r="DX329" s="1" t="s">
        <v>1572</v>
      </c>
      <c r="DZ329" s="1">
        <v>14712</v>
      </c>
      <c r="EA329" s="1">
        <v>14354</v>
      </c>
      <c r="ED329" s="1" t="s">
        <v>50</v>
      </c>
      <c r="EE329" s="1" t="s">
        <v>1577</v>
      </c>
      <c r="EF329" s="1" t="s">
        <v>53</v>
      </c>
      <c r="EG329" s="1" t="s">
        <v>1577</v>
      </c>
      <c r="EH329" s="1" t="s">
        <v>51</v>
      </c>
      <c r="EJ329" s="1" t="s">
        <v>55</v>
      </c>
      <c r="EL329" s="1" t="s">
        <v>57</v>
      </c>
    </row>
    <row r="330" spans="1:142" x14ac:dyDescent="0.2">
      <c r="A330" s="101">
        <v>91143005001</v>
      </c>
      <c r="B330" s="101">
        <v>91143005</v>
      </c>
      <c r="D330" s="1" t="s">
        <v>220</v>
      </c>
      <c r="E330" s="1" t="s">
        <v>46</v>
      </c>
      <c r="F330" s="1" t="s">
        <v>561</v>
      </c>
      <c r="U330" s="1">
        <v>24949316.615218699</v>
      </c>
      <c r="AI330" s="1" t="s">
        <v>551</v>
      </c>
      <c r="AJ330" s="1" t="s">
        <v>46</v>
      </c>
      <c r="AK330" s="1" t="s">
        <v>581</v>
      </c>
      <c r="AL330" s="1" t="s">
        <v>1029</v>
      </c>
      <c r="AR330" s="1" t="s">
        <v>66</v>
      </c>
      <c r="AS330" s="1" t="s">
        <v>67</v>
      </c>
      <c r="AT330" s="1">
        <v>2.548</v>
      </c>
      <c r="AV330" s="1" t="s">
        <v>1145</v>
      </c>
      <c r="AW330" s="1" t="s">
        <v>1567</v>
      </c>
      <c r="AX330" s="1">
        <v>22000000</v>
      </c>
      <c r="BA330" s="1" t="s">
        <v>69</v>
      </c>
      <c r="BB330" s="1" t="s">
        <v>560</v>
      </c>
      <c r="BD330" s="1" t="s">
        <v>555</v>
      </c>
      <c r="BG330" s="1" t="s">
        <v>558</v>
      </c>
      <c r="BH330" s="1">
        <v>5</v>
      </c>
      <c r="BI330" s="1" t="s">
        <v>70</v>
      </c>
      <c r="BJ330" s="1" t="s">
        <v>71</v>
      </c>
      <c r="BK330" s="1" t="s">
        <v>452</v>
      </c>
      <c r="BM330" s="1" t="s">
        <v>1145</v>
      </c>
      <c r="BN330" s="1" t="s">
        <v>1567</v>
      </c>
      <c r="BP330" s="1">
        <v>22000000</v>
      </c>
      <c r="BT330" s="1" t="s">
        <v>557</v>
      </c>
      <c r="BV330" s="1" t="s">
        <v>555</v>
      </c>
      <c r="BY330" s="1" t="s">
        <v>558</v>
      </c>
      <c r="BZ330" s="1">
        <v>5</v>
      </c>
      <c r="CJ330" s="1">
        <v>2.64472</v>
      </c>
      <c r="CK330" s="1">
        <v>2.64222</v>
      </c>
      <c r="CL330" s="1">
        <v>2.6472199999999999</v>
      </c>
      <c r="CR330" s="1">
        <v>-98494.638130214094</v>
      </c>
      <c r="CU330" s="1">
        <v>-0.44769999999999999</v>
      </c>
      <c r="CZ330" s="1">
        <v>-98494.64</v>
      </c>
      <c r="DA330" s="1">
        <v>-98494.64</v>
      </c>
      <c r="DB330" s="1">
        <v>-12633.1</v>
      </c>
      <c r="DC330" s="1">
        <v>-85861.54</v>
      </c>
      <c r="DD330" s="2">
        <v>47.43</v>
      </c>
      <c r="DG330" s="1">
        <v>2125.13</v>
      </c>
      <c r="DL330" s="1">
        <v>20845992.859999999</v>
      </c>
      <c r="DM330" s="1">
        <v>20806527.440000001</v>
      </c>
      <c r="DN330" s="1">
        <v>39465.42</v>
      </c>
      <c r="DO330" s="1">
        <v>2.548</v>
      </c>
      <c r="DP330" s="1" t="s">
        <v>1567</v>
      </c>
      <c r="DQ330" s="1" t="s">
        <v>1567</v>
      </c>
      <c r="DS330" s="1">
        <v>-20944487.5</v>
      </c>
      <c r="DT330" s="1">
        <v>-20819160.539999999</v>
      </c>
      <c r="DU330" s="1">
        <v>-125326.96</v>
      </c>
      <c r="DV330" s="1">
        <v>2.64472</v>
      </c>
      <c r="DW330" s="1" t="s">
        <v>1567</v>
      </c>
      <c r="DX330" s="1" t="s">
        <v>1567</v>
      </c>
      <c r="DZ330" s="1">
        <v>-99122</v>
      </c>
      <c r="EA330" s="1">
        <v>-97867</v>
      </c>
      <c r="ED330" s="1" t="s">
        <v>50</v>
      </c>
      <c r="EE330" s="1" t="s">
        <v>1571</v>
      </c>
      <c r="EF330" s="1" t="s">
        <v>53</v>
      </c>
      <c r="EG330" s="1" t="s">
        <v>1571</v>
      </c>
      <c r="EH330" s="1" t="s">
        <v>51</v>
      </c>
      <c r="EJ330" s="1" t="s">
        <v>55</v>
      </c>
      <c r="EL330" s="1" t="s">
        <v>57</v>
      </c>
    </row>
    <row r="331" spans="1:142" x14ac:dyDescent="0.2">
      <c r="A331" s="101">
        <v>91235468001</v>
      </c>
      <c r="B331" s="101">
        <v>91235468</v>
      </c>
      <c r="D331" s="1" t="s">
        <v>43</v>
      </c>
      <c r="E331" s="1" t="s">
        <v>44</v>
      </c>
      <c r="F331" s="1" t="s">
        <v>583</v>
      </c>
      <c r="AI331" s="1" t="s">
        <v>551</v>
      </c>
      <c r="AJ331" s="1" t="s">
        <v>44</v>
      </c>
      <c r="AK331" s="1" t="s">
        <v>584</v>
      </c>
      <c r="AL331" s="1" t="s">
        <v>1041</v>
      </c>
      <c r="AR331" s="1" t="s">
        <v>79</v>
      </c>
      <c r="AS331" s="1" t="s">
        <v>71</v>
      </c>
      <c r="AT331" s="1">
        <v>2.1396999999999999</v>
      </c>
      <c r="AV331" s="1" t="s">
        <v>1350</v>
      </c>
      <c r="AW331" s="1" t="s">
        <v>1348</v>
      </c>
      <c r="AX331" s="1">
        <v>29513922</v>
      </c>
      <c r="BA331" s="1" t="s">
        <v>69</v>
      </c>
      <c r="BB331" s="1" t="s">
        <v>574</v>
      </c>
      <c r="BC331" s="1" t="s">
        <v>456</v>
      </c>
      <c r="BD331" s="1" t="s">
        <v>555</v>
      </c>
      <c r="BG331" s="1" t="s">
        <v>558</v>
      </c>
      <c r="BH331" s="1">
        <v>6</v>
      </c>
      <c r="BI331" s="1" t="s">
        <v>431</v>
      </c>
      <c r="BJ331" s="1" t="s">
        <v>67</v>
      </c>
      <c r="BK331" s="1" t="s">
        <v>440</v>
      </c>
      <c r="BL331" s="1">
        <v>0</v>
      </c>
      <c r="BM331" s="1" t="s">
        <v>1350</v>
      </c>
      <c r="BN331" s="1" t="s">
        <v>1348</v>
      </c>
      <c r="BP331" s="1">
        <v>29513922</v>
      </c>
      <c r="BR331" s="1" t="s">
        <v>69</v>
      </c>
      <c r="BS331" s="1" t="s">
        <v>1023</v>
      </c>
      <c r="BT331" s="1" t="s">
        <v>574</v>
      </c>
      <c r="BU331" s="1" t="s">
        <v>456</v>
      </c>
      <c r="BV331" s="1" t="s">
        <v>555</v>
      </c>
      <c r="BY331" s="1" t="s">
        <v>558</v>
      </c>
      <c r="BZ331" s="1">
        <v>6</v>
      </c>
      <c r="CJ331" s="1">
        <v>2.0980799999999999</v>
      </c>
      <c r="CK331" s="1">
        <v>2.09558</v>
      </c>
      <c r="CL331" s="1">
        <v>2.1005799999999999</v>
      </c>
      <c r="CR331" s="1">
        <v>644.82031564409999</v>
      </c>
      <c r="CS331" s="1">
        <v>149.07</v>
      </c>
      <c r="CT331" s="1">
        <v>1140.57</v>
      </c>
      <c r="CU331" s="1">
        <v>2.2000000000000001E-3</v>
      </c>
      <c r="CZ331" s="1">
        <v>644.82000000000005</v>
      </c>
      <c r="DA331" s="1">
        <v>644.82000000000005</v>
      </c>
      <c r="DB331" s="1">
        <v>-6289.77</v>
      </c>
      <c r="DC331" s="1">
        <v>6934.59</v>
      </c>
      <c r="DD331" s="2">
        <v>1775.82</v>
      </c>
      <c r="DG331" s="1">
        <v>434.76</v>
      </c>
      <c r="DL331" s="1">
        <v>-29564045.350000001</v>
      </c>
      <c r="DM331" s="1">
        <v>-29520190.530000001</v>
      </c>
      <c r="DN331" s="1">
        <v>-43854.82</v>
      </c>
      <c r="DO331" s="1">
        <v>2.1396999999999999</v>
      </c>
      <c r="DP331" s="1" t="s">
        <v>1533</v>
      </c>
      <c r="DQ331" s="1" t="s">
        <v>1533</v>
      </c>
      <c r="DS331" s="1">
        <v>29564690.170000002</v>
      </c>
      <c r="DT331" s="1">
        <v>29513900.760000002</v>
      </c>
      <c r="DU331" s="1">
        <v>50789.41</v>
      </c>
      <c r="DV331" s="1">
        <v>2.1429499999999999</v>
      </c>
      <c r="DW331" s="1" t="s">
        <v>1533</v>
      </c>
      <c r="DX331" s="1" t="s">
        <v>1533</v>
      </c>
      <c r="DY331" s="1" t="s">
        <v>1041</v>
      </c>
      <c r="DZ331" s="1">
        <v>-17984</v>
      </c>
      <c r="EA331" s="1">
        <v>19274</v>
      </c>
      <c r="ED331" s="1" t="s">
        <v>50</v>
      </c>
      <c r="EE331" s="1" t="s">
        <v>1579</v>
      </c>
      <c r="EF331" s="1" t="s">
        <v>53</v>
      </c>
      <c r="EG331" s="1" t="s">
        <v>1579</v>
      </c>
      <c r="EH331" s="1" t="s">
        <v>51</v>
      </c>
      <c r="EJ331" s="1" t="s">
        <v>55</v>
      </c>
      <c r="EL331" s="1" t="s">
        <v>57</v>
      </c>
    </row>
    <row r="332" spans="1:142" x14ac:dyDescent="0.2">
      <c r="A332" s="101">
        <v>91143008001</v>
      </c>
      <c r="B332" s="101">
        <v>91143008</v>
      </c>
      <c r="D332" s="1" t="s">
        <v>220</v>
      </c>
      <c r="E332" s="1" t="s">
        <v>46</v>
      </c>
      <c r="F332" s="1" t="s">
        <v>561</v>
      </c>
      <c r="U332" s="1">
        <v>4989863.3230437404</v>
      </c>
      <c r="AI332" s="1" t="s">
        <v>551</v>
      </c>
      <c r="AJ332" s="1" t="s">
        <v>46</v>
      </c>
      <c r="AK332" s="1" t="s">
        <v>581</v>
      </c>
      <c r="AL332" s="1" t="s">
        <v>1029</v>
      </c>
      <c r="AR332" s="1" t="s">
        <v>66</v>
      </c>
      <c r="AS332" s="1" t="s">
        <v>67</v>
      </c>
      <c r="AT332" s="1">
        <v>2.548</v>
      </c>
      <c r="AV332" s="1" t="s">
        <v>1145</v>
      </c>
      <c r="AW332" s="1" t="s">
        <v>1567</v>
      </c>
      <c r="AX332" s="1">
        <v>4400000</v>
      </c>
      <c r="BA332" s="1" t="s">
        <v>69</v>
      </c>
      <c r="BB332" s="1" t="s">
        <v>560</v>
      </c>
      <c r="BD332" s="1" t="s">
        <v>555</v>
      </c>
      <c r="BG332" s="1" t="s">
        <v>558</v>
      </c>
      <c r="BH332" s="1">
        <v>5</v>
      </c>
      <c r="BI332" s="1" t="s">
        <v>70</v>
      </c>
      <c r="BJ332" s="1" t="s">
        <v>71</v>
      </c>
      <c r="BK332" s="1" t="s">
        <v>452</v>
      </c>
      <c r="BM332" s="1" t="s">
        <v>1145</v>
      </c>
      <c r="BN332" s="1" t="s">
        <v>1567</v>
      </c>
      <c r="BP332" s="1">
        <v>4400000</v>
      </c>
      <c r="BT332" s="1" t="s">
        <v>557</v>
      </c>
      <c r="BV332" s="1" t="s">
        <v>555</v>
      </c>
      <c r="BY332" s="1" t="s">
        <v>558</v>
      </c>
      <c r="BZ332" s="1">
        <v>5</v>
      </c>
      <c r="CJ332" s="1">
        <v>2.64472</v>
      </c>
      <c r="CK332" s="1">
        <v>2.64222</v>
      </c>
      <c r="CL332" s="1">
        <v>2.6472199999999999</v>
      </c>
      <c r="CR332" s="1">
        <v>-19698.927626042601</v>
      </c>
      <c r="CU332" s="1">
        <v>-0.44769999999999999</v>
      </c>
      <c r="CZ332" s="1">
        <v>-19698.93</v>
      </c>
      <c r="DA332" s="1">
        <v>-19698.93</v>
      </c>
      <c r="DB332" s="1">
        <v>-2526.62</v>
      </c>
      <c r="DC332" s="1">
        <v>-17172.310000000001</v>
      </c>
      <c r="DD332" s="2">
        <v>9.49</v>
      </c>
      <c r="DG332" s="1">
        <v>425.03</v>
      </c>
      <c r="DL332" s="1">
        <v>4169198.57</v>
      </c>
      <c r="DM332" s="1">
        <v>4161305.49</v>
      </c>
      <c r="DN332" s="1">
        <v>7893.08</v>
      </c>
      <c r="DO332" s="1">
        <v>2.548</v>
      </c>
      <c r="DP332" s="1" t="s">
        <v>1567</v>
      </c>
      <c r="DQ332" s="1" t="s">
        <v>1567</v>
      </c>
      <c r="DS332" s="1">
        <v>-4188897.5</v>
      </c>
      <c r="DT332" s="1">
        <v>-4163832.11</v>
      </c>
      <c r="DU332" s="1">
        <v>-25065.39</v>
      </c>
      <c r="DV332" s="1">
        <v>2.64472</v>
      </c>
      <c r="DW332" s="1" t="s">
        <v>1567</v>
      </c>
      <c r="DX332" s="1" t="s">
        <v>1567</v>
      </c>
      <c r="DZ332" s="1">
        <v>-19824</v>
      </c>
      <c r="EA332" s="1">
        <v>-19573</v>
      </c>
      <c r="ED332" s="1" t="s">
        <v>50</v>
      </c>
      <c r="EE332" s="1" t="s">
        <v>1574</v>
      </c>
      <c r="EF332" s="1" t="s">
        <v>53</v>
      </c>
      <c r="EG332" s="1" t="s">
        <v>1574</v>
      </c>
      <c r="EH332" s="1" t="s">
        <v>51</v>
      </c>
      <c r="EJ332" s="1" t="s">
        <v>55</v>
      </c>
      <c r="EL332" s="1" t="s">
        <v>57</v>
      </c>
    </row>
    <row r="333" spans="1:142" x14ac:dyDescent="0.2">
      <c r="A333" s="101">
        <v>91235717001</v>
      </c>
      <c r="B333" s="101">
        <v>91235717</v>
      </c>
      <c r="D333" s="1" t="s">
        <v>75</v>
      </c>
      <c r="E333" s="1" t="s">
        <v>44</v>
      </c>
      <c r="F333" s="1" t="s">
        <v>583</v>
      </c>
      <c r="AI333" s="1" t="s">
        <v>551</v>
      </c>
      <c r="AJ333" s="1" t="s">
        <v>44</v>
      </c>
      <c r="AK333" s="1" t="s">
        <v>584</v>
      </c>
      <c r="AL333" s="1" t="s">
        <v>1041</v>
      </c>
      <c r="AR333" s="1" t="s">
        <v>79</v>
      </c>
      <c r="AS333" s="1" t="s">
        <v>71</v>
      </c>
      <c r="AT333" s="1">
        <v>2.1461999999999999</v>
      </c>
      <c r="AV333" s="1" t="s">
        <v>1350</v>
      </c>
      <c r="AW333" s="1" t="s">
        <v>1580</v>
      </c>
      <c r="AX333" s="1">
        <v>52153655</v>
      </c>
      <c r="BA333" s="1" t="s">
        <v>69</v>
      </c>
      <c r="BB333" s="1" t="s">
        <v>574</v>
      </c>
      <c r="BC333" s="1" t="s">
        <v>456</v>
      </c>
      <c r="BD333" s="1" t="s">
        <v>555</v>
      </c>
      <c r="BG333" s="1" t="s">
        <v>558</v>
      </c>
      <c r="BH333" s="1">
        <v>29</v>
      </c>
      <c r="BI333" s="1" t="s">
        <v>431</v>
      </c>
      <c r="BJ333" s="1" t="s">
        <v>67</v>
      </c>
      <c r="BK333" s="1" t="s">
        <v>440</v>
      </c>
      <c r="BL333" s="1">
        <v>0</v>
      </c>
      <c r="BM333" s="1" t="s">
        <v>1350</v>
      </c>
      <c r="BN333" s="1" t="s">
        <v>1580</v>
      </c>
      <c r="BP333" s="1">
        <v>52153655</v>
      </c>
      <c r="BR333" s="1" t="s">
        <v>69</v>
      </c>
      <c r="BS333" s="1" t="s">
        <v>1023</v>
      </c>
      <c r="BT333" s="1" t="s">
        <v>574</v>
      </c>
      <c r="BU333" s="1" t="s">
        <v>456</v>
      </c>
      <c r="BV333" s="1" t="s">
        <v>555</v>
      </c>
      <c r="BY333" s="1" t="s">
        <v>558</v>
      </c>
      <c r="BZ333" s="1">
        <v>29</v>
      </c>
      <c r="CJ333" s="1">
        <v>2.1051700000000002</v>
      </c>
      <c r="CK333" s="1">
        <v>2.1026699999999998</v>
      </c>
      <c r="CL333" s="1">
        <v>2.1076700000000002</v>
      </c>
      <c r="CR333" s="1">
        <v>1501.2717865109</v>
      </c>
      <c r="CS333" s="1">
        <v>653.48</v>
      </c>
      <c r="CT333" s="1">
        <v>2349.06</v>
      </c>
      <c r="CU333" s="1">
        <v>2.8999999999999998E-3</v>
      </c>
      <c r="CZ333" s="1">
        <v>1501.27</v>
      </c>
      <c r="DA333" s="1">
        <v>1501.27</v>
      </c>
      <c r="DB333" s="1">
        <v>-10517.33</v>
      </c>
      <c r="DC333" s="1">
        <v>12018.61</v>
      </c>
      <c r="DD333" s="2">
        <v>3024.66</v>
      </c>
      <c r="DG333" s="1">
        <v>759.63</v>
      </c>
      <c r="DL333" s="1">
        <v>-52241866.5</v>
      </c>
      <c r="DM333" s="1">
        <v>-52164135.82</v>
      </c>
      <c r="DN333" s="1">
        <v>-77730.679999999993</v>
      </c>
      <c r="DO333" s="1">
        <v>2.1461999999999999</v>
      </c>
      <c r="DP333" s="1" t="s">
        <v>1581</v>
      </c>
      <c r="DQ333" s="1" t="s">
        <v>1581</v>
      </c>
      <c r="DS333" s="1">
        <v>52243367.770000003</v>
      </c>
      <c r="DT333" s="1">
        <v>52153618.490000002</v>
      </c>
      <c r="DU333" s="1">
        <v>89749.28</v>
      </c>
      <c r="DV333" s="1">
        <v>2.15063</v>
      </c>
      <c r="DW333" s="1" t="s">
        <v>1581</v>
      </c>
      <c r="DX333" s="1" t="s">
        <v>1581</v>
      </c>
      <c r="DY333" s="1" t="s">
        <v>1041</v>
      </c>
      <c r="DZ333" s="1">
        <v>-30336</v>
      </c>
      <c r="EA333" s="1">
        <v>33338</v>
      </c>
      <c r="ED333" s="1" t="s">
        <v>50</v>
      </c>
      <c r="EE333" s="1" t="s">
        <v>1582</v>
      </c>
      <c r="EF333" s="1" t="s">
        <v>53</v>
      </c>
      <c r="EG333" s="1" t="s">
        <v>1582</v>
      </c>
      <c r="EH333" s="1" t="s">
        <v>51</v>
      </c>
      <c r="EJ333" s="1" t="s">
        <v>55</v>
      </c>
      <c r="EL333" s="1" t="s">
        <v>57</v>
      </c>
    </row>
    <row r="334" spans="1:142" x14ac:dyDescent="0.2">
      <c r="A334" s="101">
        <v>91143025001</v>
      </c>
      <c r="B334" s="101">
        <v>91143025</v>
      </c>
      <c r="D334" s="1" t="s">
        <v>220</v>
      </c>
      <c r="E334" s="1" t="s">
        <v>46</v>
      </c>
      <c r="F334" s="1" t="s">
        <v>561</v>
      </c>
      <c r="U334" s="1">
        <v>90030070.547302693</v>
      </c>
      <c r="AI334" s="1" t="s">
        <v>551</v>
      </c>
      <c r="AJ334" s="1" t="s">
        <v>46</v>
      </c>
      <c r="AK334" s="1" t="s">
        <v>581</v>
      </c>
      <c r="AL334" s="1" t="s">
        <v>1029</v>
      </c>
      <c r="AR334" s="1" t="s">
        <v>66</v>
      </c>
      <c r="AS334" s="1" t="s">
        <v>71</v>
      </c>
      <c r="AT334" s="1">
        <v>2.4900000000000002</v>
      </c>
      <c r="AV334" s="1" t="s">
        <v>1145</v>
      </c>
      <c r="AW334" s="1" t="s">
        <v>1572</v>
      </c>
      <c r="AX334" s="1">
        <v>70400000</v>
      </c>
      <c r="BA334" s="1" t="s">
        <v>69</v>
      </c>
      <c r="BB334" s="1" t="s">
        <v>560</v>
      </c>
      <c r="BD334" s="1" t="s">
        <v>555</v>
      </c>
      <c r="BG334" s="1" t="s">
        <v>558</v>
      </c>
      <c r="BH334" s="1">
        <v>5</v>
      </c>
      <c r="BI334" s="1" t="s">
        <v>70</v>
      </c>
      <c r="BJ334" s="1" t="s">
        <v>67</v>
      </c>
      <c r="BK334" s="1" t="s">
        <v>452</v>
      </c>
      <c r="BM334" s="1" t="s">
        <v>1145</v>
      </c>
      <c r="BN334" s="1" t="s">
        <v>1572</v>
      </c>
      <c r="BP334" s="1">
        <v>70400000</v>
      </c>
      <c r="BT334" s="1" t="s">
        <v>557</v>
      </c>
      <c r="BV334" s="1" t="s">
        <v>555</v>
      </c>
      <c r="BY334" s="1" t="s">
        <v>558</v>
      </c>
      <c r="BZ334" s="1">
        <v>5</v>
      </c>
      <c r="CJ334" s="1">
        <v>2.5284499999999999</v>
      </c>
      <c r="CK334" s="1">
        <v>2.5259499999999999</v>
      </c>
      <c r="CL334" s="1">
        <v>2.5309499999999998</v>
      </c>
      <c r="CR334" s="1">
        <v>232529.16964939999</v>
      </c>
      <c r="CU334" s="1">
        <v>0.33029999999999998</v>
      </c>
      <c r="CZ334" s="1">
        <v>232529.17</v>
      </c>
      <c r="DA334" s="1">
        <v>232529.17</v>
      </c>
      <c r="DB334" s="1">
        <v>-45069.9</v>
      </c>
      <c r="DC334" s="1">
        <v>277599.07</v>
      </c>
      <c r="DD334" s="2">
        <v>-226.24</v>
      </c>
      <c r="DG334" s="1">
        <v>-6849.65</v>
      </c>
      <c r="DL334" s="1">
        <v>-61883656.789999999</v>
      </c>
      <c r="DM334" s="1">
        <v>-61760209.57</v>
      </c>
      <c r="DN334" s="1">
        <v>-123447.21</v>
      </c>
      <c r="DO334" s="1">
        <v>2.4900000000000002</v>
      </c>
      <c r="DP334" s="1" t="s">
        <v>1572</v>
      </c>
      <c r="DQ334" s="1" t="s">
        <v>1572</v>
      </c>
      <c r="DS334" s="1">
        <v>62116185.960000001</v>
      </c>
      <c r="DT334" s="1">
        <v>61715139.68</v>
      </c>
      <c r="DU334" s="1">
        <v>401046.28</v>
      </c>
      <c r="DV334" s="1">
        <v>2.5284499999999999</v>
      </c>
      <c r="DW334" s="1" t="s">
        <v>1572</v>
      </c>
      <c r="DX334" s="1" t="s">
        <v>1572</v>
      </c>
      <c r="DZ334" s="1">
        <v>235389</v>
      </c>
      <c r="EA334" s="1">
        <v>229669</v>
      </c>
      <c r="ED334" s="1" t="s">
        <v>50</v>
      </c>
      <c r="EE334" s="1" t="s">
        <v>1576</v>
      </c>
      <c r="EF334" s="1" t="s">
        <v>53</v>
      </c>
      <c r="EG334" s="1" t="s">
        <v>1576</v>
      </c>
      <c r="EH334" s="1" t="s">
        <v>51</v>
      </c>
      <c r="EJ334" s="1" t="s">
        <v>55</v>
      </c>
      <c r="EL334" s="1" t="s">
        <v>57</v>
      </c>
    </row>
    <row r="335" spans="1:142" x14ac:dyDescent="0.2">
      <c r="A335" s="101">
        <v>91235723001</v>
      </c>
      <c r="B335" s="101">
        <v>91235723</v>
      </c>
      <c r="D335" s="1" t="s">
        <v>63</v>
      </c>
      <c r="E335" s="1" t="s">
        <v>44</v>
      </c>
      <c r="F335" s="1" t="s">
        <v>583</v>
      </c>
      <c r="AI335" s="1" t="s">
        <v>551</v>
      </c>
      <c r="AJ335" s="1" t="s">
        <v>44</v>
      </c>
      <c r="AK335" s="1" t="s">
        <v>584</v>
      </c>
      <c r="AL335" s="1" t="s">
        <v>1041</v>
      </c>
      <c r="AR335" s="1" t="s">
        <v>79</v>
      </c>
      <c r="AS335" s="1" t="s">
        <v>71</v>
      </c>
      <c r="AT335" s="1">
        <v>2.2517</v>
      </c>
      <c r="AV335" s="1" t="s">
        <v>1350</v>
      </c>
      <c r="AW335" s="1" t="s">
        <v>1583</v>
      </c>
      <c r="AX335" s="1">
        <v>9891955</v>
      </c>
      <c r="BA335" s="1" t="s">
        <v>69</v>
      </c>
      <c r="BB335" s="1" t="s">
        <v>574</v>
      </c>
      <c r="BC335" s="1" t="s">
        <v>456</v>
      </c>
      <c r="BD335" s="1" t="s">
        <v>555</v>
      </c>
      <c r="BG335" s="1" t="s">
        <v>558</v>
      </c>
      <c r="BH335" s="1">
        <v>6</v>
      </c>
      <c r="BI335" s="1" t="s">
        <v>431</v>
      </c>
      <c r="BJ335" s="1" t="s">
        <v>67</v>
      </c>
      <c r="BK335" s="1" t="s">
        <v>440</v>
      </c>
      <c r="BL335" s="1">
        <v>0</v>
      </c>
      <c r="BM335" s="1" t="s">
        <v>1350</v>
      </c>
      <c r="BN335" s="1" t="s">
        <v>1583</v>
      </c>
      <c r="BP335" s="1">
        <v>9891955</v>
      </c>
      <c r="BR335" s="1" t="s">
        <v>69</v>
      </c>
      <c r="BS335" s="1" t="s">
        <v>1023</v>
      </c>
      <c r="BT335" s="1" t="s">
        <v>574</v>
      </c>
      <c r="BU335" s="1" t="s">
        <v>456</v>
      </c>
      <c r="BV335" s="1" t="s">
        <v>555</v>
      </c>
      <c r="BY335" s="1" t="s">
        <v>558</v>
      </c>
      <c r="BZ335" s="1">
        <v>6</v>
      </c>
      <c r="CJ335" s="1">
        <v>2.1948400000000001</v>
      </c>
      <c r="CK335" s="1">
        <v>2.1923400000000002</v>
      </c>
      <c r="CL335" s="1">
        <v>2.1973400000000001</v>
      </c>
      <c r="CR335" s="1">
        <v>-178.53193084899999</v>
      </c>
      <c r="CS335" s="1">
        <v>-282.81</v>
      </c>
      <c r="CT335" s="1">
        <v>-74.25</v>
      </c>
      <c r="CU335" s="1">
        <v>-1.8E-3</v>
      </c>
      <c r="CZ335" s="1">
        <v>-178.53</v>
      </c>
      <c r="DA335" s="1">
        <v>-178.53</v>
      </c>
      <c r="DB335" s="1">
        <v>-1733.37</v>
      </c>
      <c r="DC335" s="1">
        <v>1554.84</v>
      </c>
      <c r="DD335" s="2">
        <v>346.9</v>
      </c>
      <c r="DG335" s="1">
        <v>105.8</v>
      </c>
      <c r="DL335" s="1">
        <v>-9909151.2899999991</v>
      </c>
      <c r="DM335" s="1">
        <v>-9893683.4299999997</v>
      </c>
      <c r="DN335" s="1">
        <v>-15467.86</v>
      </c>
      <c r="DO335" s="1">
        <v>2.2517</v>
      </c>
      <c r="DP335" s="1" t="s">
        <v>1193</v>
      </c>
      <c r="DQ335" s="1" t="s">
        <v>1193</v>
      </c>
      <c r="DS335" s="1">
        <v>9908972.7599999998</v>
      </c>
      <c r="DT335" s="1">
        <v>9891950.0600000005</v>
      </c>
      <c r="DU335" s="1">
        <v>17022.7</v>
      </c>
      <c r="DV335" s="1">
        <v>2.24742</v>
      </c>
      <c r="DW335" s="1" t="s">
        <v>1193</v>
      </c>
      <c r="DX335" s="1" t="s">
        <v>1193</v>
      </c>
      <c r="DY335" s="1" t="s">
        <v>1041</v>
      </c>
      <c r="DZ335" s="1">
        <v>-3985</v>
      </c>
      <c r="EA335" s="1">
        <v>3628</v>
      </c>
      <c r="ED335" s="1" t="s">
        <v>50</v>
      </c>
      <c r="EE335" s="1" t="s">
        <v>1584</v>
      </c>
      <c r="EF335" s="1" t="s">
        <v>53</v>
      </c>
      <c r="EG335" s="1" t="s">
        <v>1584</v>
      </c>
      <c r="EH335" s="1" t="s">
        <v>51</v>
      </c>
      <c r="EJ335" s="1" t="s">
        <v>55</v>
      </c>
      <c r="EL335" s="1" t="s">
        <v>57</v>
      </c>
    </row>
    <row r="336" spans="1:142" x14ac:dyDescent="0.2">
      <c r="A336" s="101">
        <v>91143030001</v>
      </c>
      <c r="B336" s="101">
        <v>91143030</v>
      </c>
      <c r="D336" s="1" t="s">
        <v>220</v>
      </c>
      <c r="E336" s="1" t="s">
        <v>46</v>
      </c>
      <c r="F336" s="1" t="s">
        <v>561</v>
      </c>
      <c r="U336" s="1">
        <v>106910708.774922</v>
      </c>
      <c r="AI336" s="1" t="s">
        <v>551</v>
      </c>
      <c r="AJ336" s="1" t="s">
        <v>46</v>
      </c>
      <c r="AK336" s="1" t="s">
        <v>581</v>
      </c>
      <c r="AL336" s="1" t="s">
        <v>1029</v>
      </c>
      <c r="AR336" s="1" t="s">
        <v>66</v>
      </c>
      <c r="AS336" s="1" t="s">
        <v>71</v>
      </c>
      <c r="AT336" s="1">
        <v>2.4900000000000002</v>
      </c>
      <c r="AV336" s="1" t="s">
        <v>1145</v>
      </c>
      <c r="AW336" s="1" t="s">
        <v>1572</v>
      </c>
      <c r="AX336" s="1">
        <v>83600000</v>
      </c>
      <c r="BA336" s="1" t="s">
        <v>69</v>
      </c>
      <c r="BB336" s="1" t="s">
        <v>560</v>
      </c>
      <c r="BD336" s="1" t="s">
        <v>555</v>
      </c>
      <c r="BG336" s="1" t="s">
        <v>558</v>
      </c>
      <c r="BH336" s="1">
        <v>5</v>
      </c>
      <c r="BI336" s="1" t="s">
        <v>70</v>
      </c>
      <c r="BJ336" s="1" t="s">
        <v>67</v>
      </c>
      <c r="BK336" s="1" t="s">
        <v>452</v>
      </c>
      <c r="BM336" s="1" t="s">
        <v>1145</v>
      </c>
      <c r="BN336" s="1" t="s">
        <v>1572</v>
      </c>
      <c r="BP336" s="1">
        <v>83600000</v>
      </c>
      <c r="BT336" s="1" t="s">
        <v>557</v>
      </c>
      <c r="BV336" s="1" t="s">
        <v>555</v>
      </c>
      <c r="BY336" s="1" t="s">
        <v>558</v>
      </c>
      <c r="BZ336" s="1">
        <v>5</v>
      </c>
      <c r="CJ336" s="1">
        <v>2.5284499999999999</v>
      </c>
      <c r="CK336" s="1">
        <v>2.5259499999999999</v>
      </c>
      <c r="CL336" s="1">
        <v>2.5309499999999998</v>
      </c>
      <c r="CR336" s="1">
        <v>276128.38895866298</v>
      </c>
      <c r="CU336" s="1">
        <v>0.33029999999999998</v>
      </c>
      <c r="CZ336" s="1">
        <v>276128.39</v>
      </c>
      <c r="DA336" s="1">
        <v>276128.39</v>
      </c>
      <c r="DB336" s="1">
        <v>-53520.5</v>
      </c>
      <c r="DC336" s="1">
        <v>329648.89</v>
      </c>
      <c r="DD336" s="2">
        <v>-268.66000000000003</v>
      </c>
      <c r="DG336" s="1">
        <v>-8133.96</v>
      </c>
      <c r="DL336" s="1">
        <v>-73486842.430000007</v>
      </c>
      <c r="DM336" s="1">
        <v>-73340248.870000005</v>
      </c>
      <c r="DN336" s="1">
        <v>-146593.57</v>
      </c>
      <c r="DO336" s="1">
        <v>2.4900000000000002</v>
      </c>
      <c r="DP336" s="1" t="s">
        <v>1572</v>
      </c>
      <c r="DQ336" s="1" t="s">
        <v>1572</v>
      </c>
      <c r="DS336" s="1">
        <v>73762970.819999993</v>
      </c>
      <c r="DT336" s="1">
        <v>73286728.359999999</v>
      </c>
      <c r="DU336" s="1">
        <v>476242.46</v>
      </c>
      <c r="DV336" s="1">
        <v>2.5284499999999999</v>
      </c>
      <c r="DW336" s="1" t="s">
        <v>1572</v>
      </c>
      <c r="DX336" s="1" t="s">
        <v>1572</v>
      </c>
      <c r="DZ336" s="1">
        <v>279525</v>
      </c>
      <c r="EA336" s="1">
        <v>272732</v>
      </c>
      <c r="ED336" s="1" t="s">
        <v>50</v>
      </c>
      <c r="EE336" s="1" t="s">
        <v>1578</v>
      </c>
      <c r="EF336" s="1" t="s">
        <v>53</v>
      </c>
      <c r="EG336" s="1" t="s">
        <v>1578</v>
      </c>
      <c r="EH336" s="1" t="s">
        <v>51</v>
      </c>
      <c r="EJ336" s="1" t="s">
        <v>55</v>
      </c>
      <c r="EL336" s="1" t="s">
        <v>57</v>
      </c>
    </row>
    <row r="337" spans="1:142" x14ac:dyDescent="0.2">
      <c r="A337" s="101">
        <v>91235726001</v>
      </c>
      <c r="B337" s="101">
        <v>91235726</v>
      </c>
      <c r="D337" s="1" t="s">
        <v>43</v>
      </c>
      <c r="E337" s="1" t="s">
        <v>44</v>
      </c>
      <c r="F337" s="1" t="s">
        <v>583</v>
      </c>
      <c r="AI337" s="1" t="s">
        <v>551</v>
      </c>
      <c r="AJ337" s="1" t="s">
        <v>44</v>
      </c>
      <c r="AK337" s="1" t="s">
        <v>584</v>
      </c>
      <c r="AL337" s="1" t="s">
        <v>1041</v>
      </c>
      <c r="AR337" s="1" t="s">
        <v>79</v>
      </c>
      <c r="AS337" s="1" t="s">
        <v>71</v>
      </c>
      <c r="AT337" s="1">
        <v>2.1631999999999998</v>
      </c>
      <c r="AV337" s="1" t="s">
        <v>1350</v>
      </c>
      <c r="AW337" s="1" t="s">
        <v>1314</v>
      </c>
      <c r="AX337" s="1">
        <v>1493700</v>
      </c>
      <c r="BA337" s="1" t="s">
        <v>69</v>
      </c>
      <c r="BB337" s="1" t="s">
        <v>574</v>
      </c>
      <c r="BC337" s="1" t="s">
        <v>456</v>
      </c>
      <c r="BD337" s="1" t="s">
        <v>555</v>
      </c>
      <c r="BG337" s="1" t="s">
        <v>558</v>
      </c>
      <c r="BH337" s="1">
        <v>13</v>
      </c>
      <c r="BI337" s="1" t="s">
        <v>431</v>
      </c>
      <c r="BJ337" s="1" t="s">
        <v>67</v>
      </c>
      <c r="BK337" s="1" t="s">
        <v>440</v>
      </c>
      <c r="BL337" s="1">
        <v>0</v>
      </c>
      <c r="BM337" s="1" t="s">
        <v>1350</v>
      </c>
      <c r="BN337" s="1" t="s">
        <v>1314</v>
      </c>
      <c r="BP337" s="1">
        <v>1493700</v>
      </c>
      <c r="BR337" s="1" t="s">
        <v>69</v>
      </c>
      <c r="BS337" s="1" t="s">
        <v>1023</v>
      </c>
      <c r="BT337" s="1" t="s">
        <v>574</v>
      </c>
      <c r="BU337" s="1" t="s">
        <v>456</v>
      </c>
      <c r="BV337" s="1" t="s">
        <v>555</v>
      </c>
      <c r="BY337" s="1" t="s">
        <v>558</v>
      </c>
      <c r="BZ337" s="1">
        <v>13</v>
      </c>
      <c r="CJ337" s="1">
        <v>2.1201099999999999</v>
      </c>
      <c r="CK337" s="1">
        <v>2.11761</v>
      </c>
      <c r="CL337" s="1">
        <v>2.1226099999999999</v>
      </c>
      <c r="CR337" s="1">
        <v>32.422022681000001</v>
      </c>
      <c r="CS337" s="1">
        <v>9.76</v>
      </c>
      <c r="CT337" s="1">
        <v>55.08</v>
      </c>
      <c r="CU337" s="1">
        <v>2.2000000000000001E-3</v>
      </c>
      <c r="CZ337" s="1">
        <v>32.42</v>
      </c>
      <c r="DA337" s="1">
        <v>32.42</v>
      </c>
      <c r="DB337" s="1">
        <v>-294.16000000000003</v>
      </c>
      <c r="DC337" s="1">
        <v>326.58</v>
      </c>
      <c r="DD337" s="2">
        <v>80.13</v>
      </c>
      <c r="DG337" s="1">
        <v>20.87</v>
      </c>
      <c r="DL337" s="1">
        <v>-1496237.04</v>
      </c>
      <c r="DM337" s="1">
        <v>-1493993.17</v>
      </c>
      <c r="DN337" s="1">
        <v>-2243.87</v>
      </c>
      <c r="DO337" s="1">
        <v>2.1631999999999998</v>
      </c>
      <c r="DP337" s="1" t="s">
        <v>1357</v>
      </c>
      <c r="DQ337" s="1" t="s">
        <v>1357</v>
      </c>
      <c r="DS337" s="1">
        <v>1496269.46</v>
      </c>
      <c r="DT337" s="1">
        <v>1493699.01</v>
      </c>
      <c r="DU337" s="1">
        <v>2570.4499999999998</v>
      </c>
      <c r="DV337" s="1">
        <v>2.1667800000000002</v>
      </c>
      <c r="DW337" s="1" t="s">
        <v>1357</v>
      </c>
      <c r="DX337" s="1" t="s">
        <v>1357</v>
      </c>
      <c r="DY337" s="1" t="s">
        <v>1041</v>
      </c>
      <c r="DZ337" s="1">
        <v>-817</v>
      </c>
      <c r="EA337" s="1">
        <v>882</v>
      </c>
      <c r="ED337" s="1" t="s">
        <v>50</v>
      </c>
      <c r="EE337" s="1" t="s">
        <v>1585</v>
      </c>
      <c r="EF337" s="1" t="s">
        <v>53</v>
      </c>
      <c r="EG337" s="1" t="s">
        <v>1585</v>
      </c>
      <c r="EH337" s="1" t="s">
        <v>51</v>
      </c>
      <c r="EJ337" s="1" t="s">
        <v>55</v>
      </c>
      <c r="EL337" s="1" t="s">
        <v>57</v>
      </c>
    </row>
    <row r="338" spans="1:142" x14ac:dyDescent="0.2">
      <c r="A338" s="101">
        <v>91235768001</v>
      </c>
      <c r="B338" s="101">
        <v>91235768</v>
      </c>
      <c r="D338" s="1" t="s">
        <v>80</v>
      </c>
      <c r="E338" s="1" t="s">
        <v>44</v>
      </c>
      <c r="F338" s="1" t="s">
        <v>561</v>
      </c>
      <c r="U338" s="1">
        <v>42618393.138787799</v>
      </c>
      <c r="AI338" s="1" t="s">
        <v>551</v>
      </c>
      <c r="AJ338" s="1" t="s">
        <v>44</v>
      </c>
      <c r="AK338" s="1" t="s">
        <v>581</v>
      </c>
      <c r="AL338" s="1" t="s">
        <v>1029</v>
      </c>
      <c r="AR338" s="1" t="s">
        <v>66</v>
      </c>
      <c r="AS338" s="1" t="s">
        <v>67</v>
      </c>
      <c r="AT338" s="1">
        <v>1.99</v>
      </c>
      <c r="AV338" s="1" t="s">
        <v>918</v>
      </c>
      <c r="AW338" s="1" t="s">
        <v>1588</v>
      </c>
      <c r="AX338" s="1">
        <v>35000000</v>
      </c>
      <c r="BA338" s="1" t="s">
        <v>69</v>
      </c>
      <c r="BB338" s="1" t="s">
        <v>560</v>
      </c>
      <c r="BD338" s="1" t="s">
        <v>555</v>
      </c>
      <c r="BG338" s="1" t="s">
        <v>558</v>
      </c>
      <c r="BH338" s="1">
        <v>15</v>
      </c>
      <c r="BI338" s="1" t="s">
        <v>70</v>
      </c>
      <c r="BJ338" s="1" t="s">
        <v>71</v>
      </c>
      <c r="BK338" s="1" t="s">
        <v>76</v>
      </c>
      <c r="BM338" s="1" t="s">
        <v>918</v>
      </c>
      <c r="BN338" s="1" t="s">
        <v>1588</v>
      </c>
      <c r="BP338" s="1">
        <v>35000000</v>
      </c>
      <c r="BT338" s="1" t="s">
        <v>557</v>
      </c>
      <c r="BV338" s="1" t="s">
        <v>555</v>
      </c>
      <c r="BY338" s="1" t="s">
        <v>558</v>
      </c>
      <c r="BZ338" s="1">
        <v>15</v>
      </c>
      <c r="CJ338" s="1">
        <v>2.0371299999999999</v>
      </c>
      <c r="CK338" s="1">
        <v>2.0346299999999999</v>
      </c>
      <c r="CL338" s="1">
        <v>2.0396299999999998</v>
      </c>
      <c r="CR338" s="1">
        <v>-153399.81015982101</v>
      </c>
      <c r="CU338" s="1">
        <v>-0.43830000000000002</v>
      </c>
      <c r="CZ338" s="1">
        <v>-153399.81</v>
      </c>
      <c r="DA338" s="1">
        <v>-153399.81</v>
      </c>
      <c r="DB338" s="1">
        <v>-179862.54</v>
      </c>
      <c r="DC338" s="1">
        <v>26462.73</v>
      </c>
      <c r="DD338" s="2">
        <v>152.63</v>
      </c>
      <c r="DG338" s="1">
        <v>2731.94</v>
      </c>
      <c r="DL338" s="1">
        <v>33146919.510000002</v>
      </c>
      <c r="DM338" s="1">
        <v>33120456.789999999</v>
      </c>
      <c r="DN338" s="1">
        <v>26462.73</v>
      </c>
      <c r="DO338" s="1">
        <v>1.99</v>
      </c>
      <c r="DP338" s="1" t="s">
        <v>1588</v>
      </c>
      <c r="DQ338" s="1" t="s">
        <v>1588</v>
      </c>
      <c r="DS338" s="1">
        <v>-33300319.32</v>
      </c>
      <c r="DT338" s="1">
        <v>-33300319.32</v>
      </c>
      <c r="DU338" s="1">
        <v>0</v>
      </c>
      <c r="DV338" s="1">
        <v>2.03714</v>
      </c>
      <c r="DW338" s="1" t="s">
        <v>1588</v>
      </c>
      <c r="DX338" s="1" t="s">
        <v>1588</v>
      </c>
      <c r="DZ338" s="1">
        <v>-154954</v>
      </c>
      <c r="EA338" s="1">
        <v>-151845</v>
      </c>
      <c r="ED338" s="1" t="s">
        <v>50</v>
      </c>
      <c r="EE338" s="1" t="s">
        <v>1591</v>
      </c>
      <c r="EF338" s="1" t="s">
        <v>53</v>
      </c>
      <c r="EG338" s="1" t="s">
        <v>1591</v>
      </c>
      <c r="EH338" s="1" t="s">
        <v>51</v>
      </c>
      <c r="EJ338" s="1" t="s">
        <v>55</v>
      </c>
      <c r="EL338" s="1" t="s">
        <v>57</v>
      </c>
    </row>
    <row r="339" spans="1:142" x14ac:dyDescent="0.2">
      <c r="A339" s="101">
        <v>91143034001</v>
      </c>
      <c r="B339" s="101">
        <v>91143034</v>
      </c>
      <c r="D339" s="1" t="s">
        <v>220</v>
      </c>
      <c r="E339" s="1" t="s">
        <v>46</v>
      </c>
      <c r="F339" s="1" t="s">
        <v>561</v>
      </c>
      <c r="U339" s="1">
        <v>50641914.682857797</v>
      </c>
      <c r="AI339" s="1" t="s">
        <v>551</v>
      </c>
      <c r="AJ339" s="1" t="s">
        <v>46</v>
      </c>
      <c r="AK339" s="1" t="s">
        <v>581</v>
      </c>
      <c r="AL339" s="1" t="s">
        <v>1029</v>
      </c>
      <c r="AR339" s="1" t="s">
        <v>66</v>
      </c>
      <c r="AS339" s="1" t="s">
        <v>71</v>
      </c>
      <c r="AT339" s="1">
        <v>2.4900000000000002</v>
      </c>
      <c r="AV339" s="1" t="s">
        <v>1145</v>
      </c>
      <c r="AW339" s="1" t="s">
        <v>1572</v>
      </c>
      <c r="AX339" s="1">
        <v>39600000</v>
      </c>
      <c r="BA339" s="1" t="s">
        <v>69</v>
      </c>
      <c r="BB339" s="1" t="s">
        <v>560</v>
      </c>
      <c r="BD339" s="1" t="s">
        <v>555</v>
      </c>
      <c r="BG339" s="1" t="s">
        <v>558</v>
      </c>
      <c r="BH339" s="1">
        <v>5</v>
      </c>
      <c r="BI339" s="1" t="s">
        <v>70</v>
      </c>
      <c r="BJ339" s="1" t="s">
        <v>67</v>
      </c>
      <c r="BK339" s="1" t="s">
        <v>452</v>
      </c>
      <c r="BM339" s="1" t="s">
        <v>1145</v>
      </c>
      <c r="BN339" s="1" t="s">
        <v>1572</v>
      </c>
      <c r="BP339" s="1">
        <v>39600000</v>
      </c>
      <c r="BT339" s="1" t="s">
        <v>557</v>
      </c>
      <c r="BV339" s="1" t="s">
        <v>555</v>
      </c>
      <c r="BY339" s="1" t="s">
        <v>558</v>
      </c>
      <c r="BZ339" s="1">
        <v>5</v>
      </c>
      <c r="CJ339" s="1">
        <v>2.5284499999999999</v>
      </c>
      <c r="CK339" s="1">
        <v>2.5259499999999999</v>
      </c>
      <c r="CL339" s="1">
        <v>2.5309499999999998</v>
      </c>
      <c r="CR339" s="1">
        <v>130797.657927789</v>
      </c>
      <c r="CU339" s="1">
        <v>0.33029999999999998</v>
      </c>
      <c r="CZ339" s="1">
        <v>130797.66</v>
      </c>
      <c r="DA339" s="1">
        <v>130797.66</v>
      </c>
      <c r="DB339" s="1">
        <v>-25351.82</v>
      </c>
      <c r="DC339" s="1">
        <v>156149.48000000001</v>
      </c>
      <c r="DD339" s="2">
        <v>-127.26</v>
      </c>
      <c r="DG339" s="1">
        <v>-3852.93</v>
      </c>
      <c r="DL339" s="1">
        <v>-34809556.939999998</v>
      </c>
      <c r="DM339" s="1">
        <v>-34740117.890000001</v>
      </c>
      <c r="DN339" s="1">
        <v>-69439.06</v>
      </c>
      <c r="DO339" s="1">
        <v>2.4900000000000002</v>
      </c>
      <c r="DP339" s="1" t="s">
        <v>1572</v>
      </c>
      <c r="DQ339" s="1" t="s">
        <v>1572</v>
      </c>
      <c r="DS339" s="1">
        <v>34940354.600000001</v>
      </c>
      <c r="DT339" s="1">
        <v>34714766.07</v>
      </c>
      <c r="DU339" s="1">
        <v>225588.53</v>
      </c>
      <c r="DV339" s="1">
        <v>2.5284499999999999</v>
      </c>
      <c r="DW339" s="1" t="s">
        <v>1572</v>
      </c>
      <c r="DX339" s="1" t="s">
        <v>1572</v>
      </c>
      <c r="DZ339" s="1">
        <v>132407</v>
      </c>
      <c r="EA339" s="1">
        <v>129189</v>
      </c>
      <c r="ED339" s="1" t="s">
        <v>50</v>
      </c>
      <c r="EE339" s="1" t="s">
        <v>1573</v>
      </c>
      <c r="EF339" s="1" t="s">
        <v>53</v>
      </c>
      <c r="EG339" s="1" t="s">
        <v>1573</v>
      </c>
      <c r="EH339" s="1" t="s">
        <v>51</v>
      </c>
      <c r="EJ339" s="1" t="s">
        <v>55</v>
      </c>
      <c r="EL339" s="1" t="s">
        <v>57</v>
      </c>
    </row>
    <row r="340" spans="1:142" x14ac:dyDescent="0.2">
      <c r="A340" s="101">
        <v>91235732001</v>
      </c>
      <c r="B340" s="101">
        <v>91235732</v>
      </c>
      <c r="D340" s="1" t="s">
        <v>43</v>
      </c>
      <c r="E340" s="1" t="s">
        <v>44</v>
      </c>
      <c r="F340" s="1" t="s">
        <v>583</v>
      </c>
      <c r="AI340" s="1" t="s">
        <v>551</v>
      </c>
      <c r="AJ340" s="1" t="s">
        <v>44</v>
      </c>
      <c r="AK340" s="1" t="s">
        <v>584</v>
      </c>
      <c r="AL340" s="1" t="s">
        <v>1041</v>
      </c>
      <c r="AR340" s="1" t="s">
        <v>79</v>
      </c>
      <c r="AS340" s="1" t="s">
        <v>71</v>
      </c>
      <c r="AT340" s="1">
        <v>2.1642000000000001</v>
      </c>
      <c r="AV340" s="1" t="s">
        <v>1350</v>
      </c>
      <c r="AW340" s="1" t="s">
        <v>1586</v>
      </c>
      <c r="AX340" s="1">
        <v>49285147</v>
      </c>
      <c r="BA340" s="1" t="s">
        <v>69</v>
      </c>
      <c r="BB340" s="1" t="s">
        <v>574</v>
      </c>
      <c r="BC340" s="1" t="s">
        <v>456</v>
      </c>
      <c r="BD340" s="1" t="s">
        <v>555</v>
      </c>
      <c r="BG340" s="1" t="s">
        <v>558</v>
      </c>
      <c r="BH340" s="1">
        <v>6</v>
      </c>
      <c r="BI340" s="1" t="s">
        <v>431</v>
      </c>
      <c r="BJ340" s="1" t="s">
        <v>67</v>
      </c>
      <c r="BK340" s="1" t="s">
        <v>440</v>
      </c>
      <c r="BL340" s="1">
        <v>0</v>
      </c>
      <c r="BM340" s="1" t="s">
        <v>1350</v>
      </c>
      <c r="BN340" s="1" t="s">
        <v>1586</v>
      </c>
      <c r="BP340" s="1">
        <v>49285147</v>
      </c>
      <c r="BR340" s="1" t="s">
        <v>69</v>
      </c>
      <c r="BS340" s="1" t="s">
        <v>1023</v>
      </c>
      <c r="BT340" s="1" t="s">
        <v>574</v>
      </c>
      <c r="BU340" s="1" t="s">
        <v>456</v>
      </c>
      <c r="BV340" s="1" t="s">
        <v>555</v>
      </c>
      <c r="BY340" s="1" t="s">
        <v>558</v>
      </c>
      <c r="BZ340" s="1">
        <v>6</v>
      </c>
      <c r="CJ340" s="1">
        <v>2.1268400000000001</v>
      </c>
      <c r="CK340" s="1">
        <v>2.1243400000000001</v>
      </c>
      <c r="CL340" s="1">
        <v>2.12934</v>
      </c>
      <c r="CR340" s="1">
        <v>2857.5334841981999</v>
      </c>
      <c r="CS340" s="1">
        <v>2133.2399999999998</v>
      </c>
      <c r="CT340" s="1">
        <v>3581.83</v>
      </c>
      <c r="CU340" s="1">
        <v>5.7999999999999996E-3</v>
      </c>
      <c r="CZ340" s="1">
        <v>2857.53</v>
      </c>
      <c r="DA340" s="1">
        <v>2857.53</v>
      </c>
      <c r="DB340" s="1">
        <v>-7883.97</v>
      </c>
      <c r="DC340" s="1">
        <v>10741.5</v>
      </c>
      <c r="DD340" s="2">
        <v>2549.77</v>
      </c>
      <c r="DG340" s="1">
        <v>671.43</v>
      </c>
      <c r="DL340" s="1">
        <v>-49367070.469999999</v>
      </c>
      <c r="DM340" s="1">
        <v>-49292999.009999998</v>
      </c>
      <c r="DN340" s="1">
        <v>-74071.47</v>
      </c>
      <c r="DO340" s="1">
        <v>2.1642000000000001</v>
      </c>
      <c r="DP340" s="1" t="s">
        <v>1170</v>
      </c>
      <c r="DQ340" s="1" t="s">
        <v>1170</v>
      </c>
      <c r="DS340" s="1">
        <v>49369928.009999998</v>
      </c>
      <c r="DT340" s="1">
        <v>49285115.030000001</v>
      </c>
      <c r="DU340" s="1">
        <v>84812.97</v>
      </c>
      <c r="DV340" s="1">
        <v>2.1740599999999999</v>
      </c>
      <c r="DW340" s="1" t="s">
        <v>1170</v>
      </c>
      <c r="DX340" s="1" t="s">
        <v>1170</v>
      </c>
      <c r="DY340" s="1" t="s">
        <v>1041</v>
      </c>
      <c r="DZ340" s="1">
        <v>-24257</v>
      </c>
      <c r="EA340" s="1">
        <v>29972</v>
      </c>
      <c r="ED340" s="1" t="s">
        <v>50</v>
      </c>
      <c r="EE340" s="1" t="s">
        <v>1587</v>
      </c>
      <c r="EF340" s="1" t="s">
        <v>53</v>
      </c>
      <c r="EG340" s="1" t="s">
        <v>1587</v>
      </c>
      <c r="EH340" s="1" t="s">
        <v>51</v>
      </c>
      <c r="EJ340" s="1" t="s">
        <v>55</v>
      </c>
      <c r="EL340" s="1" t="s">
        <v>57</v>
      </c>
    </row>
    <row r="341" spans="1:142" x14ac:dyDescent="0.2">
      <c r="A341" s="101">
        <v>91143040001</v>
      </c>
      <c r="B341" s="101">
        <v>91143040</v>
      </c>
      <c r="D341" s="1" t="s">
        <v>220</v>
      </c>
      <c r="E341" s="1" t="s">
        <v>46</v>
      </c>
      <c r="F341" s="1" t="s">
        <v>561</v>
      </c>
      <c r="U341" s="1">
        <v>28134397.046032101</v>
      </c>
      <c r="AI341" s="1" t="s">
        <v>551</v>
      </c>
      <c r="AJ341" s="1" t="s">
        <v>46</v>
      </c>
      <c r="AK341" s="1" t="s">
        <v>581</v>
      </c>
      <c r="AL341" s="1" t="s">
        <v>1029</v>
      </c>
      <c r="AR341" s="1" t="s">
        <v>66</v>
      </c>
      <c r="AS341" s="1" t="s">
        <v>71</v>
      </c>
      <c r="AT341" s="1">
        <v>2.4900000000000002</v>
      </c>
      <c r="AV341" s="1" t="s">
        <v>1145</v>
      </c>
      <c r="AW341" s="1" t="s">
        <v>1572</v>
      </c>
      <c r="AX341" s="1">
        <v>22000000</v>
      </c>
      <c r="BA341" s="1" t="s">
        <v>69</v>
      </c>
      <c r="BB341" s="1" t="s">
        <v>560</v>
      </c>
      <c r="BD341" s="1" t="s">
        <v>555</v>
      </c>
      <c r="BG341" s="1" t="s">
        <v>558</v>
      </c>
      <c r="BH341" s="1">
        <v>5</v>
      </c>
      <c r="BI341" s="1" t="s">
        <v>70</v>
      </c>
      <c r="BJ341" s="1" t="s">
        <v>67</v>
      </c>
      <c r="BK341" s="1" t="s">
        <v>452</v>
      </c>
      <c r="BM341" s="1" t="s">
        <v>1145</v>
      </c>
      <c r="BN341" s="1" t="s">
        <v>1572</v>
      </c>
      <c r="BP341" s="1">
        <v>22000000</v>
      </c>
      <c r="BT341" s="1" t="s">
        <v>557</v>
      </c>
      <c r="BV341" s="1" t="s">
        <v>555</v>
      </c>
      <c r="BY341" s="1" t="s">
        <v>558</v>
      </c>
      <c r="BZ341" s="1">
        <v>5</v>
      </c>
      <c r="CJ341" s="1">
        <v>2.5284499999999999</v>
      </c>
      <c r="CK341" s="1">
        <v>2.5259499999999999</v>
      </c>
      <c r="CL341" s="1">
        <v>2.5309499999999998</v>
      </c>
      <c r="CR341" s="1">
        <v>72665.365515437006</v>
      </c>
      <c r="CU341" s="1">
        <v>0.33029999999999998</v>
      </c>
      <c r="CZ341" s="1">
        <v>72665.37</v>
      </c>
      <c r="DA341" s="1">
        <v>72665.37</v>
      </c>
      <c r="DB341" s="1">
        <v>-14084.34</v>
      </c>
      <c r="DC341" s="1">
        <v>86749.71</v>
      </c>
      <c r="DD341" s="2">
        <v>-70.7</v>
      </c>
      <c r="DG341" s="1">
        <v>-2140.52</v>
      </c>
      <c r="DL341" s="1">
        <v>-19338642.75</v>
      </c>
      <c r="DM341" s="1">
        <v>-19300065.489999998</v>
      </c>
      <c r="DN341" s="1">
        <v>-38577.25</v>
      </c>
      <c r="DO341" s="1">
        <v>2.4900000000000002</v>
      </c>
      <c r="DP341" s="1" t="s">
        <v>1572</v>
      </c>
      <c r="DQ341" s="1" t="s">
        <v>1572</v>
      </c>
      <c r="DS341" s="1">
        <v>19411308.109999999</v>
      </c>
      <c r="DT341" s="1">
        <v>19285981.149999999</v>
      </c>
      <c r="DU341" s="1">
        <v>125326.96</v>
      </c>
      <c r="DV341" s="1">
        <v>2.5284499999999999</v>
      </c>
      <c r="DW341" s="1" t="s">
        <v>1572</v>
      </c>
      <c r="DX341" s="1" t="s">
        <v>1572</v>
      </c>
      <c r="DZ341" s="1">
        <v>73559</v>
      </c>
      <c r="EA341" s="1">
        <v>71772</v>
      </c>
      <c r="ED341" s="1" t="s">
        <v>50</v>
      </c>
      <c r="EE341" s="1" t="s">
        <v>1575</v>
      </c>
      <c r="EF341" s="1" t="s">
        <v>53</v>
      </c>
      <c r="EG341" s="1" t="s">
        <v>1575</v>
      </c>
      <c r="EH341" s="1" t="s">
        <v>51</v>
      </c>
      <c r="EJ341" s="1" t="s">
        <v>55</v>
      </c>
      <c r="EL341" s="1" t="s">
        <v>57</v>
      </c>
    </row>
    <row r="342" spans="1:142" x14ac:dyDescent="0.2">
      <c r="A342" s="101">
        <v>91235751001</v>
      </c>
      <c r="B342" s="101">
        <v>91235751</v>
      </c>
      <c r="D342" s="1" t="s">
        <v>80</v>
      </c>
      <c r="E342" s="1" t="s">
        <v>44</v>
      </c>
      <c r="F342" s="1" t="s">
        <v>561</v>
      </c>
      <c r="U342" s="1">
        <v>75495439.274424106</v>
      </c>
      <c r="AI342" s="1" t="s">
        <v>551</v>
      </c>
      <c r="AJ342" s="1" t="s">
        <v>44</v>
      </c>
      <c r="AK342" s="1" t="s">
        <v>581</v>
      </c>
      <c r="AL342" s="1" t="s">
        <v>1029</v>
      </c>
      <c r="AR342" s="1" t="s">
        <v>66</v>
      </c>
      <c r="AS342" s="1" t="s">
        <v>67</v>
      </c>
      <c r="AT342" s="1">
        <v>1.99</v>
      </c>
      <c r="AV342" s="1" t="s">
        <v>918</v>
      </c>
      <c r="AW342" s="1" t="s">
        <v>1588</v>
      </c>
      <c r="AX342" s="1">
        <v>62000000</v>
      </c>
      <c r="BA342" s="1" t="s">
        <v>69</v>
      </c>
      <c r="BB342" s="1" t="s">
        <v>560</v>
      </c>
      <c r="BD342" s="1" t="s">
        <v>555</v>
      </c>
      <c r="BG342" s="1" t="s">
        <v>558</v>
      </c>
      <c r="BH342" s="1">
        <v>15</v>
      </c>
      <c r="BI342" s="1" t="s">
        <v>70</v>
      </c>
      <c r="BJ342" s="1" t="s">
        <v>71</v>
      </c>
      <c r="BK342" s="1" t="s">
        <v>76</v>
      </c>
      <c r="BM342" s="1" t="s">
        <v>918</v>
      </c>
      <c r="BN342" s="1" t="s">
        <v>1588</v>
      </c>
      <c r="BP342" s="1">
        <v>62000000</v>
      </c>
      <c r="BT342" s="1" t="s">
        <v>557</v>
      </c>
      <c r="BV342" s="1" t="s">
        <v>555</v>
      </c>
      <c r="BY342" s="1" t="s">
        <v>558</v>
      </c>
      <c r="BZ342" s="1">
        <v>15</v>
      </c>
      <c r="CJ342" s="1">
        <v>2.0371299999999999</v>
      </c>
      <c r="CK342" s="1">
        <v>2.0346299999999999</v>
      </c>
      <c r="CL342" s="1">
        <v>2.0396299999999998</v>
      </c>
      <c r="CR342" s="1">
        <v>-271736.80656883097</v>
      </c>
      <c r="CU342" s="1">
        <v>-0.43830000000000002</v>
      </c>
      <c r="CZ342" s="1">
        <v>-271736.81</v>
      </c>
      <c r="DA342" s="1">
        <v>-271736.81</v>
      </c>
      <c r="DB342" s="1">
        <v>-318613.64</v>
      </c>
      <c r="DC342" s="1">
        <v>46876.83</v>
      </c>
      <c r="DD342" s="2">
        <v>270.37</v>
      </c>
      <c r="DG342" s="1">
        <v>4839.4399999999996</v>
      </c>
      <c r="DL342" s="1">
        <v>58717400.280000001</v>
      </c>
      <c r="DM342" s="1">
        <v>58670523.450000003</v>
      </c>
      <c r="DN342" s="1">
        <v>46876.83</v>
      </c>
      <c r="DO342" s="1">
        <v>1.99</v>
      </c>
      <c r="DP342" s="1" t="s">
        <v>1588</v>
      </c>
      <c r="DQ342" s="1" t="s">
        <v>1588</v>
      </c>
      <c r="DS342" s="1">
        <v>-58989137.090000004</v>
      </c>
      <c r="DT342" s="1">
        <v>-58989137.090000004</v>
      </c>
      <c r="DU342" s="1">
        <v>0</v>
      </c>
      <c r="DV342" s="1">
        <v>2.03714</v>
      </c>
      <c r="DW342" s="1" t="s">
        <v>1588</v>
      </c>
      <c r="DX342" s="1" t="s">
        <v>1588</v>
      </c>
      <c r="DZ342" s="1">
        <v>-274491</v>
      </c>
      <c r="EA342" s="1">
        <v>-268983</v>
      </c>
      <c r="ED342" s="1" t="s">
        <v>50</v>
      </c>
      <c r="EE342" s="1" t="s">
        <v>1589</v>
      </c>
      <c r="EF342" s="1" t="s">
        <v>53</v>
      </c>
      <c r="EG342" s="1" t="s">
        <v>1589</v>
      </c>
      <c r="EH342" s="1" t="s">
        <v>51</v>
      </c>
      <c r="EJ342" s="1" t="s">
        <v>55</v>
      </c>
      <c r="EL342" s="1" t="s">
        <v>57</v>
      </c>
    </row>
    <row r="343" spans="1:142" x14ac:dyDescent="0.2">
      <c r="A343" s="101">
        <v>91235769001</v>
      </c>
      <c r="B343" s="101">
        <v>91235769</v>
      </c>
      <c r="D343" s="1" t="s">
        <v>80</v>
      </c>
      <c r="E343" s="1" t="s">
        <v>44</v>
      </c>
      <c r="F343" s="1" t="s">
        <v>561</v>
      </c>
      <c r="U343" s="1">
        <v>4870673.5015757503</v>
      </c>
      <c r="AI343" s="1" t="s">
        <v>551</v>
      </c>
      <c r="AJ343" s="1" t="s">
        <v>44</v>
      </c>
      <c r="AK343" s="1" t="s">
        <v>581</v>
      </c>
      <c r="AL343" s="1" t="s">
        <v>1029</v>
      </c>
      <c r="AR343" s="1" t="s">
        <v>66</v>
      </c>
      <c r="AS343" s="1" t="s">
        <v>67</v>
      </c>
      <c r="AT343" s="1">
        <v>1.99</v>
      </c>
      <c r="AV343" s="1" t="s">
        <v>918</v>
      </c>
      <c r="AW343" s="1" t="s">
        <v>1588</v>
      </c>
      <c r="AX343" s="1">
        <v>4000000</v>
      </c>
      <c r="BA343" s="1" t="s">
        <v>69</v>
      </c>
      <c r="BB343" s="1" t="s">
        <v>560</v>
      </c>
      <c r="BD343" s="1" t="s">
        <v>555</v>
      </c>
      <c r="BG343" s="1" t="s">
        <v>558</v>
      </c>
      <c r="BH343" s="1">
        <v>15</v>
      </c>
      <c r="BI343" s="1" t="s">
        <v>70</v>
      </c>
      <c r="BJ343" s="1" t="s">
        <v>71</v>
      </c>
      <c r="BK343" s="1" t="s">
        <v>76</v>
      </c>
      <c r="BM343" s="1" t="s">
        <v>918</v>
      </c>
      <c r="BN343" s="1" t="s">
        <v>1588</v>
      </c>
      <c r="BP343" s="1">
        <v>4000000</v>
      </c>
      <c r="BT343" s="1" t="s">
        <v>557</v>
      </c>
      <c r="BV343" s="1" t="s">
        <v>555</v>
      </c>
      <c r="BY343" s="1" t="s">
        <v>558</v>
      </c>
      <c r="BZ343" s="1">
        <v>15</v>
      </c>
      <c r="CJ343" s="1">
        <v>2.0371299999999999</v>
      </c>
      <c r="CK343" s="1">
        <v>2.0346299999999999</v>
      </c>
      <c r="CL343" s="1">
        <v>2.0396299999999998</v>
      </c>
      <c r="CR343" s="1">
        <v>-17531.406875408298</v>
      </c>
      <c r="CU343" s="1">
        <v>-0.43830000000000002</v>
      </c>
      <c r="CZ343" s="1">
        <v>-17531.41</v>
      </c>
      <c r="DA343" s="1">
        <v>-17531.41</v>
      </c>
      <c r="DB343" s="1">
        <v>-20555.72</v>
      </c>
      <c r="DC343" s="1">
        <v>3024.31</v>
      </c>
      <c r="DD343" s="2">
        <v>17.440000000000001</v>
      </c>
      <c r="DG343" s="1">
        <v>312.22000000000003</v>
      </c>
      <c r="DL343" s="1">
        <v>3788219.37</v>
      </c>
      <c r="DM343" s="1">
        <v>3785195.06</v>
      </c>
      <c r="DN343" s="1">
        <v>3024.31</v>
      </c>
      <c r="DO343" s="1">
        <v>1.99</v>
      </c>
      <c r="DP343" s="1" t="s">
        <v>1588</v>
      </c>
      <c r="DQ343" s="1" t="s">
        <v>1588</v>
      </c>
      <c r="DS343" s="1">
        <v>-3805750.78</v>
      </c>
      <c r="DT343" s="1">
        <v>-3805750.78</v>
      </c>
      <c r="DU343" s="1">
        <v>0</v>
      </c>
      <c r="DV343" s="1">
        <v>2.03714</v>
      </c>
      <c r="DW343" s="1" t="s">
        <v>1588</v>
      </c>
      <c r="DX343" s="1" t="s">
        <v>1588</v>
      </c>
      <c r="DZ343" s="1">
        <v>-17709</v>
      </c>
      <c r="EA343" s="1">
        <v>-17354</v>
      </c>
      <c r="ED343" s="1" t="s">
        <v>50</v>
      </c>
      <c r="EE343" s="1" t="s">
        <v>1592</v>
      </c>
      <c r="EF343" s="1" t="s">
        <v>53</v>
      </c>
      <c r="EG343" s="1" t="s">
        <v>1592</v>
      </c>
      <c r="EH343" s="1" t="s">
        <v>51</v>
      </c>
      <c r="EJ343" s="1" t="s">
        <v>55</v>
      </c>
      <c r="EL343" s="1" t="s">
        <v>57</v>
      </c>
    </row>
    <row r="344" spans="1:142" x14ac:dyDescent="0.2">
      <c r="A344" s="101">
        <v>91235766001</v>
      </c>
      <c r="B344" s="101">
        <v>91235766</v>
      </c>
      <c r="D344" s="1" t="s">
        <v>80</v>
      </c>
      <c r="E344" s="1" t="s">
        <v>44</v>
      </c>
      <c r="F344" s="1" t="s">
        <v>561</v>
      </c>
      <c r="U344" s="1">
        <v>90107459.779151306</v>
      </c>
      <c r="AI344" s="1" t="s">
        <v>551</v>
      </c>
      <c r="AJ344" s="1" t="s">
        <v>44</v>
      </c>
      <c r="AK344" s="1" t="s">
        <v>581</v>
      </c>
      <c r="AL344" s="1" t="s">
        <v>1029</v>
      </c>
      <c r="AR344" s="1" t="s">
        <v>66</v>
      </c>
      <c r="AS344" s="1" t="s">
        <v>67</v>
      </c>
      <c r="AT344" s="1">
        <v>1.99</v>
      </c>
      <c r="AV344" s="1" t="s">
        <v>918</v>
      </c>
      <c r="AW344" s="1" t="s">
        <v>1588</v>
      </c>
      <c r="AX344" s="1">
        <v>74000000</v>
      </c>
      <c r="BA344" s="1" t="s">
        <v>69</v>
      </c>
      <c r="BB344" s="1" t="s">
        <v>560</v>
      </c>
      <c r="BD344" s="1" t="s">
        <v>555</v>
      </c>
      <c r="BG344" s="1" t="s">
        <v>558</v>
      </c>
      <c r="BH344" s="1">
        <v>15</v>
      </c>
      <c r="BI344" s="1" t="s">
        <v>70</v>
      </c>
      <c r="BJ344" s="1" t="s">
        <v>71</v>
      </c>
      <c r="BK344" s="1" t="s">
        <v>76</v>
      </c>
      <c r="BM344" s="1" t="s">
        <v>918</v>
      </c>
      <c r="BN344" s="1" t="s">
        <v>1588</v>
      </c>
      <c r="BP344" s="1">
        <v>74000000</v>
      </c>
      <c r="BT344" s="1" t="s">
        <v>557</v>
      </c>
      <c r="BV344" s="1" t="s">
        <v>555</v>
      </c>
      <c r="BY344" s="1" t="s">
        <v>558</v>
      </c>
      <c r="BZ344" s="1">
        <v>15</v>
      </c>
      <c r="CJ344" s="1">
        <v>2.0371299999999999</v>
      </c>
      <c r="CK344" s="1">
        <v>2.0346299999999999</v>
      </c>
      <c r="CL344" s="1">
        <v>2.0396299999999998</v>
      </c>
      <c r="CR344" s="1">
        <v>-324331.02719505102</v>
      </c>
      <c r="CU344" s="1">
        <v>-0.43830000000000002</v>
      </c>
      <c r="CZ344" s="1">
        <v>-324331.03000000003</v>
      </c>
      <c r="DA344" s="1">
        <v>-324331.03000000003</v>
      </c>
      <c r="DB344" s="1">
        <v>-380280.79</v>
      </c>
      <c r="DC344" s="1">
        <v>55949.77</v>
      </c>
      <c r="DD344" s="2">
        <v>322.7</v>
      </c>
      <c r="DG344" s="1">
        <v>5776.1</v>
      </c>
      <c r="DL344" s="1">
        <v>70082058.400000006</v>
      </c>
      <c r="DM344" s="1">
        <v>70026108.640000001</v>
      </c>
      <c r="DN344" s="1">
        <v>55949.77</v>
      </c>
      <c r="DO344" s="1">
        <v>1.99</v>
      </c>
      <c r="DP344" s="1" t="s">
        <v>1588</v>
      </c>
      <c r="DQ344" s="1" t="s">
        <v>1588</v>
      </c>
      <c r="DS344" s="1">
        <v>-70406389.430000007</v>
      </c>
      <c r="DT344" s="1">
        <v>-70406389.430000007</v>
      </c>
      <c r="DU344" s="1">
        <v>0</v>
      </c>
      <c r="DV344" s="1">
        <v>2.03714</v>
      </c>
      <c r="DW344" s="1" t="s">
        <v>1588</v>
      </c>
      <c r="DX344" s="1" t="s">
        <v>1588</v>
      </c>
      <c r="DZ344" s="1">
        <v>-327618</v>
      </c>
      <c r="EA344" s="1">
        <v>-321044</v>
      </c>
      <c r="ED344" s="1" t="s">
        <v>50</v>
      </c>
      <c r="EE344" s="1" t="s">
        <v>1590</v>
      </c>
      <c r="EF344" s="1" t="s">
        <v>53</v>
      </c>
      <c r="EG344" s="1" t="s">
        <v>1590</v>
      </c>
      <c r="EH344" s="1" t="s">
        <v>51</v>
      </c>
      <c r="EJ344" s="1" t="s">
        <v>55</v>
      </c>
      <c r="EL344" s="1" t="s">
        <v>57</v>
      </c>
    </row>
    <row r="345" spans="1:142" x14ac:dyDescent="0.2">
      <c r="A345" s="101">
        <v>91235770001</v>
      </c>
      <c r="B345" s="101">
        <v>91235770</v>
      </c>
      <c r="D345" s="1" t="s">
        <v>80</v>
      </c>
      <c r="E345" s="1" t="s">
        <v>44</v>
      </c>
      <c r="F345" s="1" t="s">
        <v>561</v>
      </c>
      <c r="U345" s="1">
        <v>23135699.132484801</v>
      </c>
      <c r="AI345" s="1" t="s">
        <v>551</v>
      </c>
      <c r="AJ345" s="1" t="s">
        <v>44</v>
      </c>
      <c r="AK345" s="1" t="s">
        <v>581</v>
      </c>
      <c r="AL345" s="1" t="s">
        <v>1029</v>
      </c>
      <c r="AR345" s="1" t="s">
        <v>66</v>
      </c>
      <c r="AS345" s="1" t="s">
        <v>67</v>
      </c>
      <c r="AT345" s="1">
        <v>1.99</v>
      </c>
      <c r="AV345" s="1" t="s">
        <v>918</v>
      </c>
      <c r="AW345" s="1" t="s">
        <v>1588</v>
      </c>
      <c r="AX345" s="1">
        <v>19000000</v>
      </c>
      <c r="BA345" s="1" t="s">
        <v>69</v>
      </c>
      <c r="BB345" s="1" t="s">
        <v>560</v>
      </c>
      <c r="BD345" s="1" t="s">
        <v>555</v>
      </c>
      <c r="BG345" s="1" t="s">
        <v>558</v>
      </c>
      <c r="BH345" s="1">
        <v>15</v>
      </c>
      <c r="BI345" s="1" t="s">
        <v>70</v>
      </c>
      <c r="BJ345" s="1" t="s">
        <v>71</v>
      </c>
      <c r="BK345" s="1" t="s">
        <v>76</v>
      </c>
      <c r="BM345" s="1" t="s">
        <v>918</v>
      </c>
      <c r="BN345" s="1" t="s">
        <v>1588</v>
      </c>
      <c r="BP345" s="1">
        <v>19000000</v>
      </c>
      <c r="BT345" s="1" t="s">
        <v>557</v>
      </c>
      <c r="BV345" s="1" t="s">
        <v>555</v>
      </c>
      <c r="BY345" s="1" t="s">
        <v>558</v>
      </c>
      <c r="BZ345" s="1">
        <v>15</v>
      </c>
      <c r="CJ345" s="1">
        <v>2.0371299999999999</v>
      </c>
      <c r="CK345" s="1">
        <v>2.0346299999999999</v>
      </c>
      <c r="CL345" s="1">
        <v>2.0396299999999998</v>
      </c>
      <c r="CR345" s="1">
        <v>-83274.182658188001</v>
      </c>
      <c r="CU345" s="1">
        <v>-0.43830000000000002</v>
      </c>
      <c r="CZ345" s="1">
        <v>-83274.179999999993</v>
      </c>
      <c r="DA345" s="1">
        <v>-83274.179999999993</v>
      </c>
      <c r="DB345" s="1">
        <v>-97639.66</v>
      </c>
      <c r="DC345" s="1">
        <v>14365.48</v>
      </c>
      <c r="DD345" s="2">
        <v>82.86</v>
      </c>
      <c r="DG345" s="1">
        <v>1483.05</v>
      </c>
      <c r="DL345" s="1">
        <v>17994042.02</v>
      </c>
      <c r="DM345" s="1">
        <v>17979676.539999999</v>
      </c>
      <c r="DN345" s="1">
        <v>14365.48</v>
      </c>
      <c r="DO345" s="1">
        <v>1.99</v>
      </c>
      <c r="DP345" s="1" t="s">
        <v>1588</v>
      </c>
      <c r="DQ345" s="1" t="s">
        <v>1588</v>
      </c>
      <c r="DS345" s="1">
        <v>-18077316.199999999</v>
      </c>
      <c r="DT345" s="1">
        <v>-18077316.199999999</v>
      </c>
      <c r="DU345" s="1">
        <v>0</v>
      </c>
      <c r="DV345" s="1">
        <v>2.03714</v>
      </c>
      <c r="DW345" s="1" t="s">
        <v>1588</v>
      </c>
      <c r="DX345" s="1" t="s">
        <v>1588</v>
      </c>
      <c r="DZ345" s="1">
        <v>-84118</v>
      </c>
      <c r="EA345" s="1">
        <v>-82430</v>
      </c>
      <c r="ED345" s="1" t="s">
        <v>50</v>
      </c>
      <c r="EE345" s="1" t="s">
        <v>1593</v>
      </c>
      <c r="EF345" s="1" t="s">
        <v>53</v>
      </c>
      <c r="EG345" s="1" t="s">
        <v>1593</v>
      </c>
      <c r="EH345" s="1" t="s">
        <v>51</v>
      </c>
      <c r="EJ345" s="1" t="s">
        <v>55</v>
      </c>
      <c r="EL345" s="1" t="s">
        <v>57</v>
      </c>
    </row>
    <row r="346" spans="1:142" x14ac:dyDescent="0.2">
      <c r="A346" s="101">
        <v>91237194001</v>
      </c>
      <c r="B346" s="101">
        <v>91237194</v>
      </c>
      <c r="D346" s="1" t="s">
        <v>80</v>
      </c>
      <c r="E346" s="1" t="s">
        <v>44</v>
      </c>
      <c r="F346" s="1" t="s">
        <v>561</v>
      </c>
      <c r="U346" s="1">
        <v>68132790.594893098</v>
      </c>
      <c r="AI346" s="1" t="s">
        <v>551</v>
      </c>
      <c r="AJ346" s="1" t="s">
        <v>44</v>
      </c>
      <c r="AK346" s="1" t="s">
        <v>581</v>
      </c>
      <c r="AL346" s="1" t="s">
        <v>1029</v>
      </c>
      <c r="AR346" s="1" t="s">
        <v>66</v>
      </c>
      <c r="AS346" s="1" t="s">
        <v>71</v>
      </c>
      <c r="AT346" s="1">
        <v>1.9065000000000001</v>
      </c>
      <c r="AV346" s="1" t="s">
        <v>918</v>
      </c>
      <c r="AW346" s="1" t="s">
        <v>1594</v>
      </c>
      <c r="AX346" s="1">
        <v>62000000</v>
      </c>
      <c r="BA346" s="1" t="s">
        <v>69</v>
      </c>
      <c r="BB346" s="1" t="s">
        <v>560</v>
      </c>
      <c r="BD346" s="1" t="s">
        <v>555</v>
      </c>
      <c r="BG346" s="1" t="s">
        <v>558</v>
      </c>
      <c r="BH346" s="1">
        <v>15</v>
      </c>
      <c r="BI346" s="1" t="s">
        <v>70</v>
      </c>
      <c r="BJ346" s="1" t="s">
        <v>67</v>
      </c>
      <c r="BK346" s="1" t="s">
        <v>76</v>
      </c>
      <c r="BM346" s="1" t="s">
        <v>918</v>
      </c>
      <c r="BN346" s="1" t="s">
        <v>1594</v>
      </c>
      <c r="BP346" s="1">
        <v>62000000</v>
      </c>
      <c r="BT346" s="1" t="s">
        <v>557</v>
      </c>
      <c r="BV346" s="1" t="s">
        <v>555</v>
      </c>
      <c r="BY346" s="1" t="s">
        <v>558</v>
      </c>
      <c r="BZ346" s="1">
        <v>15</v>
      </c>
      <c r="CJ346" s="1">
        <v>1.9471499999999999</v>
      </c>
      <c r="CK346" s="1">
        <v>1.94465</v>
      </c>
      <c r="CL346" s="1">
        <v>1.9496500000000001</v>
      </c>
      <c r="CR346" s="1">
        <v>121764.06027846001</v>
      </c>
      <c r="CU346" s="1">
        <v>0.19639999999999999</v>
      </c>
      <c r="CZ346" s="1">
        <v>121764.06</v>
      </c>
      <c r="DA346" s="1">
        <v>121764.06</v>
      </c>
      <c r="DB346" s="1">
        <v>166691.70000000001</v>
      </c>
      <c r="DC346" s="1">
        <v>-44927.64</v>
      </c>
      <c r="DD346" s="2">
        <v>-60.05</v>
      </c>
      <c r="DG346" s="1">
        <v>-4349.51</v>
      </c>
      <c r="DL346" s="1">
        <v>-61062233.289999999</v>
      </c>
      <c r="DM346" s="1">
        <v>-61017305.649999999</v>
      </c>
      <c r="DN346" s="1">
        <v>-44927.64</v>
      </c>
      <c r="DO346" s="1">
        <v>1.9065000000000001</v>
      </c>
      <c r="DP346" s="1" t="s">
        <v>1594</v>
      </c>
      <c r="DQ346" s="1" t="s">
        <v>1594</v>
      </c>
      <c r="DS346" s="1">
        <v>61183997.350000001</v>
      </c>
      <c r="DT346" s="1">
        <v>61183997.350000001</v>
      </c>
      <c r="DU346" s="1">
        <v>0</v>
      </c>
      <c r="DV346" s="1">
        <v>1.9471799999999999</v>
      </c>
      <c r="DW346" s="1" t="s">
        <v>1594</v>
      </c>
      <c r="DX346" s="1" t="s">
        <v>1594</v>
      </c>
      <c r="DZ346" s="1">
        <v>122349</v>
      </c>
      <c r="EA346" s="1">
        <v>121179</v>
      </c>
      <c r="ED346" s="1" t="s">
        <v>50</v>
      </c>
      <c r="EE346" s="1" t="s">
        <v>1595</v>
      </c>
      <c r="EF346" s="1" t="s">
        <v>53</v>
      </c>
      <c r="EG346" s="1" t="s">
        <v>1595</v>
      </c>
      <c r="EH346" s="1" t="s">
        <v>51</v>
      </c>
      <c r="EJ346" s="1" t="s">
        <v>55</v>
      </c>
      <c r="EL346" s="1" t="s">
        <v>57</v>
      </c>
    </row>
    <row r="347" spans="1:142" x14ac:dyDescent="0.2">
      <c r="A347" s="101">
        <v>91237201001</v>
      </c>
      <c r="B347" s="101">
        <v>91237201</v>
      </c>
      <c r="D347" s="1" t="s">
        <v>80</v>
      </c>
      <c r="E347" s="1" t="s">
        <v>44</v>
      </c>
      <c r="F347" s="1" t="s">
        <v>561</v>
      </c>
      <c r="U347" s="1">
        <v>81319782.322936907</v>
      </c>
      <c r="AI347" s="1" t="s">
        <v>551</v>
      </c>
      <c r="AJ347" s="1" t="s">
        <v>44</v>
      </c>
      <c r="AK347" s="1" t="s">
        <v>581</v>
      </c>
      <c r="AL347" s="1" t="s">
        <v>1029</v>
      </c>
      <c r="AR347" s="1" t="s">
        <v>66</v>
      </c>
      <c r="AS347" s="1" t="s">
        <v>71</v>
      </c>
      <c r="AT347" s="1">
        <v>1.9065000000000001</v>
      </c>
      <c r="AV347" s="1" t="s">
        <v>918</v>
      </c>
      <c r="AW347" s="1" t="s">
        <v>1594</v>
      </c>
      <c r="AX347" s="1">
        <v>74000000</v>
      </c>
      <c r="BA347" s="1" t="s">
        <v>69</v>
      </c>
      <c r="BB347" s="1" t="s">
        <v>560</v>
      </c>
      <c r="BD347" s="1" t="s">
        <v>555</v>
      </c>
      <c r="BG347" s="1" t="s">
        <v>558</v>
      </c>
      <c r="BH347" s="1">
        <v>15</v>
      </c>
      <c r="BI347" s="1" t="s">
        <v>70</v>
      </c>
      <c r="BJ347" s="1" t="s">
        <v>67</v>
      </c>
      <c r="BK347" s="1" t="s">
        <v>76</v>
      </c>
      <c r="BM347" s="1" t="s">
        <v>918</v>
      </c>
      <c r="BN347" s="1" t="s">
        <v>1594</v>
      </c>
      <c r="BP347" s="1">
        <v>74000000</v>
      </c>
      <c r="BT347" s="1" t="s">
        <v>557</v>
      </c>
      <c r="BV347" s="1" t="s">
        <v>555</v>
      </c>
      <c r="BY347" s="1" t="s">
        <v>558</v>
      </c>
      <c r="BZ347" s="1">
        <v>15</v>
      </c>
      <c r="CJ347" s="1">
        <v>1.9471499999999999</v>
      </c>
      <c r="CK347" s="1">
        <v>1.94465</v>
      </c>
      <c r="CL347" s="1">
        <v>1.9496500000000001</v>
      </c>
      <c r="CR347" s="1">
        <v>145331.29775170999</v>
      </c>
      <c r="CU347" s="1">
        <v>0.19639999999999999</v>
      </c>
      <c r="CZ347" s="1">
        <v>145331.29999999999</v>
      </c>
      <c r="DA347" s="1">
        <v>145331.29999999999</v>
      </c>
      <c r="DB347" s="1">
        <v>198954.61</v>
      </c>
      <c r="DC347" s="1">
        <v>-53623.31</v>
      </c>
      <c r="DD347" s="2">
        <v>-71.67</v>
      </c>
      <c r="DG347" s="1">
        <v>-5191.3500000000004</v>
      </c>
      <c r="DL347" s="1">
        <v>-72880730.049999997</v>
      </c>
      <c r="DM347" s="1">
        <v>-72827106.739999995</v>
      </c>
      <c r="DN347" s="1">
        <v>-53623.31</v>
      </c>
      <c r="DO347" s="1">
        <v>1.9065000000000001</v>
      </c>
      <c r="DP347" s="1" t="s">
        <v>1594</v>
      </c>
      <c r="DQ347" s="1" t="s">
        <v>1594</v>
      </c>
      <c r="DS347" s="1">
        <v>73026061.349999994</v>
      </c>
      <c r="DT347" s="1">
        <v>73026061.349999994</v>
      </c>
      <c r="DU347" s="1">
        <v>0</v>
      </c>
      <c r="DV347" s="1">
        <v>1.9471799999999999</v>
      </c>
      <c r="DW347" s="1" t="s">
        <v>1594</v>
      </c>
      <c r="DX347" s="1" t="s">
        <v>1594</v>
      </c>
      <c r="DZ347" s="1">
        <v>146029</v>
      </c>
      <c r="EA347" s="1">
        <v>144634</v>
      </c>
      <c r="ED347" s="1" t="s">
        <v>50</v>
      </c>
      <c r="EE347" s="1" t="s">
        <v>1596</v>
      </c>
      <c r="EF347" s="1" t="s">
        <v>53</v>
      </c>
      <c r="EG347" s="1" t="s">
        <v>1596</v>
      </c>
      <c r="EH347" s="1" t="s">
        <v>51</v>
      </c>
      <c r="EJ347" s="1" t="s">
        <v>55</v>
      </c>
      <c r="EL347" s="1" t="s">
        <v>57</v>
      </c>
    </row>
    <row r="348" spans="1:142" x14ac:dyDescent="0.2">
      <c r="A348" s="101">
        <v>91237203001</v>
      </c>
      <c r="B348" s="101">
        <v>91237203</v>
      </c>
      <c r="D348" s="1" t="s">
        <v>80</v>
      </c>
      <c r="E348" s="1" t="s">
        <v>44</v>
      </c>
      <c r="F348" s="1" t="s">
        <v>561</v>
      </c>
      <c r="U348" s="1">
        <v>38462059.2067945</v>
      </c>
      <c r="AI348" s="1" t="s">
        <v>551</v>
      </c>
      <c r="AJ348" s="1" t="s">
        <v>44</v>
      </c>
      <c r="AK348" s="1" t="s">
        <v>581</v>
      </c>
      <c r="AL348" s="1" t="s">
        <v>1029</v>
      </c>
      <c r="AR348" s="1" t="s">
        <v>66</v>
      </c>
      <c r="AS348" s="1" t="s">
        <v>71</v>
      </c>
      <c r="AT348" s="1">
        <v>1.9065000000000001</v>
      </c>
      <c r="AV348" s="1" t="s">
        <v>918</v>
      </c>
      <c r="AW348" s="1" t="s">
        <v>1594</v>
      </c>
      <c r="AX348" s="1">
        <v>35000000</v>
      </c>
      <c r="BA348" s="1" t="s">
        <v>69</v>
      </c>
      <c r="BB348" s="1" t="s">
        <v>560</v>
      </c>
      <c r="BD348" s="1" t="s">
        <v>555</v>
      </c>
      <c r="BG348" s="1" t="s">
        <v>558</v>
      </c>
      <c r="BH348" s="1">
        <v>15</v>
      </c>
      <c r="BI348" s="1" t="s">
        <v>70</v>
      </c>
      <c r="BJ348" s="1" t="s">
        <v>67</v>
      </c>
      <c r="BK348" s="1" t="s">
        <v>76</v>
      </c>
      <c r="BM348" s="1" t="s">
        <v>918</v>
      </c>
      <c r="BN348" s="1" t="s">
        <v>1594</v>
      </c>
      <c r="BP348" s="1">
        <v>35000000</v>
      </c>
      <c r="BT348" s="1" t="s">
        <v>557</v>
      </c>
      <c r="BV348" s="1" t="s">
        <v>555</v>
      </c>
      <c r="BY348" s="1" t="s">
        <v>558</v>
      </c>
      <c r="BZ348" s="1">
        <v>15</v>
      </c>
      <c r="CJ348" s="1">
        <v>1.9471499999999999</v>
      </c>
      <c r="CK348" s="1">
        <v>1.94465</v>
      </c>
      <c r="CL348" s="1">
        <v>1.9496500000000001</v>
      </c>
      <c r="CR348" s="1">
        <v>68737.775963649197</v>
      </c>
      <c r="CU348" s="1">
        <v>0.19639999999999999</v>
      </c>
      <c r="CZ348" s="1">
        <v>68737.78</v>
      </c>
      <c r="DA348" s="1">
        <v>68737.78</v>
      </c>
      <c r="DB348" s="1">
        <v>94100.15</v>
      </c>
      <c r="DC348" s="1">
        <v>-25362.38</v>
      </c>
      <c r="DD348" s="2">
        <v>-33.9</v>
      </c>
      <c r="DG348" s="1">
        <v>-2455.37</v>
      </c>
      <c r="DL348" s="1">
        <v>-34470615.57</v>
      </c>
      <c r="DM348" s="1">
        <v>-34445253.189999998</v>
      </c>
      <c r="DN348" s="1">
        <v>-25362.38</v>
      </c>
      <c r="DO348" s="1">
        <v>1.9065000000000001</v>
      </c>
      <c r="DP348" s="1" t="s">
        <v>1594</v>
      </c>
      <c r="DQ348" s="1" t="s">
        <v>1594</v>
      </c>
      <c r="DS348" s="1">
        <v>34539353.340000004</v>
      </c>
      <c r="DT348" s="1">
        <v>34539353.340000004</v>
      </c>
      <c r="DU348" s="1">
        <v>0</v>
      </c>
      <c r="DV348" s="1">
        <v>1.9471799999999999</v>
      </c>
      <c r="DW348" s="1" t="s">
        <v>1594</v>
      </c>
      <c r="DX348" s="1" t="s">
        <v>1594</v>
      </c>
      <c r="DZ348" s="1">
        <v>69068</v>
      </c>
      <c r="EA348" s="1">
        <v>68408</v>
      </c>
      <c r="ED348" s="1" t="s">
        <v>50</v>
      </c>
      <c r="EE348" s="1" t="s">
        <v>1597</v>
      </c>
      <c r="EF348" s="1" t="s">
        <v>53</v>
      </c>
      <c r="EG348" s="1" t="s">
        <v>1597</v>
      </c>
      <c r="EH348" s="1" t="s">
        <v>51</v>
      </c>
      <c r="EJ348" s="1" t="s">
        <v>55</v>
      </c>
      <c r="EL348" s="1" t="s">
        <v>57</v>
      </c>
    </row>
    <row r="349" spans="1:142" x14ac:dyDescent="0.2">
      <c r="A349" s="101">
        <v>91237591001</v>
      </c>
      <c r="B349" s="101">
        <v>91237591</v>
      </c>
      <c r="D349" s="1" t="s">
        <v>80</v>
      </c>
      <c r="E349" s="1" t="s">
        <v>44</v>
      </c>
      <c r="F349" s="1" t="s">
        <v>561</v>
      </c>
      <c r="U349" s="1">
        <v>4395663.9093479402</v>
      </c>
      <c r="AI349" s="1" t="s">
        <v>551</v>
      </c>
      <c r="AJ349" s="1" t="s">
        <v>44</v>
      </c>
      <c r="AK349" s="1" t="s">
        <v>581</v>
      </c>
      <c r="AL349" s="1" t="s">
        <v>1029</v>
      </c>
      <c r="AR349" s="1" t="s">
        <v>66</v>
      </c>
      <c r="AS349" s="1" t="s">
        <v>71</v>
      </c>
      <c r="AT349" s="1">
        <v>1.9065000000000001</v>
      </c>
      <c r="AV349" s="1" t="s">
        <v>918</v>
      </c>
      <c r="AW349" s="1" t="s">
        <v>1594</v>
      </c>
      <c r="AX349" s="1">
        <v>4000000</v>
      </c>
      <c r="BA349" s="1" t="s">
        <v>69</v>
      </c>
      <c r="BB349" s="1" t="s">
        <v>560</v>
      </c>
      <c r="BD349" s="1" t="s">
        <v>555</v>
      </c>
      <c r="BG349" s="1" t="s">
        <v>558</v>
      </c>
      <c r="BH349" s="1">
        <v>15</v>
      </c>
      <c r="BI349" s="1" t="s">
        <v>70</v>
      </c>
      <c r="BJ349" s="1" t="s">
        <v>67</v>
      </c>
      <c r="BK349" s="1" t="s">
        <v>76</v>
      </c>
      <c r="BM349" s="1" t="s">
        <v>918</v>
      </c>
      <c r="BN349" s="1" t="s">
        <v>1594</v>
      </c>
      <c r="BP349" s="1">
        <v>4000000</v>
      </c>
      <c r="BT349" s="1" t="s">
        <v>557</v>
      </c>
      <c r="BV349" s="1" t="s">
        <v>555</v>
      </c>
      <c r="BY349" s="1" t="s">
        <v>558</v>
      </c>
      <c r="BZ349" s="1">
        <v>15</v>
      </c>
      <c r="CJ349" s="1">
        <v>1.9471499999999999</v>
      </c>
      <c r="CK349" s="1">
        <v>1.94465</v>
      </c>
      <c r="CL349" s="1">
        <v>1.9496500000000001</v>
      </c>
      <c r="CR349" s="1">
        <v>7855.7458244171003</v>
      </c>
      <c r="CU349" s="1">
        <v>0.19639999999999999</v>
      </c>
      <c r="CZ349" s="1">
        <v>7855.75</v>
      </c>
      <c r="DA349" s="1">
        <v>7855.75</v>
      </c>
      <c r="DB349" s="1">
        <v>10754.3</v>
      </c>
      <c r="DC349" s="1">
        <v>-2898.56</v>
      </c>
      <c r="DD349" s="2">
        <v>-3.87</v>
      </c>
      <c r="DG349" s="1">
        <v>-280.61</v>
      </c>
      <c r="DL349" s="1">
        <v>-3939498.92</v>
      </c>
      <c r="DM349" s="1">
        <v>-3936600.36</v>
      </c>
      <c r="DN349" s="1">
        <v>-2898.56</v>
      </c>
      <c r="DO349" s="1">
        <v>1.9065000000000001</v>
      </c>
      <c r="DP349" s="1" t="s">
        <v>1594</v>
      </c>
      <c r="DQ349" s="1" t="s">
        <v>1594</v>
      </c>
      <c r="DS349" s="1">
        <v>3947354.67</v>
      </c>
      <c r="DT349" s="1">
        <v>3947354.67</v>
      </c>
      <c r="DU349" s="1">
        <v>0</v>
      </c>
      <c r="DV349" s="1">
        <v>1.9471799999999999</v>
      </c>
      <c r="DW349" s="1" t="s">
        <v>1594</v>
      </c>
      <c r="DX349" s="1" t="s">
        <v>1594</v>
      </c>
      <c r="DZ349" s="1">
        <v>7893</v>
      </c>
      <c r="EA349" s="1">
        <v>7818</v>
      </c>
      <c r="ED349" s="1" t="s">
        <v>50</v>
      </c>
      <c r="EE349" s="1" t="s">
        <v>1598</v>
      </c>
      <c r="EF349" s="1" t="s">
        <v>53</v>
      </c>
      <c r="EG349" s="1" t="s">
        <v>1598</v>
      </c>
      <c r="EH349" s="1" t="s">
        <v>51</v>
      </c>
      <c r="EJ349" s="1" t="s">
        <v>55</v>
      </c>
      <c r="EL349" s="1" t="s">
        <v>57</v>
      </c>
    </row>
    <row r="350" spans="1:142" x14ac:dyDescent="0.2">
      <c r="A350" s="101">
        <v>91237600001</v>
      </c>
      <c r="B350" s="101">
        <v>91237600</v>
      </c>
      <c r="D350" s="1" t="s">
        <v>80</v>
      </c>
      <c r="E350" s="1" t="s">
        <v>44</v>
      </c>
      <c r="F350" s="1" t="s">
        <v>561</v>
      </c>
      <c r="U350" s="1">
        <v>20879403.569402698</v>
      </c>
      <c r="AI350" s="1" t="s">
        <v>551</v>
      </c>
      <c r="AJ350" s="1" t="s">
        <v>44</v>
      </c>
      <c r="AK350" s="1" t="s">
        <v>581</v>
      </c>
      <c r="AL350" s="1" t="s">
        <v>1029</v>
      </c>
      <c r="AR350" s="1" t="s">
        <v>66</v>
      </c>
      <c r="AS350" s="1" t="s">
        <v>71</v>
      </c>
      <c r="AT350" s="1">
        <v>1.9065000000000001</v>
      </c>
      <c r="AV350" s="1" t="s">
        <v>918</v>
      </c>
      <c r="AW350" s="1" t="s">
        <v>1594</v>
      </c>
      <c r="AX350" s="1">
        <v>19000000</v>
      </c>
      <c r="BA350" s="1" t="s">
        <v>69</v>
      </c>
      <c r="BB350" s="1" t="s">
        <v>560</v>
      </c>
      <c r="BD350" s="1" t="s">
        <v>555</v>
      </c>
      <c r="BG350" s="1" t="s">
        <v>558</v>
      </c>
      <c r="BH350" s="1">
        <v>15</v>
      </c>
      <c r="BI350" s="1" t="s">
        <v>70</v>
      </c>
      <c r="BJ350" s="1" t="s">
        <v>67</v>
      </c>
      <c r="BK350" s="1" t="s">
        <v>76</v>
      </c>
      <c r="BM350" s="1" t="s">
        <v>918</v>
      </c>
      <c r="BN350" s="1" t="s">
        <v>1594</v>
      </c>
      <c r="BP350" s="1">
        <v>19000000</v>
      </c>
      <c r="BT350" s="1" t="s">
        <v>557</v>
      </c>
      <c r="BV350" s="1" t="s">
        <v>555</v>
      </c>
      <c r="BY350" s="1" t="s">
        <v>558</v>
      </c>
      <c r="BZ350" s="1">
        <v>15</v>
      </c>
      <c r="CJ350" s="1">
        <v>1.9471499999999999</v>
      </c>
      <c r="CK350" s="1">
        <v>1.94465</v>
      </c>
      <c r="CL350" s="1">
        <v>1.9496500000000001</v>
      </c>
      <c r="CR350" s="1">
        <v>37314.7926659808</v>
      </c>
      <c r="CU350" s="1">
        <v>0.19639999999999999</v>
      </c>
      <c r="CZ350" s="1">
        <v>37314.79</v>
      </c>
      <c r="DA350" s="1">
        <v>37314.79</v>
      </c>
      <c r="DB350" s="1">
        <v>51082.94</v>
      </c>
      <c r="DC350" s="1">
        <v>-13768.15</v>
      </c>
      <c r="DD350" s="2">
        <v>-18.399999999999999</v>
      </c>
      <c r="DG350" s="1">
        <v>-1332.91</v>
      </c>
      <c r="DL350" s="1">
        <v>-18712619.879999999</v>
      </c>
      <c r="DM350" s="1">
        <v>-18698851.73</v>
      </c>
      <c r="DN350" s="1">
        <v>-13768.15</v>
      </c>
      <c r="DO350" s="1">
        <v>1.9065000000000001</v>
      </c>
      <c r="DP350" s="1" t="s">
        <v>1594</v>
      </c>
      <c r="DQ350" s="1" t="s">
        <v>1594</v>
      </c>
      <c r="DS350" s="1">
        <v>18749934.670000002</v>
      </c>
      <c r="DT350" s="1">
        <v>18749934.670000002</v>
      </c>
      <c r="DU350" s="1">
        <v>0</v>
      </c>
      <c r="DV350" s="1">
        <v>1.9471799999999999</v>
      </c>
      <c r="DW350" s="1" t="s">
        <v>1594</v>
      </c>
      <c r="DX350" s="1" t="s">
        <v>1594</v>
      </c>
      <c r="DZ350" s="1">
        <v>37494</v>
      </c>
      <c r="EA350" s="1">
        <v>37136</v>
      </c>
      <c r="ED350" s="1" t="s">
        <v>50</v>
      </c>
      <c r="EE350" s="1" t="s">
        <v>1601</v>
      </c>
      <c r="EF350" s="1" t="s">
        <v>53</v>
      </c>
      <c r="EG350" s="1" t="s">
        <v>1601</v>
      </c>
      <c r="EH350" s="1" t="s">
        <v>51</v>
      </c>
      <c r="EJ350" s="1" t="s">
        <v>55</v>
      </c>
      <c r="EL350" s="1" t="s">
        <v>57</v>
      </c>
    </row>
    <row r="351" spans="1:142" x14ac:dyDescent="0.2">
      <c r="A351" s="101">
        <v>91238281001</v>
      </c>
      <c r="B351" s="101">
        <v>91238281</v>
      </c>
      <c r="D351" s="1" t="s">
        <v>63</v>
      </c>
      <c r="E351" s="1" t="s">
        <v>44</v>
      </c>
      <c r="F351" s="1" t="s">
        <v>1254</v>
      </c>
      <c r="AI351" s="1" t="s">
        <v>551</v>
      </c>
      <c r="AJ351" s="1" t="s">
        <v>44</v>
      </c>
      <c r="AK351" s="1" t="s">
        <v>813</v>
      </c>
      <c r="AL351" s="1" t="s">
        <v>1145</v>
      </c>
      <c r="AR351" s="1" t="s">
        <v>814</v>
      </c>
      <c r="AV351" s="1" t="s">
        <v>1350</v>
      </c>
      <c r="AW351" s="1" t="s">
        <v>1096</v>
      </c>
      <c r="AX351" s="1">
        <v>1000000</v>
      </c>
      <c r="BG351" s="1" t="s">
        <v>558</v>
      </c>
      <c r="BH351" s="1">
        <v>0</v>
      </c>
      <c r="BI351" s="1" t="s">
        <v>431</v>
      </c>
      <c r="BK351" s="1" t="s">
        <v>440</v>
      </c>
      <c r="BL351" s="1">
        <v>-50</v>
      </c>
      <c r="BM351" s="1" t="s">
        <v>1350</v>
      </c>
      <c r="BN351" s="1" t="s">
        <v>1096</v>
      </c>
      <c r="BO351" s="1" t="s">
        <v>46</v>
      </c>
      <c r="BR351" s="1" t="s">
        <v>69</v>
      </c>
      <c r="BS351" s="1" t="s">
        <v>69</v>
      </c>
      <c r="BT351" s="1" t="s">
        <v>574</v>
      </c>
      <c r="BU351" s="1" t="s">
        <v>456</v>
      </c>
      <c r="BV351" s="1" t="s">
        <v>555</v>
      </c>
      <c r="BY351" s="1" t="s">
        <v>558</v>
      </c>
      <c r="BZ351" s="1">
        <v>0</v>
      </c>
      <c r="CR351" s="1">
        <v>-72041.824987933695</v>
      </c>
      <c r="CS351" s="1">
        <v>-73528.736068600105</v>
      </c>
      <c r="CT351" s="1">
        <v>-70554.913907267197</v>
      </c>
      <c r="CU351" s="1">
        <v>-7.2042000000000002</v>
      </c>
      <c r="DB351" s="1">
        <v>-102950.91</v>
      </c>
      <c r="DC351" s="1">
        <v>-72041.824987900007</v>
      </c>
      <c r="DV351" s="1">
        <v>1.8505199999999999</v>
      </c>
      <c r="DY351" s="1" t="s">
        <v>1041</v>
      </c>
      <c r="ED351" s="1" t="s">
        <v>50</v>
      </c>
      <c r="EE351" s="1" t="s">
        <v>1602</v>
      </c>
      <c r="EF351" s="1" t="s">
        <v>53</v>
      </c>
      <c r="EG351" s="1" t="s">
        <v>1602</v>
      </c>
      <c r="EH351" s="1" t="s">
        <v>51</v>
      </c>
      <c r="EJ351" s="1" t="s">
        <v>55</v>
      </c>
      <c r="EL351" s="1" t="s">
        <v>57</v>
      </c>
    </row>
    <row r="352" spans="1:142" x14ac:dyDescent="0.2">
      <c r="A352" s="101">
        <v>91441006001</v>
      </c>
      <c r="B352" s="101">
        <v>91441006</v>
      </c>
      <c r="D352" s="1" t="s">
        <v>43</v>
      </c>
      <c r="E352" s="1" t="s">
        <v>44</v>
      </c>
      <c r="F352" s="1" t="s">
        <v>583</v>
      </c>
      <c r="AI352" s="1" t="s">
        <v>551</v>
      </c>
      <c r="AJ352" s="1" t="s">
        <v>44</v>
      </c>
      <c r="AK352" s="1" t="s">
        <v>584</v>
      </c>
      <c r="AL352" s="1" t="s">
        <v>1145</v>
      </c>
      <c r="AR352" s="1" t="s">
        <v>79</v>
      </c>
      <c r="AS352" s="1" t="s">
        <v>71</v>
      </c>
      <c r="AT352" s="1">
        <v>2.1757</v>
      </c>
      <c r="AV352" s="1" t="s">
        <v>943</v>
      </c>
      <c r="AW352" s="1" t="s">
        <v>1604</v>
      </c>
      <c r="AX352" s="1">
        <v>68701654</v>
      </c>
      <c r="BA352" s="1" t="s">
        <v>69</v>
      </c>
      <c r="BB352" s="1" t="s">
        <v>574</v>
      </c>
      <c r="BC352" s="1" t="s">
        <v>456</v>
      </c>
      <c r="BD352" s="1" t="s">
        <v>555</v>
      </c>
      <c r="BG352" s="1" t="s">
        <v>558</v>
      </c>
      <c r="BH352" s="1">
        <v>9</v>
      </c>
      <c r="BI352" s="1" t="s">
        <v>431</v>
      </c>
      <c r="BJ352" s="1" t="s">
        <v>67</v>
      </c>
      <c r="BK352" s="1" t="s">
        <v>440</v>
      </c>
      <c r="BL352" s="1">
        <v>0</v>
      </c>
      <c r="BM352" s="1" t="s">
        <v>943</v>
      </c>
      <c r="BN352" s="1" t="s">
        <v>1604</v>
      </c>
      <c r="BP352" s="1">
        <v>68701654</v>
      </c>
      <c r="BR352" s="1" t="s">
        <v>69</v>
      </c>
      <c r="BS352" s="1" t="s">
        <v>1023</v>
      </c>
      <c r="BT352" s="1" t="s">
        <v>574</v>
      </c>
      <c r="BU352" s="1" t="s">
        <v>456</v>
      </c>
      <c r="BV352" s="1" t="s">
        <v>555</v>
      </c>
      <c r="BY352" s="1" t="s">
        <v>558</v>
      </c>
      <c r="BZ352" s="1">
        <v>9</v>
      </c>
      <c r="CJ352" s="1">
        <v>2.0726599999999999</v>
      </c>
      <c r="CK352" s="1">
        <v>2.07016</v>
      </c>
      <c r="CL352" s="1">
        <v>2.0751599999999999</v>
      </c>
      <c r="CR352" s="1">
        <v>-32692.396786466201</v>
      </c>
      <c r="CS352" s="1">
        <v>-33994.879999999997</v>
      </c>
      <c r="CT352" s="1">
        <v>-31389.91</v>
      </c>
      <c r="CU352" s="1">
        <v>-4.7600000000000003E-2</v>
      </c>
      <c r="CZ352" s="1">
        <v>-32692.400000000001</v>
      </c>
      <c r="DA352" s="1">
        <v>-32692.400000000001</v>
      </c>
      <c r="DB352" s="1">
        <v>-46172.94</v>
      </c>
      <c r="DC352" s="1">
        <v>13480.54</v>
      </c>
      <c r="DD352" s="2">
        <v>4750.3900000000003</v>
      </c>
      <c r="DG352" s="1">
        <v>1035.8599999999999</v>
      </c>
      <c r="DL352" s="1">
        <v>-68847421.510000005</v>
      </c>
      <c r="DM352" s="1">
        <v>-68747772.049999997</v>
      </c>
      <c r="DN352" s="1">
        <v>-99649.46</v>
      </c>
      <c r="DO352" s="1">
        <v>2.1757</v>
      </c>
      <c r="DP352" s="1" t="s">
        <v>1535</v>
      </c>
      <c r="DQ352" s="1" t="s">
        <v>1535</v>
      </c>
      <c r="DS352" s="1">
        <v>68814729.109999999</v>
      </c>
      <c r="DT352" s="1">
        <v>68701599.109999999</v>
      </c>
      <c r="DU352" s="1">
        <v>113130</v>
      </c>
      <c r="DV352" s="1">
        <v>2.1129500000000001</v>
      </c>
      <c r="DW352" s="1" t="s">
        <v>1535</v>
      </c>
      <c r="DX352" s="1" t="s">
        <v>1535</v>
      </c>
      <c r="DY352" s="1" t="s">
        <v>1145</v>
      </c>
      <c r="DZ352" s="1">
        <v>-81922</v>
      </c>
      <c r="EA352" s="1">
        <v>16537</v>
      </c>
      <c r="ED352" s="1" t="s">
        <v>50</v>
      </c>
      <c r="EE352" s="1" t="s">
        <v>1605</v>
      </c>
      <c r="EF352" s="1" t="s">
        <v>53</v>
      </c>
      <c r="EG352" s="1" t="s">
        <v>1605</v>
      </c>
      <c r="EH352" s="1" t="s">
        <v>51</v>
      </c>
      <c r="EJ352" s="1" t="s">
        <v>55</v>
      </c>
      <c r="EL352" s="1" t="s">
        <v>57</v>
      </c>
    </row>
    <row r="353" spans="1:142" x14ac:dyDescent="0.2">
      <c r="A353" s="101">
        <v>91478187001</v>
      </c>
      <c r="B353" s="101">
        <v>91478187</v>
      </c>
      <c r="C353" s="1" t="s">
        <v>1606</v>
      </c>
      <c r="D353" s="1" t="s">
        <v>824</v>
      </c>
      <c r="E353" s="1" t="s">
        <v>44</v>
      </c>
      <c r="F353" s="1" t="s">
        <v>602</v>
      </c>
      <c r="I353" s="1">
        <v>93.35</v>
      </c>
      <c r="J353" s="1" t="s">
        <v>589</v>
      </c>
      <c r="V353" s="1" t="s">
        <v>603</v>
      </c>
      <c r="AI353" s="1" t="s">
        <v>551</v>
      </c>
      <c r="AJ353" s="1" t="s">
        <v>44</v>
      </c>
      <c r="AK353" s="1" t="s">
        <v>602</v>
      </c>
      <c r="AL353" s="1" t="s">
        <v>1145</v>
      </c>
      <c r="AT353" s="1">
        <v>3.75</v>
      </c>
      <c r="AV353" s="1" t="s">
        <v>603</v>
      </c>
      <c r="AW353" s="1" t="s">
        <v>1607</v>
      </c>
      <c r="AX353" s="1">
        <v>15000000</v>
      </c>
      <c r="BA353" s="1" t="s">
        <v>69</v>
      </c>
      <c r="BB353" s="1" t="s">
        <v>560</v>
      </c>
      <c r="BG353" s="1" t="s">
        <v>556</v>
      </c>
      <c r="BY353" s="1" t="s">
        <v>556</v>
      </c>
      <c r="CR353" s="1">
        <v>-219651.41651505101</v>
      </c>
      <c r="CU353" s="1">
        <v>-1.4642999999999999</v>
      </c>
      <c r="DD353" s="2">
        <v>-23631.84</v>
      </c>
      <c r="DG353" s="1">
        <v>-776.28</v>
      </c>
      <c r="ED353" s="1" t="s">
        <v>50</v>
      </c>
      <c r="EE353" s="1" t="s">
        <v>1609</v>
      </c>
      <c r="EF353" s="1" t="s">
        <v>53</v>
      </c>
      <c r="EG353" s="1" t="s">
        <v>1609</v>
      </c>
      <c r="EH353" s="1" t="s">
        <v>51</v>
      </c>
      <c r="EJ353" s="1" t="s">
        <v>55</v>
      </c>
      <c r="EL353" s="1" t="s">
        <v>57</v>
      </c>
    </row>
    <row r="354" spans="1:142" x14ac:dyDescent="0.2">
      <c r="A354" s="101">
        <v>91478382001</v>
      </c>
      <c r="B354" s="101">
        <v>91478382</v>
      </c>
      <c r="C354" s="1" t="s">
        <v>1606</v>
      </c>
      <c r="D354" s="1" t="s">
        <v>334</v>
      </c>
      <c r="E354" s="1" t="s">
        <v>44</v>
      </c>
      <c r="F354" s="1" t="s">
        <v>602</v>
      </c>
      <c r="I354" s="1">
        <v>91.12</v>
      </c>
      <c r="J354" s="1" t="s">
        <v>589</v>
      </c>
      <c r="V354" s="1" t="s">
        <v>1340</v>
      </c>
      <c r="AI354" s="1" t="s">
        <v>551</v>
      </c>
      <c r="AJ354" s="1" t="s">
        <v>44</v>
      </c>
      <c r="AK354" s="1" t="s">
        <v>602</v>
      </c>
      <c r="AL354" s="1" t="s">
        <v>1145</v>
      </c>
      <c r="AT354" s="1">
        <v>3.75</v>
      </c>
      <c r="AV354" s="1" t="s">
        <v>1340</v>
      </c>
      <c r="AW354" s="1" t="s">
        <v>1607</v>
      </c>
      <c r="AX354" s="1">
        <v>20000000</v>
      </c>
      <c r="BA354" s="1" t="s">
        <v>69</v>
      </c>
      <c r="BB354" s="1" t="s">
        <v>560</v>
      </c>
      <c r="BG354" s="1" t="s">
        <v>556</v>
      </c>
      <c r="BY354" s="1" t="s">
        <v>556</v>
      </c>
      <c r="CR354" s="1">
        <v>-373410.70025949401</v>
      </c>
      <c r="CU354" s="1">
        <v>-1.8671</v>
      </c>
      <c r="DD354" s="2">
        <v>-28770.1</v>
      </c>
      <c r="DG354" s="1">
        <v>-1282.4100000000001</v>
      </c>
      <c r="ED354" s="1" t="s">
        <v>50</v>
      </c>
      <c r="EE354" s="1" t="s">
        <v>1611</v>
      </c>
      <c r="EF354" s="1" t="s">
        <v>53</v>
      </c>
      <c r="EG354" s="1" t="s">
        <v>1611</v>
      </c>
      <c r="EH354" s="1" t="s">
        <v>51</v>
      </c>
      <c r="EJ354" s="1" t="s">
        <v>55</v>
      </c>
      <c r="EL354" s="1" t="s">
        <v>57</v>
      </c>
    </row>
    <row r="355" spans="1:142" x14ac:dyDescent="0.2">
      <c r="A355" s="101">
        <v>91478384001</v>
      </c>
      <c r="B355" s="101">
        <v>91478384</v>
      </c>
      <c r="C355" s="1" t="s">
        <v>1606</v>
      </c>
      <c r="D355" s="1" t="s">
        <v>824</v>
      </c>
      <c r="E355" s="1" t="s">
        <v>44</v>
      </c>
      <c r="F355" s="1" t="s">
        <v>602</v>
      </c>
      <c r="I355" s="1">
        <v>90.554000000000002</v>
      </c>
      <c r="J355" s="1" t="s">
        <v>589</v>
      </c>
      <c r="V355" s="1" t="s">
        <v>211</v>
      </c>
      <c r="AI355" s="1" t="s">
        <v>551</v>
      </c>
      <c r="AJ355" s="1" t="s">
        <v>44</v>
      </c>
      <c r="AK355" s="1" t="s">
        <v>602</v>
      </c>
      <c r="AL355" s="1" t="s">
        <v>1145</v>
      </c>
      <c r="AT355" s="1">
        <v>3.75</v>
      </c>
      <c r="AV355" s="1" t="s">
        <v>211</v>
      </c>
      <c r="AW355" s="1" t="s">
        <v>1607</v>
      </c>
      <c r="AX355" s="1">
        <v>20000000</v>
      </c>
      <c r="BA355" s="1" t="s">
        <v>69</v>
      </c>
      <c r="BB355" s="1" t="s">
        <v>560</v>
      </c>
      <c r="BG355" s="1" t="s">
        <v>556</v>
      </c>
      <c r="BY355" s="1" t="s">
        <v>556</v>
      </c>
      <c r="CR355" s="1">
        <v>-390108.58943773498</v>
      </c>
      <c r="CU355" s="1">
        <v>-1.9504999999999999</v>
      </c>
      <c r="DD355" s="2">
        <v>-28053.53</v>
      </c>
      <c r="DG355" s="1">
        <v>-1330.43</v>
      </c>
      <c r="ED355" s="1" t="s">
        <v>50</v>
      </c>
      <c r="EE355" s="1" t="s">
        <v>1614</v>
      </c>
      <c r="EF355" s="1" t="s">
        <v>53</v>
      </c>
      <c r="EG355" s="1" t="s">
        <v>1614</v>
      </c>
      <c r="EH355" s="1" t="s">
        <v>51</v>
      </c>
      <c r="EJ355" s="1" t="s">
        <v>55</v>
      </c>
      <c r="EL355" s="1" t="s">
        <v>57</v>
      </c>
    </row>
    <row r="356" spans="1:142" x14ac:dyDescent="0.2">
      <c r="A356" s="101">
        <v>91480124001</v>
      </c>
      <c r="B356" s="101">
        <v>91480124</v>
      </c>
      <c r="C356" s="1" t="s">
        <v>1606</v>
      </c>
      <c r="D356" s="1" t="s">
        <v>607</v>
      </c>
      <c r="E356" s="1" t="s">
        <v>44</v>
      </c>
      <c r="F356" s="1" t="s">
        <v>602</v>
      </c>
      <c r="I356" s="1">
        <v>90.224999999999994</v>
      </c>
      <c r="J356" s="1" t="s">
        <v>589</v>
      </c>
      <c r="V356" s="1" t="s">
        <v>1340</v>
      </c>
      <c r="AI356" s="1" t="s">
        <v>551</v>
      </c>
      <c r="AJ356" s="1" t="s">
        <v>44</v>
      </c>
      <c r="AK356" s="1" t="s">
        <v>602</v>
      </c>
      <c r="AL356" s="1" t="s">
        <v>1350</v>
      </c>
      <c r="AT356" s="1">
        <v>3.75</v>
      </c>
      <c r="AV356" s="1" t="s">
        <v>1340</v>
      </c>
      <c r="AW356" s="1" t="s">
        <v>1607</v>
      </c>
      <c r="AX356" s="1">
        <v>23500000</v>
      </c>
      <c r="BA356" s="1" t="s">
        <v>69</v>
      </c>
      <c r="BB356" s="1" t="s">
        <v>560</v>
      </c>
      <c r="BG356" s="1" t="s">
        <v>556</v>
      </c>
      <c r="BY356" s="1" t="s">
        <v>556</v>
      </c>
      <c r="CR356" s="1">
        <v>-239086.07033140599</v>
      </c>
      <c r="CU356" s="1">
        <v>-1.0174000000000001</v>
      </c>
      <c r="DD356" s="2">
        <v>-33856.22</v>
      </c>
      <c r="DG356" s="1">
        <v>-1494.71</v>
      </c>
      <c r="ED356" s="1" t="s">
        <v>50</v>
      </c>
      <c r="EE356" s="1" t="s">
        <v>1615</v>
      </c>
      <c r="EF356" s="1" t="s">
        <v>53</v>
      </c>
      <c r="EG356" s="1" t="s">
        <v>1615</v>
      </c>
      <c r="EH356" s="1" t="s">
        <v>51</v>
      </c>
      <c r="EJ356" s="1" t="s">
        <v>55</v>
      </c>
      <c r="EL356" s="1" t="s">
        <v>57</v>
      </c>
    </row>
    <row r="357" spans="1:142" x14ac:dyDescent="0.2">
      <c r="A357" s="101">
        <v>91480127001</v>
      </c>
      <c r="B357" s="101">
        <v>91480127</v>
      </c>
      <c r="C357" s="1" t="s">
        <v>1606</v>
      </c>
      <c r="D357" s="1" t="s">
        <v>824</v>
      </c>
      <c r="E357" s="1" t="s">
        <v>44</v>
      </c>
      <c r="F357" s="1" t="s">
        <v>602</v>
      </c>
      <c r="I357" s="1">
        <v>89.901039999999995</v>
      </c>
      <c r="J357" s="1" t="s">
        <v>589</v>
      </c>
      <c r="V357" s="1" t="s">
        <v>211</v>
      </c>
      <c r="AI357" s="1" t="s">
        <v>551</v>
      </c>
      <c r="AJ357" s="1" t="s">
        <v>44</v>
      </c>
      <c r="AK357" s="1" t="s">
        <v>602</v>
      </c>
      <c r="AL357" s="1" t="s">
        <v>1350</v>
      </c>
      <c r="AT357" s="1">
        <v>3.75</v>
      </c>
      <c r="AV357" s="1" t="s">
        <v>211</v>
      </c>
      <c r="AW357" s="1" t="s">
        <v>1607</v>
      </c>
      <c r="AX357" s="1">
        <v>23000000</v>
      </c>
      <c r="BA357" s="1" t="s">
        <v>69</v>
      </c>
      <c r="BB357" s="1" t="s">
        <v>560</v>
      </c>
      <c r="BG357" s="1" t="s">
        <v>556</v>
      </c>
      <c r="BY357" s="1" t="s">
        <v>556</v>
      </c>
      <c r="CR357" s="1">
        <v>-307346.45501952397</v>
      </c>
      <c r="CU357" s="1">
        <v>-1.3363</v>
      </c>
      <c r="DD357" s="2">
        <v>-32303.599999999999</v>
      </c>
      <c r="DG357" s="1">
        <v>-1521.04</v>
      </c>
      <c r="ED357" s="1" t="s">
        <v>50</v>
      </c>
      <c r="EE357" s="1" t="s">
        <v>1616</v>
      </c>
      <c r="EF357" s="1" t="s">
        <v>53</v>
      </c>
      <c r="EG357" s="1" t="s">
        <v>1616</v>
      </c>
      <c r="EH357" s="1" t="s">
        <v>51</v>
      </c>
      <c r="EJ357" s="1" t="s">
        <v>55</v>
      </c>
      <c r="EL357" s="1" t="s">
        <v>57</v>
      </c>
    </row>
    <row r="358" spans="1:142" x14ac:dyDescent="0.2">
      <c r="A358" s="101">
        <v>91701095001</v>
      </c>
      <c r="B358" s="101">
        <v>91701095</v>
      </c>
      <c r="D358" s="1" t="s">
        <v>77</v>
      </c>
      <c r="E358" s="1" t="s">
        <v>44</v>
      </c>
      <c r="F358" s="1" t="s">
        <v>583</v>
      </c>
      <c r="AI358" s="1" t="s">
        <v>551</v>
      </c>
      <c r="AJ358" s="1" t="s">
        <v>44</v>
      </c>
      <c r="AK358" s="1" t="s">
        <v>584</v>
      </c>
      <c r="AL358" s="1" t="s">
        <v>943</v>
      </c>
      <c r="AR358" s="1" t="s">
        <v>79</v>
      </c>
      <c r="AS358" s="1" t="s">
        <v>71</v>
      </c>
      <c r="AT358" s="1">
        <v>2.1497000000000002</v>
      </c>
      <c r="AV358" s="1" t="s">
        <v>973</v>
      </c>
      <c r="AW358" s="1" t="s">
        <v>1557</v>
      </c>
      <c r="AX358" s="1">
        <v>48757655</v>
      </c>
      <c r="BA358" s="1" t="s">
        <v>69</v>
      </c>
      <c r="BB358" s="1" t="s">
        <v>574</v>
      </c>
      <c r="BC358" s="1" t="s">
        <v>456</v>
      </c>
      <c r="BD358" s="1" t="s">
        <v>555</v>
      </c>
      <c r="BG358" s="1" t="s">
        <v>558</v>
      </c>
      <c r="BH358" s="1">
        <v>10</v>
      </c>
      <c r="BI358" s="1" t="s">
        <v>431</v>
      </c>
      <c r="BJ358" s="1" t="s">
        <v>67</v>
      </c>
      <c r="BK358" s="1" t="s">
        <v>440</v>
      </c>
      <c r="BL358" s="1">
        <v>0</v>
      </c>
      <c r="BM358" s="1" t="s">
        <v>973</v>
      </c>
      <c r="BN358" s="1" t="s">
        <v>1557</v>
      </c>
      <c r="BP358" s="1">
        <v>48757655</v>
      </c>
      <c r="BR358" s="1" t="s">
        <v>69</v>
      </c>
      <c r="BS358" s="1" t="s">
        <v>1023</v>
      </c>
      <c r="BT358" s="1" t="s">
        <v>574</v>
      </c>
      <c r="BU358" s="1" t="s">
        <v>456</v>
      </c>
      <c r="BV358" s="1" t="s">
        <v>555</v>
      </c>
      <c r="BY358" s="1" t="s">
        <v>558</v>
      </c>
      <c r="BZ358" s="1">
        <v>10</v>
      </c>
      <c r="CJ358" s="1">
        <v>2.0193300000000001</v>
      </c>
      <c r="CK358" s="1">
        <v>2.0168300000000001</v>
      </c>
      <c r="CL358" s="1">
        <v>2.02183</v>
      </c>
      <c r="CR358" s="1">
        <v>-49700.400982014799</v>
      </c>
      <c r="CS358" s="1">
        <v>-50909.46</v>
      </c>
      <c r="CT358" s="1">
        <v>-48491.34</v>
      </c>
      <c r="CU358" s="1">
        <v>-0.1019</v>
      </c>
      <c r="CZ358" s="1">
        <v>-49700.4</v>
      </c>
      <c r="DA358" s="1">
        <v>-49700.4</v>
      </c>
      <c r="DB358" s="1">
        <v>-57303.46</v>
      </c>
      <c r="DC358" s="1">
        <v>7603.06</v>
      </c>
      <c r="DD358" s="2">
        <v>4568.46</v>
      </c>
      <c r="DG358" s="1">
        <v>794.37</v>
      </c>
      <c r="DL358" s="1">
        <v>-48873140.079999998</v>
      </c>
      <c r="DM358" s="1">
        <v>-48814909.899999999</v>
      </c>
      <c r="DN358" s="1">
        <v>-58230.18</v>
      </c>
      <c r="DO358" s="1">
        <v>2.1497000000000002</v>
      </c>
      <c r="DP358" s="1" t="s">
        <v>1617</v>
      </c>
      <c r="DQ358" s="1" t="s">
        <v>1617</v>
      </c>
      <c r="DS358" s="1">
        <v>48823439.68</v>
      </c>
      <c r="DT358" s="1">
        <v>48757606.439999998</v>
      </c>
      <c r="DU358" s="1">
        <v>65833.240000000005</v>
      </c>
      <c r="DV358" s="1">
        <v>2.0469300000000001</v>
      </c>
      <c r="DW358" s="1" t="s">
        <v>1617</v>
      </c>
      <c r="DX358" s="1" t="s">
        <v>1617</v>
      </c>
      <c r="DY358" s="1" t="s">
        <v>943</v>
      </c>
      <c r="DZ358" s="1">
        <v>-95827</v>
      </c>
      <c r="EA358" s="1">
        <v>-3574</v>
      </c>
      <c r="ED358" s="1" t="s">
        <v>50</v>
      </c>
      <c r="EE358" s="1" t="s">
        <v>1618</v>
      </c>
      <c r="EF358" s="1" t="s">
        <v>53</v>
      </c>
      <c r="EG358" s="1" t="s">
        <v>1618</v>
      </c>
      <c r="EH358" s="1" t="s">
        <v>51</v>
      </c>
      <c r="EJ358" s="1" t="s">
        <v>55</v>
      </c>
      <c r="EL358" s="1" t="s">
        <v>57</v>
      </c>
    </row>
    <row r="359" spans="1:142" x14ac:dyDescent="0.2">
      <c r="A359" s="101">
        <v>91701108001</v>
      </c>
      <c r="B359" s="101">
        <v>91701108</v>
      </c>
      <c r="D359" s="1" t="s">
        <v>43</v>
      </c>
      <c r="E359" s="1" t="s">
        <v>44</v>
      </c>
      <c r="F359" s="1" t="s">
        <v>583</v>
      </c>
      <c r="AI359" s="1" t="s">
        <v>551</v>
      </c>
      <c r="AJ359" s="1" t="s">
        <v>44</v>
      </c>
      <c r="AK359" s="1" t="s">
        <v>584</v>
      </c>
      <c r="AL359" s="1" t="s">
        <v>943</v>
      </c>
      <c r="AR359" s="1" t="s">
        <v>79</v>
      </c>
      <c r="AS359" s="1" t="s">
        <v>71</v>
      </c>
      <c r="AT359" s="1">
        <v>2.3016999999999999</v>
      </c>
      <c r="AV359" s="1" t="s">
        <v>973</v>
      </c>
      <c r="AW359" s="1" t="s">
        <v>1164</v>
      </c>
      <c r="AX359" s="1">
        <v>29722188</v>
      </c>
      <c r="BA359" s="1" t="s">
        <v>69</v>
      </c>
      <c r="BB359" s="1" t="s">
        <v>574</v>
      </c>
      <c r="BC359" s="1" t="s">
        <v>456</v>
      </c>
      <c r="BD359" s="1" t="s">
        <v>555</v>
      </c>
      <c r="BG359" s="1" t="s">
        <v>558</v>
      </c>
      <c r="BH359" s="1">
        <v>22</v>
      </c>
      <c r="BI359" s="1" t="s">
        <v>431</v>
      </c>
      <c r="BJ359" s="1" t="s">
        <v>67</v>
      </c>
      <c r="BK359" s="1" t="s">
        <v>440</v>
      </c>
      <c r="BL359" s="1">
        <v>0</v>
      </c>
      <c r="BM359" s="1" t="s">
        <v>973</v>
      </c>
      <c r="BN359" s="1" t="s">
        <v>1164</v>
      </c>
      <c r="BP359" s="1">
        <v>29722188</v>
      </c>
      <c r="BR359" s="1" t="s">
        <v>69</v>
      </c>
      <c r="BS359" s="1" t="s">
        <v>1023</v>
      </c>
      <c r="BT359" s="1" t="s">
        <v>574</v>
      </c>
      <c r="BU359" s="1" t="s">
        <v>456</v>
      </c>
      <c r="BV359" s="1" t="s">
        <v>555</v>
      </c>
      <c r="BY359" s="1" t="s">
        <v>558</v>
      </c>
      <c r="BZ359" s="1">
        <v>22</v>
      </c>
      <c r="CJ359" s="1">
        <v>2.21306</v>
      </c>
      <c r="CK359" s="1">
        <v>2.2105600000000001</v>
      </c>
      <c r="CL359" s="1">
        <v>2.21556</v>
      </c>
      <c r="CR359" s="1">
        <v>-5463.7723545209001</v>
      </c>
      <c r="CS359" s="1">
        <v>-5736.38</v>
      </c>
      <c r="CT359" s="1">
        <v>-5191.17</v>
      </c>
      <c r="CU359" s="1">
        <v>-1.84E-2</v>
      </c>
      <c r="CZ359" s="1">
        <v>-5463.77</v>
      </c>
      <c r="DA359" s="1">
        <v>-5463.77</v>
      </c>
      <c r="DB359" s="1">
        <v>-7588.65</v>
      </c>
      <c r="DC359" s="1">
        <v>2124.88</v>
      </c>
      <c r="DD359" s="2">
        <v>919.81</v>
      </c>
      <c r="DG359" s="1">
        <v>297.12</v>
      </c>
      <c r="DL359" s="1">
        <v>-29767770.079999998</v>
      </c>
      <c r="DM359" s="1">
        <v>-29729763.66</v>
      </c>
      <c r="DN359" s="1">
        <v>-38006.42</v>
      </c>
      <c r="DO359" s="1">
        <v>2.3016999999999999</v>
      </c>
      <c r="DP359" s="1" t="s">
        <v>1619</v>
      </c>
      <c r="DQ359" s="1" t="s">
        <v>1619</v>
      </c>
      <c r="DS359" s="1">
        <v>29762306.309999999</v>
      </c>
      <c r="DT359" s="1">
        <v>29722175.010000002</v>
      </c>
      <c r="DU359" s="1">
        <v>40131.300000000003</v>
      </c>
      <c r="DV359" s="1">
        <v>2.2515900000000002</v>
      </c>
      <c r="DW359" s="1" t="s">
        <v>1619</v>
      </c>
      <c r="DX359" s="1" t="s">
        <v>1619</v>
      </c>
      <c r="DY359" s="1" t="s">
        <v>943</v>
      </c>
      <c r="DZ359" s="1">
        <v>-15642</v>
      </c>
      <c r="EA359" s="1">
        <v>4714</v>
      </c>
      <c r="ED359" s="1" t="s">
        <v>50</v>
      </c>
      <c r="EE359" s="1" t="s">
        <v>1620</v>
      </c>
      <c r="EF359" s="1" t="s">
        <v>53</v>
      </c>
      <c r="EG359" s="1" t="s">
        <v>1620</v>
      </c>
      <c r="EH359" s="1" t="s">
        <v>51</v>
      </c>
      <c r="EJ359" s="1" t="s">
        <v>55</v>
      </c>
      <c r="EL359" s="1" t="s">
        <v>57</v>
      </c>
    </row>
    <row r="360" spans="1:142" x14ac:dyDescent="0.2">
      <c r="A360" s="101">
        <v>91798287001</v>
      </c>
      <c r="B360" s="101">
        <v>91798287</v>
      </c>
      <c r="C360" s="1" t="s">
        <v>1606</v>
      </c>
      <c r="D360" s="1" t="s">
        <v>824</v>
      </c>
      <c r="E360" s="1" t="s">
        <v>44</v>
      </c>
      <c r="F360" s="1" t="s">
        <v>602</v>
      </c>
      <c r="I360" s="1">
        <v>88.106999999999999</v>
      </c>
      <c r="J360" s="1" t="s">
        <v>589</v>
      </c>
      <c r="V360" s="1" t="s">
        <v>176</v>
      </c>
      <c r="AI360" s="1" t="s">
        <v>551</v>
      </c>
      <c r="AJ360" s="1" t="s">
        <v>44</v>
      </c>
      <c r="AK360" s="1" t="s">
        <v>602</v>
      </c>
      <c r="AL360" s="1" t="s">
        <v>973</v>
      </c>
      <c r="AT360" s="1">
        <v>3.75</v>
      </c>
      <c r="AV360" s="1" t="s">
        <v>176</v>
      </c>
      <c r="AW360" s="1" t="s">
        <v>1607</v>
      </c>
      <c r="AX360" s="1">
        <v>20000000</v>
      </c>
      <c r="BA360" s="1" t="s">
        <v>69</v>
      </c>
      <c r="BB360" s="1" t="s">
        <v>560</v>
      </c>
      <c r="BG360" s="1" t="s">
        <v>556</v>
      </c>
      <c r="BY360" s="1" t="s">
        <v>556</v>
      </c>
      <c r="CR360" s="1">
        <v>-213149.661938228</v>
      </c>
      <c r="CU360" s="1">
        <v>-1.0657000000000001</v>
      </c>
      <c r="DD360" s="2">
        <v>-26297.69</v>
      </c>
      <c r="DG360" s="1">
        <v>-1427.24</v>
      </c>
      <c r="ED360" s="1" t="s">
        <v>50</v>
      </c>
      <c r="EE360" s="1" t="s">
        <v>1621</v>
      </c>
      <c r="EF360" s="1" t="s">
        <v>53</v>
      </c>
      <c r="EG360" s="1" t="s">
        <v>1621</v>
      </c>
      <c r="EH360" s="1" t="s">
        <v>51</v>
      </c>
      <c r="EJ360" s="1" t="s">
        <v>55</v>
      </c>
      <c r="EL360" s="1" t="s">
        <v>57</v>
      </c>
    </row>
    <row r="361" spans="1:142" x14ac:dyDescent="0.2">
      <c r="A361" s="101">
        <v>91881225001</v>
      </c>
      <c r="B361" s="101">
        <v>91881225</v>
      </c>
      <c r="D361" s="1" t="s">
        <v>334</v>
      </c>
      <c r="E361" s="1" t="s">
        <v>44</v>
      </c>
      <c r="F361" s="1" t="s">
        <v>583</v>
      </c>
      <c r="AI361" s="1" t="s">
        <v>551</v>
      </c>
      <c r="AJ361" s="1" t="s">
        <v>44</v>
      </c>
      <c r="AK361" s="1" t="s">
        <v>584</v>
      </c>
      <c r="AL361" s="1" t="s">
        <v>973</v>
      </c>
      <c r="AR361" s="1" t="s">
        <v>79</v>
      </c>
      <c r="AS361" s="1" t="s">
        <v>71</v>
      </c>
      <c r="AT361" s="1">
        <v>2.1482000000000001</v>
      </c>
      <c r="AV361" s="1" t="s">
        <v>989</v>
      </c>
      <c r="AW361" s="1" t="s">
        <v>1418</v>
      </c>
      <c r="AX361" s="1">
        <v>33306394</v>
      </c>
      <c r="BA361" s="1" t="s">
        <v>69</v>
      </c>
      <c r="BB361" s="1" t="s">
        <v>574</v>
      </c>
      <c r="BC361" s="1" t="s">
        <v>456</v>
      </c>
      <c r="BD361" s="1" t="s">
        <v>555</v>
      </c>
      <c r="BG361" s="1" t="s">
        <v>558</v>
      </c>
      <c r="BH361" s="1">
        <v>13</v>
      </c>
      <c r="BI361" s="1" t="s">
        <v>431</v>
      </c>
      <c r="BJ361" s="1" t="s">
        <v>67</v>
      </c>
      <c r="BK361" s="1" t="s">
        <v>440</v>
      </c>
      <c r="BL361" s="1">
        <v>0</v>
      </c>
      <c r="BM361" s="1" t="s">
        <v>989</v>
      </c>
      <c r="BN361" s="1" t="s">
        <v>1418</v>
      </c>
      <c r="BP361" s="1">
        <v>33306394</v>
      </c>
      <c r="BR361" s="1" t="s">
        <v>69</v>
      </c>
      <c r="BS361" s="1" t="s">
        <v>1023</v>
      </c>
      <c r="BT361" s="1" t="s">
        <v>574</v>
      </c>
      <c r="BU361" s="1" t="s">
        <v>456</v>
      </c>
      <c r="BV361" s="1" t="s">
        <v>555</v>
      </c>
      <c r="BY361" s="1" t="s">
        <v>558</v>
      </c>
      <c r="BZ361" s="1">
        <v>13</v>
      </c>
      <c r="CJ361" s="1">
        <v>2.04996</v>
      </c>
      <c r="CK361" s="1">
        <v>2.0474600000000001</v>
      </c>
      <c r="CL361" s="1">
        <v>2.05246</v>
      </c>
      <c r="CR361" s="1">
        <v>-19939.020376943099</v>
      </c>
      <c r="CS361" s="1">
        <v>-20635.310000000001</v>
      </c>
      <c r="CT361" s="1">
        <v>-19242.73</v>
      </c>
      <c r="CU361" s="1">
        <v>-5.9900000000000002E-2</v>
      </c>
      <c r="CZ361" s="1">
        <v>-19939.02</v>
      </c>
      <c r="DA361" s="1">
        <v>-19939.02</v>
      </c>
      <c r="DB361" s="1">
        <v>-24434.25</v>
      </c>
      <c r="DC361" s="1">
        <v>4495.2299999999996</v>
      </c>
      <c r="DD361" s="2">
        <v>2617.25</v>
      </c>
      <c r="DG361" s="1">
        <v>535.5</v>
      </c>
      <c r="DL361" s="1">
        <v>-33366574.309999999</v>
      </c>
      <c r="DM361" s="1">
        <v>-33330799.91</v>
      </c>
      <c r="DN361" s="1">
        <v>-35774.400000000001</v>
      </c>
      <c r="DO361" s="1">
        <v>2.1482000000000001</v>
      </c>
      <c r="DP361" s="1" t="s">
        <v>1599</v>
      </c>
      <c r="DQ361" s="1" t="s">
        <v>1599</v>
      </c>
      <c r="DS361" s="1">
        <v>33346635.289999999</v>
      </c>
      <c r="DT361" s="1">
        <v>33306365.670000002</v>
      </c>
      <c r="DU361" s="1">
        <v>40269.620000000003</v>
      </c>
      <c r="DV361" s="1">
        <v>2.0766100000000001</v>
      </c>
      <c r="DW361" s="1" t="s">
        <v>1599</v>
      </c>
      <c r="DX361" s="1" t="s">
        <v>1599</v>
      </c>
      <c r="DY361" s="1" t="s">
        <v>973</v>
      </c>
      <c r="DZ361" s="1">
        <v>-46765</v>
      </c>
      <c r="EA361" s="1">
        <v>6887</v>
      </c>
      <c r="ED361" s="1" t="s">
        <v>50</v>
      </c>
      <c r="EE361" s="1" t="s">
        <v>1600</v>
      </c>
      <c r="EF361" s="1" t="s">
        <v>53</v>
      </c>
      <c r="EG361" s="1" t="s">
        <v>1600</v>
      </c>
      <c r="EH361" s="1" t="s">
        <v>51</v>
      </c>
      <c r="EJ361" s="1" t="s">
        <v>55</v>
      </c>
      <c r="EL361" s="1" t="s">
        <v>57</v>
      </c>
    </row>
    <row r="362" spans="1:142" x14ac:dyDescent="0.2">
      <c r="A362" s="101">
        <v>91996266001</v>
      </c>
      <c r="B362" s="101">
        <v>91996266</v>
      </c>
      <c r="D362" s="1" t="s">
        <v>63</v>
      </c>
      <c r="E362" s="1" t="s">
        <v>44</v>
      </c>
      <c r="F362" s="1" t="s">
        <v>583</v>
      </c>
      <c r="AI362" s="1" t="s">
        <v>551</v>
      </c>
      <c r="AJ362" s="1" t="s">
        <v>44</v>
      </c>
      <c r="AK362" s="1" t="s">
        <v>584</v>
      </c>
      <c r="AL362" s="1" t="s">
        <v>598</v>
      </c>
      <c r="AR362" s="1" t="s">
        <v>79</v>
      </c>
      <c r="AS362" s="1" t="s">
        <v>71</v>
      </c>
      <c r="AT362" s="1">
        <v>2.2722000000000002</v>
      </c>
      <c r="AV362" s="1" t="s">
        <v>1030</v>
      </c>
      <c r="AW362" s="1" t="s">
        <v>1185</v>
      </c>
      <c r="AX362" s="1">
        <v>82111858</v>
      </c>
      <c r="BA362" s="1" t="s">
        <v>69</v>
      </c>
      <c r="BB362" s="1" t="s">
        <v>574</v>
      </c>
      <c r="BC362" s="1" t="s">
        <v>456</v>
      </c>
      <c r="BD362" s="1" t="s">
        <v>555</v>
      </c>
      <c r="BG362" s="1" t="s">
        <v>558</v>
      </c>
      <c r="BH362" s="1">
        <v>14</v>
      </c>
      <c r="BI362" s="1" t="s">
        <v>431</v>
      </c>
      <c r="BJ362" s="1" t="s">
        <v>67</v>
      </c>
      <c r="BK362" s="1" t="s">
        <v>440</v>
      </c>
      <c r="BL362" s="1">
        <v>0</v>
      </c>
      <c r="BM362" s="1" t="s">
        <v>1030</v>
      </c>
      <c r="BN362" s="1" t="s">
        <v>1185</v>
      </c>
      <c r="BP362" s="1">
        <v>82111858</v>
      </c>
      <c r="BR362" s="1" t="s">
        <v>69</v>
      </c>
      <c r="BS362" s="1" t="s">
        <v>1023</v>
      </c>
      <c r="BT362" s="1" t="s">
        <v>574</v>
      </c>
      <c r="BU362" s="1" t="s">
        <v>456</v>
      </c>
      <c r="BV362" s="1" t="s">
        <v>555</v>
      </c>
      <c r="BY362" s="1" t="s">
        <v>558</v>
      </c>
      <c r="BZ362" s="1">
        <v>14</v>
      </c>
      <c r="CJ362" s="1">
        <v>2.1851799999999999</v>
      </c>
      <c r="CK362" s="1">
        <v>2.18268</v>
      </c>
      <c r="CL362" s="1">
        <v>2.1876799999999998</v>
      </c>
      <c r="CR362" s="1">
        <v>-19247.6989115775</v>
      </c>
      <c r="CS362" s="1">
        <v>-20112.93</v>
      </c>
      <c r="CT362" s="1">
        <v>-18382.46</v>
      </c>
      <c r="CU362" s="1">
        <v>-2.3400000000000001E-2</v>
      </c>
      <c r="CZ362" s="1">
        <v>-19247.7</v>
      </c>
      <c r="DA362" s="1">
        <v>-19247.7</v>
      </c>
      <c r="DB362" s="1">
        <v>-24911.63</v>
      </c>
      <c r="DC362" s="1">
        <v>5663.93</v>
      </c>
      <c r="DD362" s="2">
        <v>3058.47</v>
      </c>
      <c r="DG362" s="1">
        <v>932.6</v>
      </c>
      <c r="DL362" s="1">
        <v>-82224834.409999996</v>
      </c>
      <c r="DM362" s="1">
        <v>-82136729.760000005</v>
      </c>
      <c r="DN362" s="1">
        <v>-88104.66</v>
      </c>
      <c r="DO362" s="1">
        <v>2.2722000000000002</v>
      </c>
      <c r="DP362" s="1" t="s">
        <v>1146</v>
      </c>
      <c r="DQ362" s="1" t="s">
        <v>1146</v>
      </c>
      <c r="DS362" s="1">
        <v>82205586.709999993</v>
      </c>
      <c r="DT362" s="1">
        <v>82111818.129999995</v>
      </c>
      <c r="DU362" s="1">
        <v>93768.59</v>
      </c>
      <c r="DV362" s="1">
        <v>2.2165900000000001</v>
      </c>
      <c r="DW362" s="1" t="s">
        <v>1146</v>
      </c>
      <c r="DX362" s="1" t="s">
        <v>1146</v>
      </c>
      <c r="DY362" s="1" t="s">
        <v>598</v>
      </c>
      <c r="DZ362" s="1">
        <v>-52664</v>
      </c>
      <c r="EA362" s="1">
        <v>14169</v>
      </c>
      <c r="ED362" s="1" t="s">
        <v>50</v>
      </c>
      <c r="EE362" s="1" t="s">
        <v>1603</v>
      </c>
      <c r="EF362" s="1" t="s">
        <v>53</v>
      </c>
      <c r="EG362" s="1" t="s">
        <v>1603</v>
      </c>
      <c r="EH362" s="1" t="s">
        <v>51</v>
      </c>
      <c r="EJ362" s="1" t="s">
        <v>55</v>
      </c>
      <c r="EL362" s="1" t="s">
        <v>57</v>
      </c>
    </row>
    <row r="363" spans="1:142" x14ac:dyDescent="0.2">
      <c r="A363" s="101">
        <v>92226377001</v>
      </c>
      <c r="B363" s="101">
        <v>92226377</v>
      </c>
      <c r="C363" s="1" t="s">
        <v>1606</v>
      </c>
      <c r="D363" s="1" t="s">
        <v>824</v>
      </c>
      <c r="E363" s="1" t="s">
        <v>44</v>
      </c>
      <c r="F363" s="1" t="s">
        <v>602</v>
      </c>
      <c r="I363" s="1">
        <v>90.941000000000003</v>
      </c>
      <c r="J363" s="1" t="s">
        <v>589</v>
      </c>
      <c r="V363" s="1" t="s">
        <v>603</v>
      </c>
      <c r="AI363" s="1" t="s">
        <v>551</v>
      </c>
      <c r="AJ363" s="1" t="s">
        <v>44</v>
      </c>
      <c r="AK363" s="1" t="s">
        <v>602</v>
      </c>
      <c r="AL363" s="1" t="s">
        <v>1030</v>
      </c>
      <c r="AT363" s="1">
        <v>3.75</v>
      </c>
      <c r="AV363" s="1" t="s">
        <v>603</v>
      </c>
      <c r="AW363" s="1" t="s">
        <v>1607</v>
      </c>
      <c r="AX363" s="1">
        <v>12000000</v>
      </c>
      <c r="BA363" s="1" t="s">
        <v>69</v>
      </c>
      <c r="BB363" s="1" t="s">
        <v>560</v>
      </c>
      <c r="BG363" s="1" t="s">
        <v>556</v>
      </c>
      <c r="BY363" s="1" t="s">
        <v>556</v>
      </c>
      <c r="CR363" s="1">
        <v>107193.087274695</v>
      </c>
      <c r="CU363" s="1">
        <v>0.89329999999999998</v>
      </c>
      <c r="DD363" s="2">
        <v>-18935.650000000001</v>
      </c>
      <c r="DG363" s="1">
        <v>-606.72</v>
      </c>
      <c r="ED363" s="1" t="s">
        <v>50</v>
      </c>
      <c r="EE363" s="1" t="s">
        <v>1608</v>
      </c>
      <c r="EF363" s="1" t="s">
        <v>53</v>
      </c>
      <c r="EG363" s="1" t="s">
        <v>1608</v>
      </c>
      <c r="EH363" s="1" t="s">
        <v>51</v>
      </c>
      <c r="EJ363" s="1" t="s">
        <v>55</v>
      </c>
      <c r="EL363" s="1" t="s">
        <v>57</v>
      </c>
    </row>
    <row r="364" spans="1:142" x14ac:dyDescent="0.2">
      <c r="A364" s="101">
        <v>92226398001</v>
      </c>
      <c r="B364" s="101">
        <v>92226398</v>
      </c>
      <c r="C364" s="1" t="s">
        <v>1606</v>
      </c>
      <c r="D364" s="1" t="s">
        <v>220</v>
      </c>
      <c r="E364" s="1" t="s">
        <v>44</v>
      </c>
      <c r="F364" s="1" t="s">
        <v>602</v>
      </c>
      <c r="I364" s="1">
        <v>87.05</v>
      </c>
      <c r="J364" s="1" t="s">
        <v>589</v>
      </c>
      <c r="V364" s="1" t="s">
        <v>176</v>
      </c>
      <c r="AI364" s="1" t="s">
        <v>551</v>
      </c>
      <c r="AJ364" s="1" t="s">
        <v>44</v>
      </c>
      <c r="AK364" s="1" t="s">
        <v>602</v>
      </c>
      <c r="AL364" s="1" t="s">
        <v>1030</v>
      </c>
      <c r="AT364" s="1">
        <v>3.75</v>
      </c>
      <c r="AV364" s="1" t="s">
        <v>176</v>
      </c>
      <c r="AW364" s="1" t="s">
        <v>1607</v>
      </c>
      <c r="AX364" s="1">
        <v>18500000</v>
      </c>
      <c r="BA364" s="1" t="s">
        <v>69</v>
      </c>
      <c r="BB364" s="1" t="s">
        <v>560</v>
      </c>
      <c r="BG364" s="1" t="s">
        <v>556</v>
      </c>
      <c r="BY364" s="1" t="s">
        <v>556</v>
      </c>
      <c r="CR364" s="1">
        <v>-17907.050422936802</v>
      </c>
      <c r="CU364" s="1">
        <v>-9.6799999999999997E-2</v>
      </c>
      <c r="DD364" s="2">
        <v>-24397.9</v>
      </c>
      <c r="DG364" s="1">
        <v>-1307.99</v>
      </c>
      <c r="ED364" s="1" t="s">
        <v>50</v>
      </c>
      <c r="EE364" s="1" t="s">
        <v>1610</v>
      </c>
      <c r="EF364" s="1" t="s">
        <v>53</v>
      </c>
      <c r="EG364" s="1" t="s">
        <v>1610</v>
      </c>
      <c r="EH364" s="1" t="s">
        <v>51</v>
      </c>
      <c r="EJ364" s="1" t="s">
        <v>55</v>
      </c>
      <c r="EL364" s="1" t="s">
        <v>57</v>
      </c>
    </row>
    <row r="365" spans="1:142" x14ac:dyDescent="0.2">
      <c r="A365" s="101">
        <v>92421638001</v>
      </c>
      <c r="B365" s="101">
        <v>92421638</v>
      </c>
      <c r="C365" s="1" t="s">
        <v>1279</v>
      </c>
      <c r="D365" s="1" t="s">
        <v>63</v>
      </c>
      <c r="E365" s="1" t="s">
        <v>44</v>
      </c>
      <c r="F365" s="1" t="s">
        <v>1254</v>
      </c>
      <c r="AI365" s="1" t="s">
        <v>551</v>
      </c>
      <c r="AJ365" s="1" t="s">
        <v>44</v>
      </c>
      <c r="AK365" s="1" t="s">
        <v>813</v>
      </c>
      <c r="AL365" s="1" t="s">
        <v>737</v>
      </c>
      <c r="AM365" s="1">
        <v>42005</v>
      </c>
      <c r="AN365" s="1" t="s">
        <v>44</v>
      </c>
      <c r="AO365" s="1">
        <v>0.84009999999999996</v>
      </c>
      <c r="AP365" s="1" t="s">
        <v>937</v>
      </c>
      <c r="AR365" s="1" t="s">
        <v>814</v>
      </c>
      <c r="AV365" s="1" t="s">
        <v>937</v>
      </c>
      <c r="AW365" s="1" t="s">
        <v>1612</v>
      </c>
      <c r="AX365" s="1">
        <v>5000000</v>
      </c>
      <c r="BG365" s="1" t="s">
        <v>558</v>
      </c>
      <c r="BH365" s="1">
        <v>0</v>
      </c>
      <c r="BI365" s="1" t="s">
        <v>431</v>
      </c>
      <c r="BK365" s="1" t="s">
        <v>1255</v>
      </c>
      <c r="BL365" s="1">
        <v>-160</v>
      </c>
      <c r="BM365" s="1" t="s">
        <v>937</v>
      </c>
      <c r="BN365" s="1" t="s">
        <v>1612</v>
      </c>
      <c r="BO365" s="1" t="s">
        <v>46</v>
      </c>
      <c r="BR365" s="1" t="s">
        <v>69</v>
      </c>
      <c r="BS365" s="1" t="s">
        <v>69</v>
      </c>
      <c r="BT365" s="1" t="s">
        <v>574</v>
      </c>
      <c r="BU365" s="1" t="s">
        <v>456</v>
      </c>
      <c r="BV365" s="1" t="s">
        <v>555</v>
      </c>
      <c r="BY365" s="1" t="s">
        <v>558</v>
      </c>
      <c r="BZ365" s="1">
        <v>0</v>
      </c>
      <c r="CR365" s="1">
        <v>33014.955028245902</v>
      </c>
      <c r="CS365" s="1">
        <v>26993.2881860702</v>
      </c>
      <c r="CT365" s="1">
        <v>39036.621870421601</v>
      </c>
      <c r="CU365" s="1">
        <v>0.6603</v>
      </c>
      <c r="DB365" s="1">
        <v>14295.51</v>
      </c>
      <c r="DC365" s="1">
        <v>33014.955028199998</v>
      </c>
      <c r="DV365" s="1">
        <v>0.94120000000000004</v>
      </c>
      <c r="DY365" s="1" t="s">
        <v>737</v>
      </c>
      <c r="ED365" s="1" t="s">
        <v>50</v>
      </c>
      <c r="EE365" s="1" t="s">
        <v>1613</v>
      </c>
      <c r="EF365" s="1" t="s">
        <v>53</v>
      </c>
      <c r="EG365" s="1" t="s">
        <v>1613</v>
      </c>
      <c r="EH365" s="1" t="s">
        <v>51</v>
      </c>
      <c r="EJ365" s="1" t="s">
        <v>55</v>
      </c>
      <c r="EL365" s="1" t="s">
        <v>57</v>
      </c>
    </row>
    <row r="366" spans="1:142" x14ac:dyDescent="0.2">
      <c r="A366" s="101">
        <v>92624583001</v>
      </c>
      <c r="B366" s="101">
        <v>92624583</v>
      </c>
      <c r="D366" s="1" t="s">
        <v>63</v>
      </c>
      <c r="E366" s="1" t="s">
        <v>44</v>
      </c>
      <c r="F366" s="1" t="s">
        <v>583</v>
      </c>
      <c r="AI366" s="1" t="s">
        <v>551</v>
      </c>
      <c r="AJ366" s="1" t="s">
        <v>44</v>
      </c>
      <c r="AK366" s="1" t="s">
        <v>584</v>
      </c>
      <c r="AL366" s="1" t="s">
        <v>937</v>
      </c>
      <c r="AR366" s="1" t="s">
        <v>79</v>
      </c>
      <c r="AS366" s="1" t="s">
        <v>71</v>
      </c>
      <c r="AT366" s="1">
        <v>2.0937000000000001</v>
      </c>
      <c r="AV366" s="1" t="s">
        <v>1045</v>
      </c>
      <c r="AW366" s="1" t="s">
        <v>1652</v>
      </c>
      <c r="AX366" s="1">
        <v>29289248</v>
      </c>
      <c r="BA366" s="1" t="s">
        <v>69</v>
      </c>
      <c r="BB366" s="1" t="s">
        <v>574</v>
      </c>
      <c r="BC366" s="1" t="s">
        <v>456</v>
      </c>
      <c r="BD366" s="1" t="s">
        <v>555</v>
      </c>
      <c r="BG366" s="1" t="s">
        <v>558</v>
      </c>
      <c r="BH366" s="1">
        <v>23</v>
      </c>
      <c r="BI366" s="1" t="s">
        <v>431</v>
      </c>
      <c r="BJ366" s="1" t="s">
        <v>67</v>
      </c>
      <c r="BK366" s="1" t="s">
        <v>440</v>
      </c>
      <c r="BL366" s="1">
        <v>0</v>
      </c>
      <c r="BM366" s="1" t="s">
        <v>1045</v>
      </c>
      <c r="BN366" s="1" t="s">
        <v>1652</v>
      </c>
      <c r="BP366" s="1">
        <v>29289248</v>
      </c>
      <c r="BR366" s="1" t="s">
        <v>69</v>
      </c>
      <c r="BS366" s="1" t="s">
        <v>69</v>
      </c>
      <c r="BT366" s="1" t="s">
        <v>574</v>
      </c>
      <c r="BU366" s="1" t="s">
        <v>456</v>
      </c>
      <c r="BV366" s="1" t="s">
        <v>555</v>
      </c>
      <c r="BY366" s="1" t="s">
        <v>558</v>
      </c>
      <c r="BZ366" s="1">
        <v>23</v>
      </c>
      <c r="CJ366" s="1">
        <v>2.0134300000000001</v>
      </c>
      <c r="CK366" s="1">
        <v>2.0109300000000001</v>
      </c>
      <c r="CL366" s="1">
        <v>2.01593</v>
      </c>
      <c r="CR366" s="1">
        <v>-20058.931091777999</v>
      </c>
      <c r="CS366" s="1">
        <v>-20784.75</v>
      </c>
      <c r="CT366" s="1">
        <v>-19333.11</v>
      </c>
      <c r="CU366" s="1">
        <v>-6.8500000000000005E-2</v>
      </c>
      <c r="CZ366" s="1">
        <v>-20058.93</v>
      </c>
      <c r="DA366" s="1">
        <v>-20058.93</v>
      </c>
      <c r="DB366" s="1">
        <v>-21904.17</v>
      </c>
      <c r="DC366" s="1">
        <v>1845.24</v>
      </c>
      <c r="DD366" s="2">
        <v>2842.93</v>
      </c>
      <c r="DG366" s="1">
        <v>485.24</v>
      </c>
      <c r="DL366" s="1">
        <v>-29323047.399999999</v>
      </c>
      <c r="DM366" s="1">
        <v>-29311123.5</v>
      </c>
      <c r="DN366" s="1">
        <v>-11923.9</v>
      </c>
      <c r="DO366" s="1">
        <v>2.0937000000000001</v>
      </c>
      <c r="DP366" s="1" t="s">
        <v>1653</v>
      </c>
      <c r="DQ366" s="1" t="s">
        <v>1653</v>
      </c>
      <c r="DS366" s="1">
        <v>29302988.469999999</v>
      </c>
      <c r="DT366" s="1">
        <v>29289219.329999998</v>
      </c>
      <c r="DU366" s="1">
        <v>13769.14</v>
      </c>
      <c r="DV366" s="1">
        <v>2.02461</v>
      </c>
      <c r="DW366" s="1" t="s">
        <v>1653</v>
      </c>
      <c r="DX366" s="1" t="s">
        <v>1653</v>
      </c>
      <c r="DY366" s="1" t="s">
        <v>937</v>
      </c>
      <c r="DZ366" s="1">
        <v>-48679</v>
      </c>
      <c r="EA366" s="1">
        <v>8561</v>
      </c>
      <c r="ED366" s="1" t="s">
        <v>50</v>
      </c>
      <c r="EE366" s="1" t="s">
        <v>1654</v>
      </c>
      <c r="EF366" s="1" t="s">
        <v>53</v>
      </c>
      <c r="EG366" s="1" t="s">
        <v>1654</v>
      </c>
      <c r="EH366" s="1" t="s">
        <v>51</v>
      </c>
      <c r="EJ366" s="1" t="s">
        <v>55</v>
      </c>
      <c r="EL366" s="1" t="s">
        <v>57</v>
      </c>
    </row>
    <row r="367" spans="1:142" x14ac:dyDescent="0.2">
      <c r="A367" s="101">
        <v>92876612001</v>
      </c>
      <c r="B367" s="101">
        <v>92876612</v>
      </c>
      <c r="D367" s="1" t="s">
        <v>63</v>
      </c>
      <c r="E367" s="1" t="s">
        <v>44</v>
      </c>
      <c r="F367" s="1" t="s">
        <v>583</v>
      </c>
      <c r="AI367" s="1" t="s">
        <v>551</v>
      </c>
      <c r="AJ367" s="1" t="s">
        <v>44</v>
      </c>
      <c r="AK367" s="1" t="s">
        <v>584</v>
      </c>
      <c r="AL367" s="1" t="s">
        <v>1045</v>
      </c>
      <c r="AR367" s="1" t="s">
        <v>79</v>
      </c>
      <c r="AS367" s="1" t="s">
        <v>71</v>
      </c>
      <c r="AT367" s="1">
        <v>2.2357</v>
      </c>
      <c r="AV367" s="1" t="s">
        <v>1187</v>
      </c>
      <c r="AW367" s="1" t="s">
        <v>1655</v>
      </c>
      <c r="AX367" s="1">
        <v>23796736</v>
      </c>
      <c r="BA367" s="1" t="s">
        <v>69</v>
      </c>
      <c r="BB367" s="1" t="s">
        <v>574</v>
      </c>
      <c r="BC367" s="1" t="s">
        <v>456</v>
      </c>
      <c r="BD367" s="1" t="s">
        <v>555</v>
      </c>
      <c r="BG367" s="1" t="s">
        <v>558</v>
      </c>
      <c r="BH367" s="1">
        <v>28</v>
      </c>
      <c r="BI367" s="1" t="s">
        <v>431</v>
      </c>
      <c r="BJ367" s="1" t="s">
        <v>67</v>
      </c>
      <c r="BK367" s="1" t="s">
        <v>440</v>
      </c>
      <c r="BL367" s="1">
        <v>0</v>
      </c>
      <c r="BM367" s="1" t="s">
        <v>1187</v>
      </c>
      <c r="BN367" s="1" t="s">
        <v>1655</v>
      </c>
      <c r="BP367" s="1">
        <v>23796736</v>
      </c>
      <c r="BR367" s="1" t="s">
        <v>69</v>
      </c>
      <c r="BS367" s="1" t="s">
        <v>69</v>
      </c>
      <c r="BT367" s="1" t="s">
        <v>574</v>
      </c>
      <c r="BU367" s="1" t="s">
        <v>456</v>
      </c>
      <c r="BV367" s="1" t="s">
        <v>555</v>
      </c>
      <c r="BY367" s="1" t="s">
        <v>558</v>
      </c>
      <c r="BZ367" s="1">
        <v>28</v>
      </c>
      <c r="CJ367" s="1">
        <v>2.2055500000000001</v>
      </c>
      <c r="CK367" s="1">
        <v>2.2030500000000002</v>
      </c>
      <c r="CL367" s="1">
        <v>2.2080500000000001</v>
      </c>
      <c r="CR367" s="1">
        <v>-1532.5078837722999</v>
      </c>
      <c r="CS367" s="1">
        <v>-1734.29</v>
      </c>
      <c r="CT367" s="1">
        <v>-1330.73</v>
      </c>
      <c r="CU367" s="1">
        <v>-6.4000000000000003E-3</v>
      </c>
      <c r="CZ367" s="1">
        <v>-1532.51</v>
      </c>
      <c r="DA367" s="1">
        <v>-1532.51</v>
      </c>
      <c r="DB367" s="1">
        <v>-2012.2</v>
      </c>
      <c r="DC367" s="1">
        <v>479.69</v>
      </c>
      <c r="DD367" s="2">
        <v>774.69</v>
      </c>
      <c r="DG367" s="1">
        <v>242.34</v>
      </c>
      <c r="DL367" s="1">
        <v>-23804650.219999999</v>
      </c>
      <c r="DM367" s="1">
        <v>-23798738.850000001</v>
      </c>
      <c r="DN367" s="1">
        <v>-5911.37</v>
      </c>
      <c r="DO367" s="1">
        <v>2.2357</v>
      </c>
      <c r="DP367" s="1" t="s">
        <v>1177</v>
      </c>
      <c r="DQ367" s="1" t="s">
        <v>1177</v>
      </c>
      <c r="DS367" s="1">
        <v>23803117.710000001</v>
      </c>
      <c r="DT367" s="1">
        <v>23796726.640000001</v>
      </c>
      <c r="DU367" s="1">
        <v>6391.07</v>
      </c>
      <c r="DV367" s="1">
        <v>2.21671</v>
      </c>
      <c r="DW367" s="1" t="s">
        <v>1177</v>
      </c>
      <c r="DX367" s="1" t="s">
        <v>1177</v>
      </c>
      <c r="DY367" s="1" t="s">
        <v>1009</v>
      </c>
      <c r="DZ367" s="1">
        <v>-10076</v>
      </c>
      <c r="EA367" s="1">
        <v>7011</v>
      </c>
      <c r="ED367" s="1" t="s">
        <v>50</v>
      </c>
      <c r="EE367" s="1" t="s">
        <v>1656</v>
      </c>
      <c r="EF367" s="1" t="s">
        <v>53</v>
      </c>
      <c r="EG367" s="1" t="s">
        <v>1656</v>
      </c>
      <c r="EH367" s="1" t="s">
        <v>51</v>
      </c>
      <c r="EJ367" s="1" t="s">
        <v>55</v>
      </c>
      <c r="EL367" s="1" t="s">
        <v>57</v>
      </c>
    </row>
    <row r="368" spans="1:142" x14ac:dyDescent="0.2">
      <c r="A368" s="101">
        <v>93061974001</v>
      </c>
      <c r="B368" s="101">
        <v>93061974</v>
      </c>
      <c r="D368" s="1" t="s">
        <v>63</v>
      </c>
      <c r="E368" s="1" t="s">
        <v>44</v>
      </c>
      <c r="F368" s="1" t="s">
        <v>602</v>
      </c>
      <c r="I368" s="1">
        <v>71.488</v>
      </c>
      <c r="J368" s="1" t="s">
        <v>589</v>
      </c>
      <c r="V368" s="1" t="s">
        <v>1657</v>
      </c>
      <c r="AI368" s="1" t="s">
        <v>551</v>
      </c>
      <c r="AJ368" s="1" t="s">
        <v>44</v>
      </c>
      <c r="AK368" s="1" t="s">
        <v>602</v>
      </c>
      <c r="AL368" s="1" t="s">
        <v>1031</v>
      </c>
      <c r="AT368" s="1">
        <v>0.5</v>
      </c>
      <c r="AV368" s="1" t="s">
        <v>1657</v>
      </c>
      <c r="AW368" s="1" t="s">
        <v>1658</v>
      </c>
      <c r="AX368" s="1">
        <v>30000000</v>
      </c>
      <c r="BA368" s="1" t="s">
        <v>69</v>
      </c>
      <c r="BB368" s="1" t="s">
        <v>560</v>
      </c>
      <c r="CR368" s="1">
        <v>-415676.18397895101</v>
      </c>
      <c r="CU368" s="1">
        <v>-1.3855999999999999</v>
      </c>
      <c r="DD368" s="2">
        <v>-14473.57</v>
      </c>
      <c r="DG368" s="1">
        <v>-1483.6</v>
      </c>
      <c r="ED368" s="1" t="s">
        <v>50</v>
      </c>
      <c r="EE368" s="1" t="s">
        <v>1659</v>
      </c>
      <c r="EF368" s="1" t="s">
        <v>53</v>
      </c>
      <c r="EG368" s="1" t="s">
        <v>1659</v>
      </c>
      <c r="EH368" s="1" t="s">
        <v>51</v>
      </c>
      <c r="EJ368" s="1" t="s">
        <v>55</v>
      </c>
      <c r="EL368" s="1" t="s">
        <v>57</v>
      </c>
    </row>
    <row r="369" spans="1:143" x14ac:dyDescent="0.2">
      <c r="A369" s="101">
        <v>93097752001</v>
      </c>
      <c r="B369" s="101">
        <v>93097752</v>
      </c>
      <c r="D369" s="1" t="s">
        <v>63</v>
      </c>
      <c r="E369" s="1" t="s">
        <v>44</v>
      </c>
      <c r="F369" s="1" t="s">
        <v>583</v>
      </c>
      <c r="AI369" s="1" t="s">
        <v>551</v>
      </c>
      <c r="AJ369" s="1" t="s">
        <v>44</v>
      </c>
      <c r="AK369" s="1" t="s">
        <v>584</v>
      </c>
      <c r="AL369" s="1" t="s">
        <v>1045</v>
      </c>
      <c r="AR369" s="1" t="s">
        <v>79</v>
      </c>
      <c r="AS369" s="1" t="s">
        <v>71</v>
      </c>
      <c r="AT369" s="1">
        <v>2.2357</v>
      </c>
      <c r="AV369" s="1" t="s">
        <v>1187</v>
      </c>
      <c r="AW369" s="1" t="s">
        <v>1655</v>
      </c>
      <c r="AX369" s="1">
        <v>23796736</v>
      </c>
      <c r="BA369" s="1" t="s">
        <v>69</v>
      </c>
      <c r="BB369" s="1" t="s">
        <v>574</v>
      </c>
      <c r="BC369" s="1" t="s">
        <v>456</v>
      </c>
      <c r="BD369" s="1" t="s">
        <v>555</v>
      </c>
      <c r="BG369" s="1" t="s">
        <v>558</v>
      </c>
      <c r="BH369" s="1">
        <v>28</v>
      </c>
      <c r="BI369" s="1" t="s">
        <v>431</v>
      </c>
      <c r="BJ369" s="1" t="s">
        <v>67</v>
      </c>
      <c r="BK369" s="1" t="s">
        <v>440</v>
      </c>
      <c r="BL369" s="1">
        <v>0</v>
      </c>
      <c r="BM369" s="1" t="s">
        <v>1187</v>
      </c>
      <c r="BN369" s="1" t="s">
        <v>1655</v>
      </c>
      <c r="BP369" s="1">
        <v>23796736</v>
      </c>
      <c r="BR369" s="1" t="s">
        <v>69</v>
      </c>
      <c r="BS369" s="1" t="s">
        <v>69</v>
      </c>
      <c r="BT369" s="1" t="s">
        <v>574</v>
      </c>
      <c r="BU369" s="1" t="s">
        <v>456</v>
      </c>
      <c r="BV369" s="1" t="s">
        <v>555</v>
      </c>
      <c r="BY369" s="1" t="s">
        <v>558</v>
      </c>
      <c r="BZ369" s="1">
        <v>28</v>
      </c>
      <c r="CJ369" s="1">
        <v>2.2055500000000001</v>
      </c>
      <c r="CK369" s="1">
        <v>2.2030500000000002</v>
      </c>
      <c r="CL369" s="1">
        <v>2.2080500000000001</v>
      </c>
      <c r="CR369" s="1">
        <v>-1532.5078837722999</v>
      </c>
      <c r="CS369" s="1">
        <v>-1734.29</v>
      </c>
      <c r="CT369" s="1">
        <v>-1330.73</v>
      </c>
      <c r="CU369" s="1">
        <v>-6.4000000000000003E-3</v>
      </c>
      <c r="CZ369" s="1">
        <v>-1532.51</v>
      </c>
      <c r="DA369" s="1">
        <v>-1532.51</v>
      </c>
      <c r="DB369" s="1">
        <v>-2012.2</v>
      </c>
      <c r="DC369" s="1">
        <v>479.69</v>
      </c>
      <c r="DD369" s="2">
        <v>774.69</v>
      </c>
      <c r="DG369" s="1">
        <v>242.34</v>
      </c>
      <c r="DL369" s="1">
        <v>-23804650.219999999</v>
      </c>
      <c r="DM369" s="1">
        <v>-23798738.850000001</v>
      </c>
      <c r="DN369" s="1">
        <v>-5911.37</v>
      </c>
      <c r="DO369" s="1">
        <v>2.2357</v>
      </c>
      <c r="DP369" s="1" t="s">
        <v>1177</v>
      </c>
      <c r="DQ369" s="1" t="s">
        <v>1177</v>
      </c>
      <c r="DS369" s="1">
        <v>23803117.710000001</v>
      </c>
      <c r="DT369" s="1">
        <v>23796726.640000001</v>
      </c>
      <c r="DU369" s="1">
        <v>6391.07</v>
      </c>
      <c r="DV369" s="1">
        <v>2.21671</v>
      </c>
      <c r="DW369" s="1" t="s">
        <v>1177</v>
      </c>
      <c r="DX369" s="1" t="s">
        <v>1177</v>
      </c>
      <c r="DY369" s="1" t="s">
        <v>1009</v>
      </c>
      <c r="DZ369" s="1">
        <v>-10076</v>
      </c>
      <c r="EA369" s="1">
        <v>7011</v>
      </c>
      <c r="ED369" s="1" t="s">
        <v>50</v>
      </c>
      <c r="EE369" s="1" t="s">
        <v>1656</v>
      </c>
      <c r="EF369" s="1" t="s">
        <v>53</v>
      </c>
      <c r="EG369" s="1" t="s">
        <v>1656</v>
      </c>
      <c r="EH369" s="1" t="s">
        <v>51</v>
      </c>
      <c r="EJ369" s="1" t="s">
        <v>55</v>
      </c>
      <c r="EL369" s="1" t="s">
        <v>57</v>
      </c>
    </row>
    <row r="370" spans="1:143" x14ac:dyDescent="0.2">
      <c r="A370" s="101">
        <v>93097753001</v>
      </c>
      <c r="B370" s="101">
        <v>93097753</v>
      </c>
      <c r="D370" s="1" t="s">
        <v>63</v>
      </c>
      <c r="E370" s="1" t="s">
        <v>44</v>
      </c>
      <c r="F370" s="1" t="s">
        <v>583</v>
      </c>
      <c r="AI370" s="1" t="s">
        <v>551</v>
      </c>
      <c r="AJ370" s="1" t="s">
        <v>44</v>
      </c>
      <c r="AK370" s="1" t="s">
        <v>584</v>
      </c>
      <c r="AL370" s="1" t="s">
        <v>1031</v>
      </c>
      <c r="AR370" s="1" t="s">
        <v>79</v>
      </c>
      <c r="AS370" s="1" t="s">
        <v>71</v>
      </c>
      <c r="AT370" s="1">
        <v>2.1272000000000002</v>
      </c>
      <c r="AV370" s="1" t="s">
        <v>738</v>
      </c>
      <c r="AW370" s="1" t="s">
        <v>1660</v>
      </c>
      <c r="AX370" s="1">
        <v>4500000000</v>
      </c>
      <c r="BA370" s="1" t="s">
        <v>69</v>
      </c>
      <c r="BB370" s="1" t="s">
        <v>574</v>
      </c>
      <c r="BC370" s="1" t="s">
        <v>456</v>
      </c>
      <c r="BD370" s="1" t="s">
        <v>555</v>
      </c>
      <c r="BG370" s="1" t="s">
        <v>558</v>
      </c>
      <c r="BH370" s="1">
        <v>31</v>
      </c>
      <c r="BI370" s="1" t="s">
        <v>431</v>
      </c>
      <c r="BJ370" s="1" t="s">
        <v>67</v>
      </c>
      <c r="BK370" s="1" t="s">
        <v>440</v>
      </c>
      <c r="BL370" s="1">
        <v>0</v>
      </c>
      <c r="BM370" s="1" t="s">
        <v>738</v>
      </c>
      <c r="BN370" s="1" t="s">
        <v>1660</v>
      </c>
      <c r="BP370" s="1">
        <v>4500000000</v>
      </c>
      <c r="BR370" s="1" t="s">
        <v>69</v>
      </c>
      <c r="BS370" s="1" t="s">
        <v>1023</v>
      </c>
      <c r="BT370" s="1" t="s">
        <v>574</v>
      </c>
      <c r="BU370" s="1" t="s">
        <v>456</v>
      </c>
      <c r="BV370" s="1" t="s">
        <v>555</v>
      </c>
      <c r="BY370" s="1" t="s">
        <v>558</v>
      </c>
      <c r="BZ370" s="1">
        <v>31</v>
      </c>
      <c r="CJ370" s="1">
        <v>2.10337</v>
      </c>
      <c r="CK370" s="1">
        <v>2.10087</v>
      </c>
      <c r="CL370" s="1">
        <v>2.1058699999999999</v>
      </c>
      <c r="CR370" s="1">
        <v>-426277.06097030599</v>
      </c>
      <c r="CS370" s="1">
        <v>-493240.35</v>
      </c>
      <c r="CT370" s="1">
        <v>-359313.77</v>
      </c>
      <c r="CU370" s="1">
        <v>-9.4999999999999998E-3</v>
      </c>
      <c r="CZ370" s="1">
        <v>-426277.06</v>
      </c>
      <c r="DA370" s="1">
        <v>-426277.06</v>
      </c>
      <c r="DB370" s="1">
        <v>-534952.06000000006</v>
      </c>
      <c r="DC370" s="1">
        <v>108675</v>
      </c>
      <c r="DD370" s="2">
        <v>263029.42</v>
      </c>
      <c r="DG370" s="1">
        <v>65652.08</v>
      </c>
      <c r="DL370" s="1">
        <v>-4501323906.5900002</v>
      </c>
      <c r="DM370" s="1">
        <v>-4500526206.5900002</v>
      </c>
      <c r="DN370" s="1">
        <v>-797700</v>
      </c>
      <c r="DO370" s="1">
        <v>2.1272000000000002</v>
      </c>
      <c r="DP370" s="1" t="s">
        <v>1661</v>
      </c>
      <c r="DQ370" s="1" t="s">
        <v>1661</v>
      </c>
      <c r="DS370" s="1">
        <v>4500897629.5299997</v>
      </c>
      <c r="DT370" s="1">
        <v>4499991254.5299997</v>
      </c>
      <c r="DU370" s="1">
        <v>906375</v>
      </c>
      <c r="DV370" s="1">
        <v>2.1112899999999999</v>
      </c>
      <c r="DW370" s="1" t="s">
        <v>1661</v>
      </c>
      <c r="DX370" s="1" t="s">
        <v>1661</v>
      </c>
      <c r="DY370" s="1" t="s">
        <v>1031</v>
      </c>
      <c r="DZ370" s="1">
        <v>-3192518</v>
      </c>
      <c r="EA370" s="1">
        <v>2339964</v>
      </c>
      <c r="ED370" s="1" t="s">
        <v>50</v>
      </c>
      <c r="EE370" s="1" t="s">
        <v>1662</v>
      </c>
      <c r="EF370" s="1" t="s">
        <v>53</v>
      </c>
      <c r="EG370" s="1" t="s">
        <v>1662</v>
      </c>
      <c r="EH370" s="1" t="s">
        <v>51</v>
      </c>
      <c r="EJ370" s="1" t="s">
        <v>55</v>
      </c>
      <c r="EL370" s="1" t="s">
        <v>57</v>
      </c>
    </row>
    <row r="371" spans="1:143" x14ac:dyDescent="0.2">
      <c r="A371" s="101">
        <v>93193666001</v>
      </c>
      <c r="B371" s="101">
        <v>93193666</v>
      </c>
      <c r="D371" s="1" t="s">
        <v>43</v>
      </c>
      <c r="E371" s="1" t="s">
        <v>44</v>
      </c>
      <c r="F371" s="1" t="s">
        <v>583</v>
      </c>
      <c r="AI371" s="1" t="s">
        <v>551</v>
      </c>
      <c r="AJ371" s="1" t="s">
        <v>44</v>
      </c>
      <c r="AK371" s="1" t="s">
        <v>584</v>
      </c>
      <c r="AL371" s="1" t="s">
        <v>1187</v>
      </c>
      <c r="AR371" s="1" t="s">
        <v>79</v>
      </c>
      <c r="AS371" s="1" t="s">
        <v>71</v>
      </c>
      <c r="AT371" s="1">
        <v>2.1356999999999999</v>
      </c>
      <c r="AV371" s="1" t="s">
        <v>1225</v>
      </c>
      <c r="AW371" s="1" t="s">
        <v>1304</v>
      </c>
      <c r="AX371" s="1">
        <v>29638411</v>
      </c>
      <c r="BA371" s="1" t="s">
        <v>69</v>
      </c>
      <c r="BB371" s="1" t="s">
        <v>574</v>
      </c>
      <c r="BC371" s="1" t="s">
        <v>456</v>
      </c>
      <c r="BD371" s="1" t="s">
        <v>555</v>
      </c>
      <c r="BG371" s="1" t="s">
        <v>558</v>
      </c>
      <c r="BH371" s="1">
        <v>30</v>
      </c>
      <c r="BI371" s="1" t="s">
        <v>431</v>
      </c>
      <c r="BJ371" s="1" t="s">
        <v>67</v>
      </c>
      <c r="BK371" s="1" t="s">
        <v>440</v>
      </c>
      <c r="BL371" s="1">
        <v>0</v>
      </c>
      <c r="BM371" s="1" t="s">
        <v>1225</v>
      </c>
      <c r="BN371" s="1" t="s">
        <v>1304</v>
      </c>
      <c r="BP371" s="1">
        <v>29638411</v>
      </c>
      <c r="BR371" s="1" t="s">
        <v>69</v>
      </c>
      <c r="BS371" s="1" t="s">
        <v>1023</v>
      </c>
      <c r="BT371" s="1" t="s">
        <v>574</v>
      </c>
      <c r="BU371" s="1" t="s">
        <v>456</v>
      </c>
      <c r="BV371" s="1" t="s">
        <v>555</v>
      </c>
      <c r="BY371" s="1" t="s">
        <v>558</v>
      </c>
      <c r="BZ371" s="1">
        <v>30</v>
      </c>
      <c r="CJ371" s="1">
        <v>2.1360199999999998</v>
      </c>
      <c r="CK371" s="1">
        <v>2.1335199999999999</v>
      </c>
      <c r="CL371" s="1">
        <v>2.1385200000000002</v>
      </c>
      <c r="CR371" s="1">
        <v>48.084272816800002</v>
      </c>
      <c r="CS371" s="1">
        <v>-324.5</v>
      </c>
      <c r="CT371" s="1">
        <v>420.67</v>
      </c>
      <c r="CU371" s="1">
        <v>2.0000000000000001E-4</v>
      </c>
      <c r="CZ371" s="1">
        <v>48.08</v>
      </c>
      <c r="DA371" s="1">
        <v>48.08</v>
      </c>
      <c r="DB371" s="1">
        <v>48.08</v>
      </c>
      <c r="DC371" s="1">
        <v>0</v>
      </c>
      <c r="DD371" s="2">
        <v>1482.42</v>
      </c>
      <c r="DG371" s="1">
        <v>394.42</v>
      </c>
      <c r="DL371" s="1">
        <v>-29638346.82</v>
      </c>
      <c r="DM371" s="1">
        <v>-29638346.82</v>
      </c>
      <c r="DN371" s="1">
        <v>0</v>
      </c>
      <c r="DO371" s="1">
        <v>2.1356999999999999</v>
      </c>
      <c r="DP371" s="1" t="s">
        <v>1663</v>
      </c>
      <c r="DQ371" s="1" t="s">
        <v>1663</v>
      </c>
      <c r="DS371" s="1">
        <v>29638394.91</v>
      </c>
      <c r="DT371" s="1">
        <v>29638394.91</v>
      </c>
      <c r="DU371" s="1">
        <v>0</v>
      </c>
      <c r="DV371" s="1">
        <v>2.1360199999999998</v>
      </c>
      <c r="DW371" s="1" t="s">
        <v>1663</v>
      </c>
      <c r="DX371" s="1" t="s">
        <v>1663</v>
      </c>
      <c r="DY371" s="1" t="s">
        <v>1187</v>
      </c>
      <c r="DZ371" s="1">
        <v>-15784</v>
      </c>
      <c r="EA371" s="1">
        <v>15880</v>
      </c>
      <c r="ED371" s="1" t="s">
        <v>50</v>
      </c>
      <c r="EE371" s="1" t="s">
        <v>1664</v>
      </c>
      <c r="EF371" s="1" t="s">
        <v>53</v>
      </c>
      <c r="EG371" s="1" t="s">
        <v>1664</v>
      </c>
      <c r="EH371" s="1" t="s">
        <v>51</v>
      </c>
      <c r="EJ371" s="1" t="s">
        <v>55</v>
      </c>
      <c r="EL371" s="1" t="s">
        <v>57</v>
      </c>
    </row>
    <row r="372" spans="1:143" x14ac:dyDescent="0.2">
      <c r="A372" s="101">
        <v>93193707001</v>
      </c>
      <c r="B372" s="101">
        <v>93193707</v>
      </c>
      <c r="D372" s="1" t="s">
        <v>80</v>
      </c>
      <c r="E372" s="1" t="s">
        <v>44</v>
      </c>
      <c r="F372" s="1" t="s">
        <v>561</v>
      </c>
      <c r="U372" s="1">
        <v>46168250.978448398</v>
      </c>
      <c r="AI372" s="1" t="s">
        <v>551</v>
      </c>
      <c r="AJ372" s="1" t="s">
        <v>44</v>
      </c>
      <c r="AK372" s="1" t="s">
        <v>581</v>
      </c>
      <c r="AL372" s="1" t="s">
        <v>1187</v>
      </c>
      <c r="AR372" s="1" t="s">
        <v>66</v>
      </c>
      <c r="AS372" s="1" t="s">
        <v>71</v>
      </c>
      <c r="AT372" s="1">
        <v>2.008</v>
      </c>
      <c r="AV372" s="1" t="s">
        <v>918</v>
      </c>
      <c r="AW372" s="1" t="s">
        <v>1588</v>
      </c>
      <c r="AX372" s="1">
        <v>37740000</v>
      </c>
      <c r="BA372" s="1" t="s">
        <v>69</v>
      </c>
      <c r="BB372" s="1" t="s">
        <v>574</v>
      </c>
      <c r="BD372" s="1" t="s">
        <v>555</v>
      </c>
      <c r="BG372" s="1" t="s">
        <v>558</v>
      </c>
      <c r="BH372" s="1">
        <v>15</v>
      </c>
      <c r="BI372" s="1" t="s">
        <v>70</v>
      </c>
      <c r="BJ372" s="1" t="s">
        <v>67</v>
      </c>
      <c r="BK372" s="1" t="s">
        <v>76</v>
      </c>
      <c r="BM372" s="1" t="s">
        <v>918</v>
      </c>
      <c r="BN372" s="1" t="s">
        <v>1588</v>
      </c>
      <c r="BP372" s="1">
        <v>37740000</v>
      </c>
      <c r="BT372" s="1" t="s">
        <v>557</v>
      </c>
      <c r="BV372" s="1" t="s">
        <v>555</v>
      </c>
      <c r="BY372" s="1" t="s">
        <v>558</v>
      </c>
      <c r="BZ372" s="1">
        <v>15</v>
      </c>
      <c r="CJ372" s="1">
        <v>2.0078299999999998</v>
      </c>
      <c r="CK372" s="1">
        <v>2.0053299999999998</v>
      </c>
      <c r="CL372" s="1">
        <v>2.0103300000000002</v>
      </c>
      <c r="CR372" s="1">
        <v>-601.50968626890005</v>
      </c>
      <c r="CU372" s="1">
        <v>-1.6000000000000001E-3</v>
      </c>
      <c r="CZ372" s="1">
        <v>-601.51</v>
      </c>
      <c r="DA372" s="1">
        <v>-601.51</v>
      </c>
      <c r="DB372" s="1">
        <v>28588.54</v>
      </c>
      <c r="DC372" s="1">
        <v>-29190.05</v>
      </c>
      <c r="DD372" s="2">
        <v>0.6</v>
      </c>
      <c r="DG372" s="1">
        <v>-2959.5</v>
      </c>
      <c r="DL372" s="1">
        <v>-35907860.119999997</v>
      </c>
      <c r="DM372" s="1">
        <v>-35878670.07</v>
      </c>
      <c r="DN372" s="1">
        <v>-29190.05</v>
      </c>
      <c r="DO372" s="1">
        <v>2.008</v>
      </c>
      <c r="DP372" s="1" t="s">
        <v>1588</v>
      </c>
      <c r="DQ372" s="1" t="s">
        <v>1588</v>
      </c>
      <c r="DS372" s="1">
        <v>35907258.609999999</v>
      </c>
      <c r="DT372" s="1">
        <v>35907258.609999999</v>
      </c>
      <c r="DU372" s="1">
        <v>0</v>
      </c>
      <c r="DV372" s="1">
        <v>2.03714</v>
      </c>
      <c r="DW372" s="1" t="s">
        <v>1588</v>
      </c>
      <c r="DX372" s="1" t="s">
        <v>1588</v>
      </c>
      <c r="DZ372" s="1">
        <v>-608</v>
      </c>
      <c r="EA372" s="1">
        <v>-595</v>
      </c>
      <c r="ED372" s="1" t="s">
        <v>50</v>
      </c>
      <c r="EE372" s="1" t="s">
        <v>1665</v>
      </c>
      <c r="EF372" s="1" t="s">
        <v>53</v>
      </c>
      <c r="EG372" s="1" t="s">
        <v>1665</v>
      </c>
      <c r="EH372" s="1" t="s">
        <v>51</v>
      </c>
      <c r="EJ372" s="1" t="s">
        <v>55</v>
      </c>
      <c r="EL372" s="1" t="s">
        <v>57</v>
      </c>
    </row>
    <row r="373" spans="1:143" x14ac:dyDescent="0.2">
      <c r="A373" s="101">
        <v>93351615001</v>
      </c>
      <c r="B373" s="101">
        <v>93351615</v>
      </c>
      <c r="D373" s="1" t="s">
        <v>80</v>
      </c>
      <c r="E373" s="1" t="s">
        <v>44</v>
      </c>
      <c r="F373" s="1" t="s">
        <v>561</v>
      </c>
      <c r="U373" s="1">
        <v>13675633.4023988</v>
      </c>
      <c r="AI373" s="1" t="s">
        <v>551</v>
      </c>
      <c r="AJ373" s="1" t="s">
        <v>44</v>
      </c>
      <c r="AK373" s="1" t="s">
        <v>581</v>
      </c>
      <c r="AL373" s="1" t="s">
        <v>1187</v>
      </c>
      <c r="AR373" s="1" t="s">
        <v>66</v>
      </c>
      <c r="AS373" s="1" t="s">
        <v>67</v>
      </c>
      <c r="AT373" s="1">
        <v>2</v>
      </c>
      <c r="AV373" s="1" t="s">
        <v>918</v>
      </c>
      <c r="AW373" s="1" t="s">
        <v>1588</v>
      </c>
      <c r="AX373" s="1">
        <v>11220000</v>
      </c>
      <c r="BA373" s="1" t="s">
        <v>69</v>
      </c>
      <c r="BB373" s="1" t="s">
        <v>560</v>
      </c>
      <c r="BD373" s="1" t="s">
        <v>555</v>
      </c>
      <c r="BG373" s="1" t="s">
        <v>558</v>
      </c>
      <c r="BH373" s="1">
        <v>15</v>
      </c>
      <c r="BI373" s="1" t="s">
        <v>70</v>
      </c>
      <c r="BJ373" s="1" t="s">
        <v>71</v>
      </c>
      <c r="BK373" s="1" t="s">
        <v>259</v>
      </c>
      <c r="BM373" s="1" t="s">
        <v>918</v>
      </c>
      <c r="BN373" s="1" t="s">
        <v>1588</v>
      </c>
      <c r="BP373" s="1">
        <v>11220000</v>
      </c>
      <c r="BT373" s="1" t="s">
        <v>557</v>
      </c>
      <c r="BV373" s="1" t="s">
        <v>555</v>
      </c>
      <c r="BY373" s="1" t="s">
        <v>558</v>
      </c>
      <c r="BZ373" s="1">
        <v>15</v>
      </c>
      <c r="CJ373" s="1">
        <v>2.0171199999999998</v>
      </c>
      <c r="CK373" s="1">
        <v>2.0146199999999999</v>
      </c>
      <c r="CL373" s="1">
        <v>2.0196200000000002</v>
      </c>
      <c r="CR373" s="1">
        <v>-17852.289772970598</v>
      </c>
      <c r="CU373" s="1">
        <v>-0.15909999999999999</v>
      </c>
      <c r="CZ373" s="1">
        <v>-17852.29</v>
      </c>
      <c r="DA373" s="1">
        <v>-17852.29</v>
      </c>
      <c r="DB373" s="1">
        <v>-26377.71</v>
      </c>
      <c r="DC373" s="1">
        <v>8525.42</v>
      </c>
      <c r="DD373" s="2">
        <v>17.760000000000002</v>
      </c>
      <c r="DG373" s="1">
        <v>876.64</v>
      </c>
      <c r="DL373" s="1">
        <v>10636372.85</v>
      </c>
      <c r="DM373" s="1">
        <v>10627847.43</v>
      </c>
      <c r="DN373" s="1">
        <v>8525.42</v>
      </c>
      <c r="DO373" s="1">
        <v>2</v>
      </c>
      <c r="DP373" s="1" t="s">
        <v>1588</v>
      </c>
      <c r="DQ373" s="1" t="s">
        <v>1588</v>
      </c>
      <c r="DS373" s="1">
        <v>-10654225.140000001</v>
      </c>
      <c r="DT373" s="1">
        <v>-10654225.140000001</v>
      </c>
      <c r="DU373" s="1">
        <v>0</v>
      </c>
      <c r="DV373" s="1">
        <v>2.0171299999999999</v>
      </c>
      <c r="DW373" s="1" t="s">
        <v>1588</v>
      </c>
      <c r="DX373" s="1" t="s">
        <v>1588</v>
      </c>
      <c r="DZ373" s="1">
        <v>-18031</v>
      </c>
      <c r="EA373" s="1">
        <v>-17673</v>
      </c>
      <c r="ED373" s="1" t="s">
        <v>50</v>
      </c>
      <c r="EE373" s="1" t="s">
        <v>1666</v>
      </c>
      <c r="EF373" s="1" t="s">
        <v>53</v>
      </c>
      <c r="EG373" s="1" t="s">
        <v>1666</v>
      </c>
      <c r="EH373" s="1" t="s">
        <v>51</v>
      </c>
      <c r="EJ373" s="1" t="s">
        <v>55</v>
      </c>
      <c r="EL373" s="1" t="s">
        <v>57</v>
      </c>
    </row>
    <row r="374" spans="1:143" x14ac:dyDescent="0.2">
      <c r="A374" s="101">
        <v>93349743001</v>
      </c>
      <c r="B374" s="101">
        <v>93349743</v>
      </c>
      <c r="D374" s="1" t="s">
        <v>63</v>
      </c>
      <c r="E374" s="1" t="s">
        <v>44</v>
      </c>
      <c r="F374" s="1" t="s">
        <v>583</v>
      </c>
      <c r="AI374" s="1" t="s">
        <v>551</v>
      </c>
      <c r="AJ374" s="1" t="s">
        <v>44</v>
      </c>
      <c r="AK374" s="1" t="s">
        <v>584</v>
      </c>
      <c r="AL374" s="1" t="s">
        <v>738</v>
      </c>
      <c r="AR374" s="1" t="s">
        <v>79</v>
      </c>
      <c r="AS374" s="1" t="s">
        <v>71</v>
      </c>
      <c r="AT374" s="1">
        <v>2.0842000000000001</v>
      </c>
      <c r="AV374" s="1" t="s">
        <v>1042</v>
      </c>
      <c r="AW374" s="1" t="s">
        <v>1660</v>
      </c>
      <c r="AX374" s="1">
        <v>39442254</v>
      </c>
      <c r="BA374" s="1" t="s">
        <v>69</v>
      </c>
      <c r="BB374" s="1" t="s">
        <v>574</v>
      </c>
      <c r="BC374" s="1" t="s">
        <v>456</v>
      </c>
      <c r="BD374" s="1" t="s">
        <v>555</v>
      </c>
      <c r="BG374" s="1" t="s">
        <v>558</v>
      </c>
      <c r="BH374" s="1">
        <v>31</v>
      </c>
      <c r="BI374" s="1" t="s">
        <v>431</v>
      </c>
      <c r="BJ374" s="1" t="s">
        <v>67</v>
      </c>
      <c r="BK374" s="1" t="s">
        <v>440</v>
      </c>
      <c r="BL374" s="1">
        <v>0</v>
      </c>
      <c r="BM374" s="1" t="s">
        <v>1042</v>
      </c>
      <c r="BN374" s="1" t="s">
        <v>1660</v>
      </c>
      <c r="BP374" s="1">
        <v>39442254</v>
      </c>
      <c r="BR374" s="1" t="s">
        <v>69</v>
      </c>
      <c r="BS374" s="1" t="s">
        <v>1023</v>
      </c>
      <c r="BT374" s="1" t="s">
        <v>574</v>
      </c>
      <c r="BU374" s="1" t="s">
        <v>456</v>
      </c>
      <c r="BV374" s="1" t="s">
        <v>555</v>
      </c>
      <c r="BY374" s="1" t="s">
        <v>558</v>
      </c>
      <c r="BZ374" s="1">
        <v>31</v>
      </c>
      <c r="CJ374" s="1">
        <v>2.1049799999999999</v>
      </c>
      <c r="CK374" s="1">
        <v>2.1024799999999999</v>
      </c>
      <c r="CL374" s="1">
        <v>2.1074799999999998</v>
      </c>
      <c r="CR374" s="1">
        <v>4787.8668571413</v>
      </c>
      <c r="CS374" s="1">
        <v>4211.76</v>
      </c>
      <c r="CT374" s="1">
        <v>5363.98</v>
      </c>
      <c r="CU374" s="1">
        <v>1.21E-2</v>
      </c>
      <c r="CZ374" s="1">
        <v>4787.87</v>
      </c>
      <c r="DA374" s="1">
        <v>4787.87</v>
      </c>
      <c r="DB374" s="1">
        <v>4787.87</v>
      </c>
      <c r="DC374" s="1">
        <v>0</v>
      </c>
      <c r="DD374" s="2">
        <v>2304.31</v>
      </c>
      <c r="DG374" s="1">
        <v>575.73</v>
      </c>
      <c r="DL374" s="1">
        <v>-39434743.210000001</v>
      </c>
      <c r="DM374" s="1">
        <v>-39434743.210000001</v>
      </c>
      <c r="DN374" s="1">
        <v>0</v>
      </c>
      <c r="DO374" s="1">
        <v>2.0842000000000001</v>
      </c>
      <c r="DP374" s="1" t="s">
        <v>1661</v>
      </c>
      <c r="DQ374" s="1" t="s">
        <v>1661</v>
      </c>
      <c r="DS374" s="1">
        <v>39439531.079999998</v>
      </c>
      <c r="DT374" s="1">
        <v>39439531.079999998</v>
      </c>
      <c r="DU374" s="1">
        <v>0</v>
      </c>
      <c r="DV374" s="1">
        <v>2.1049799999999999</v>
      </c>
      <c r="DW374" s="1" t="s">
        <v>1661</v>
      </c>
      <c r="DX374" s="1" t="s">
        <v>1661</v>
      </c>
      <c r="DY374" s="1" t="s">
        <v>738</v>
      </c>
      <c r="DZ374" s="1">
        <v>-19465</v>
      </c>
      <c r="EA374" s="1">
        <v>29040</v>
      </c>
      <c r="ED374" s="1" t="s">
        <v>50</v>
      </c>
      <c r="EE374" s="1" t="s">
        <v>1667</v>
      </c>
      <c r="EF374" s="1" t="s">
        <v>53</v>
      </c>
      <c r="EG374" s="1" t="s">
        <v>1667</v>
      </c>
      <c r="EH374" s="1" t="s">
        <v>51</v>
      </c>
      <c r="EJ374" s="1" t="s">
        <v>55</v>
      </c>
      <c r="EL374" s="1" t="s">
        <v>57</v>
      </c>
    </row>
    <row r="375" spans="1:143" x14ac:dyDescent="0.2">
      <c r="A375" s="101">
        <v>93370298001</v>
      </c>
      <c r="B375" s="101">
        <v>93370298</v>
      </c>
      <c r="D375" s="1" t="s">
        <v>80</v>
      </c>
      <c r="E375" s="1" t="s">
        <v>44</v>
      </c>
      <c r="F375" s="1" t="s">
        <v>561</v>
      </c>
      <c r="U375" s="1">
        <v>45999857.808068603</v>
      </c>
      <c r="AI375" s="1" t="s">
        <v>551</v>
      </c>
      <c r="AJ375" s="1" t="s">
        <v>44</v>
      </c>
      <c r="AK375" s="1" t="s">
        <v>581</v>
      </c>
      <c r="AL375" s="1" t="s">
        <v>1187</v>
      </c>
      <c r="AR375" s="1" t="s">
        <v>66</v>
      </c>
      <c r="AS375" s="1" t="s">
        <v>67</v>
      </c>
      <c r="AT375" s="1">
        <v>2</v>
      </c>
      <c r="AV375" s="1" t="s">
        <v>918</v>
      </c>
      <c r="AW375" s="1" t="s">
        <v>1588</v>
      </c>
      <c r="AX375" s="1">
        <v>37740000</v>
      </c>
      <c r="BA375" s="1" t="s">
        <v>69</v>
      </c>
      <c r="BB375" s="1" t="s">
        <v>560</v>
      </c>
      <c r="BD375" s="1" t="s">
        <v>555</v>
      </c>
      <c r="BG375" s="1" t="s">
        <v>558</v>
      </c>
      <c r="BH375" s="1">
        <v>15</v>
      </c>
      <c r="BI375" s="1" t="s">
        <v>70</v>
      </c>
      <c r="BJ375" s="1" t="s">
        <v>71</v>
      </c>
      <c r="BK375" s="1" t="s">
        <v>259</v>
      </c>
      <c r="BM375" s="1" t="s">
        <v>918</v>
      </c>
      <c r="BN375" s="1" t="s">
        <v>1588</v>
      </c>
      <c r="BP375" s="1">
        <v>37740000</v>
      </c>
      <c r="BT375" s="1" t="s">
        <v>557</v>
      </c>
      <c r="BV375" s="1" t="s">
        <v>555</v>
      </c>
      <c r="BY375" s="1" t="s">
        <v>558</v>
      </c>
      <c r="BZ375" s="1">
        <v>15</v>
      </c>
      <c r="CJ375" s="1">
        <v>2.0171199999999998</v>
      </c>
      <c r="CK375" s="1">
        <v>2.0146199999999999</v>
      </c>
      <c r="CL375" s="1">
        <v>2.0196200000000002</v>
      </c>
      <c r="CR375" s="1">
        <v>-60048.611054532201</v>
      </c>
      <c r="CU375" s="1">
        <v>-0.15909999999999999</v>
      </c>
      <c r="CZ375" s="1">
        <v>-60048.61</v>
      </c>
      <c r="DA375" s="1">
        <v>-60048.61</v>
      </c>
      <c r="DB375" s="1">
        <v>-88725.02</v>
      </c>
      <c r="DC375" s="1">
        <v>28676.41</v>
      </c>
      <c r="DD375" s="2">
        <v>59.75</v>
      </c>
      <c r="DG375" s="1">
        <v>2948.7</v>
      </c>
      <c r="DL375" s="1">
        <v>35776890.5</v>
      </c>
      <c r="DM375" s="1">
        <v>35748214.079999998</v>
      </c>
      <c r="DN375" s="1">
        <v>28676.41</v>
      </c>
      <c r="DO375" s="1">
        <v>2</v>
      </c>
      <c r="DP375" s="1" t="s">
        <v>1588</v>
      </c>
      <c r="DQ375" s="1" t="s">
        <v>1588</v>
      </c>
      <c r="DS375" s="1">
        <v>-35836939.109999999</v>
      </c>
      <c r="DT375" s="1">
        <v>-35836939.109999999</v>
      </c>
      <c r="DU375" s="1">
        <v>0</v>
      </c>
      <c r="DV375" s="1">
        <v>2.0171299999999999</v>
      </c>
      <c r="DW375" s="1" t="s">
        <v>1588</v>
      </c>
      <c r="DX375" s="1" t="s">
        <v>1588</v>
      </c>
      <c r="DZ375" s="1">
        <v>-60651</v>
      </c>
      <c r="EA375" s="1">
        <v>-59446</v>
      </c>
      <c r="ED375" s="1" t="s">
        <v>50</v>
      </c>
      <c r="EE375" s="1" t="s">
        <v>1668</v>
      </c>
      <c r="EF375" s="1" t="s">
        <v>53</v>
      </c>
      <c r="EG375" s="1" t="s">
        <v>1668</v>
      </c>
      <c r="EH375" s="1" t="s">
        <v>51</v>
      </c>
      <c r="EJ375" s="1" t="s">
        <v>55</v>
      </c>
      <c r="EL375" s="1" t="s">
        <v>57</v>
      </c>
    </row>
    <row r="376" spans="1:143" x14ac:dyDescent="0.2">
      <c r="A376" s="101">
        <v>93349750001</v>
      </c>
      <c r="B376" s="101">
        <v>93349750</v>
      </c>
      <c r="D376" s="1" t="s">
        <v>334</v>
      </c>
      <c r="E376" s="1" t="s">
        <v>44</v>
      </c>
      <c r="F376" s="1" t="s">
        <v>583</v>
      </c>
      <c r="AI376" s="1" t="s">
        <v>551</v>
      </c>
      <c r="AJ376" s="1" t="s">
        <v>44</v>
      </c>
      <c r="AK376" s="1" t="s">
        <v>584</v>
      </c>
      <c r="AL376" s="1" t="s">
        <v>738</v>
      </c>
      <c r="AR376" s="1" t="s">
        <v>79</v>
      </c>
      <c r="AS376" s="1" t="s">
        <v>71</v>
      </c>
      <c r="AT376" s="1">
        <v>2.1101999999999999</v>
      </c>
      <c r="AV376" s="1" t="s">
        <v>1042</v>
      </c>
      <c r="AW376" s="1" t="s">
        <v>1663</v>
      </c>
      <c r="AX376" s="1">
        <v>9877982</v>
      </c>
      <c r="BA376" s="1" t="s">
        <v>69</v>
      </c>
      <c r="BB376" s="1" t="s">
        <v>574</v>
      </c>
      <c r="BC376" s="1" t="s">
        <v>456</v>
      </c>
      <c r="BD376" s="1" t="s">
        <v>555</v>
      </c>
      <c r="BG376" s="1" t="s">
        <v>558</v>
      </c>
      <c r="BH376" s="1">
        <v>1</v>
      </c>
      <c r="BI376" s="1" t="s">
        <v>431</v>
      </c>
      <c r="BJ376" s="1" t="s">
        <v>67</v>
      </c>
      <c r="BK376" s="1" t="s">
        <v>440</v>
      </c>
      <c r="BL376" s="1">
        <v>0</v>
      </c>
      <c r="BM376" s="1" t="s">
        <v>1042</v>
      </c>
      <c r="BN376" s="1" t="s">
        <v>1663</v>
      </c>
      <c r="BP376" s="1">
        <v>9877982</v>
      </c>
      <c r="BR376" s="1" t="s">
        <v>69</v>
      </c>
      <c r="BS376" s="1" t="s">
        <v>1023</v>
      </c>
      <c r="BT376" s="1" t="s">
        <v>574</v>
      </c>
      <c r="BU376" s="1" t="s">
        <v>456</v>
      </c>
      <c r="BV376" s="1" t="s">
        <v>555</v>
      </c>
      <c r="BY376" s="1" t="s">
        <v>558</v>
      </c>
      <c r="BZ376" s="1">
        <v>1</v>
      </c>
      <c r="CJ376" s="1">
        <v>2.1333600000000001</v>
      </c>
      <c r="CK376" s="1">
        <v>2.1308600000000002</v>
      </c>
      <c r="CL376" s="1">
        <v>2.1358600000000001</v>
      </c>
      <c r="CR376" s="1">
        <v>1150.4221742637999</v>
      </c>
      <c r="CS376" s="1">
        <v>1026.25</v>
      </c>
      <c r="CT376" s="1">
        <v>1274.5899999999999</v>
      </c>
      <c r="CU376" s="1">
        <v>1.1599999999999999E-2</v>
      </c>
      <c r="CZ376" s="1">
        <v>1150.42</v>
      </c>
      <c r="DA376" s="1">
        <v>1150.42</v>
      </c>
      <c r="DB376" s="1">
        <v>1150.42</v>
      </c>
      <c r="DC376" s="1">
        <v>0</v>
      </c>
      <c r="DD376" s="2">
        <v>496.66</v>
      </c>
      <c r="DG376" s="1">
        <v>131.87</v>
      </c>
      <c r="DL376" s="1">
        <v>-9876163.0700000003</v>
      </c>
      <c r="DM376" s="1">
        <v>-9876163.0700000003</v>
      </c>
      <c r="DN376" s="1">
        <v>0</v>
      </c>
      <c r="DO376" s="1">
        <v>2.1101999999999999</v>
      </c>
      <c r="DP376" s="1" t="s">
        <v>1669</v>
      </c>
      <c r="DQ376" s="1" t="s">
        <v>1669</v>
      </c>
      <c r="DS376" s="1">
        <v>9877313.5</v>
      </c>
      <c r="DT376" s="1">
        <v>9877313.5</v>
      </c>
      <c r="DU376" s="1">
        <v>0</v>
      </c>
      <c r="DV376" s="1">
        <v>2.1333600000000001</v>
      </c>
      <c r="DW376" s="1" t="s">
        <v>1669</v>
      </c>
      <c r="DX376" s="1" t="s">
        <v>1669</v>
      </c>
      <c r="DY376" s="1" t="s">
        <v>738</v>
      </c>
      <c r="DZ376" s="1">
        <v>-4147</v>
      </c>
      <c r="EA376" s="1">
        <v>6448</v>
      </c>
      <c r="ED376" s="1" t="s">
        <v>50</v>
      </c>
      <c r="EE376" s="1" t="s">
        <v>1670</v>
      </c>
      <c r="EF376" s="1" t="s">
        <v>53</v>
      </c>
      <c r="EG376" s="1" t="s">
        <v>1670</v>
      </c>
      <c r="EH376" s="1" t="s">
        <v>51</v>
      </c>
      <c r="EJ376" s="1" t="s">
        <v>55</v>
      </c>
      <c r="EL376" s="1" t="s">
        <v>57</v>
      </c>
    </row>
    <row r="377" spans="1:143" x14ac:dyDescent="0.2">
      <c r="A377" s="101">
        <v>93349769001</v>
      </c>
      <c r="B377" s="101">
        <v>93349769</v>
      </c>
      <c r="D377" s="1" t="s">
        <v>220</v>
      </c>
      <c r="E377" s="1" t="s">
        <v>44</v>
      </c>
      <c r="F377" s="1" t="s">
        <v>583</v>
      </c>
      <c r="AI377" s="1" t="s">
        <v>551</v>
      </c>
      <c r="AJ377" s="1" t="s">
        <v>44</v>
      </c>
      <c r="AK377" s="1" t="s">
        <v>584</v>
      </c>
      <c r="AL377" s="1" t="s">
        <v>738</v>
      </c>
      <c r="AR377" s="1" t="s">
        <v>79</v>
      </c>
      <c r="AS377" s="1" t="s">
        <v>71</v>
      </c>
      <c r="AT377" s="1">
        <v>2.0827</v>
      </c>
      <c r="AV377" s="1" t="s">
        <v>1042</v>
      </c>
      <c r="AW377" s="1" t="s">
        <v>1660</v>
      </c>
      <c r="AX377" s="1">
        <v>6902193</v>
      </c>
      <c r="BA377" s="1" t="s">
        <v>69</v>
      </c>
      <c r="BB377" s="1" t="s">
        <v>574</v>
      </c>
      <c r="BC377" s="1" t="s">
        <v>456</v>
      </c>
      <c r="BD377" s="1" t="s">
        <v>555</v>
      </c>
      <c r="BG377" s="1" t="s">
        <v>558</v>
      </c>
      <c r="BH377" s="1">
        <v>31</v>
      </c>
      <c r="BI377" s="1" t="s">
        <v>431</v>
      </c>
      <c r="BJ377" s="1" t="s">
        <v>67</v>
      </c>
      <c r="BK377" s="1" t="s">
        <v>440</v>
      </c>
      <c r="BL377" s="1">
        <v>0</v>
      </c>
      <c r="BM377" s="1" t="s">
        <v>1042</v>
      </c>
      <c r="BN377" s="1" t="s">
        <v>1660</v>
      </c>
      <c r="BP377" s="1">
        <v>6902193</v>
      </c>
      <c r="BR377" s="1" t="s">
        <v>69</v>
      </c>
      <c r="BS377" s="1" t="s">
        <v>1023</v>
      </c>
      <c r="BT377" s="1" t="s">
        <v>574</v>
      </c>
      <c r="BU377" s="1" t="s">
        <v>456</v>
      </c>
      <c r="BV377" s="1" t="s">
        <v>555</v>
      </c>
      <c r="BY377" s="1" t="s">
        <v>558</v>
      </c>
      <c r="BZ377" s="1">
        <v>31</v>
      </c>
      <c r="CJ377" s="1">
        <v>2.1049799999999999</v>
      </c>
      <c r="CK377" s="1">
        <v>2.1024799999999999</v>
      </c>
      <c r="CL377" s="1">
        <v>2.1074799999999998</v>
      </c>
      <c r="CR377" s="1">
        <v>898.34209198689996</v>
      </c>
      <c r="CS377" s="1">
        <v>797.53</v>
      </c>
      <c r="CT377" s="1">
        <v>999.16</v>
      </c>
      <c r="CU377" s="1">
        <v>1.2999999999999999E-2</v>
      </c>
      <c r="CZ377" s="1">
        <v>898.34</v>
      </c>
      <c r="DA377" s="1">
        <v>898.34</v>
      </c>
      <c r="DB377" s="1">
        <v>898.34</v>
      </c>
      <c r="DC377" s="1">
        <v>0</v>
      </c>
      <c r="DD377" s="2">
        <v>403.24</v>
      </c>
      <c r="DG377" s="1">
        <v>100.75</v>
      </c>
      <c r="DL377" s="1">
        <v>-6900818.1600000001</v>
      </c>
      <c r="DM377" s="1">
        <v>-6900818.1600000001</v>
      </c>
      <c r="DN377" s="1">
        <v>0</v>
      </c>
      <c r="DO377" s="1">
        <v>2.0827</v>
      </c>
      <c r="DP377" s="1" t="s">
        <v>1661</v>
      </c>
      <c r="DQ377" s="1" t="s">
        <v>1661</v>
      </c>
      <c r="DS377" s="1">
        <v>6901716.5</v>
      </c>
      <c r="DT377" s="1">
        <v>6901716.5</v>
      </c>
      <c r="DU377" s="1">
        <v>0</v>
      </c>
      <c r="DV377" s="1">
        <v>2.1049799999999999</v>
      </c>
      <c r="DW377" s="1" t="s">
        <v>1661</v>
      </c>
      <c r="DX377" s="1" t="s">
        <v>1661</v>
      </c>
      <c r="DY377" s="1" t="s">
        <v>738</v>
      </c>
      <c r="DZ377" s="1">
        <v>-3346</v>
      </c>
      <c r="EA377" s="1">
        <v>5142</v>
      </c>
      <c r="ED377" s="1" t="s">
        <v>50</v>
      </c>
      <c r="EE377" s="1" t="s">
        <v>1671</v>
      </c>
      <c r="EF377" s="1" t="s">
        <v>53</v>
      </c>
      <c r="EG377" s="1" t="s">
        <v>1671</v>
      </c>
      <c r="EH377" s="1" t="s">
        <v>51</v>
      </c>
      <c r="EJ377" s="1" t="s">
        <v>55</v>
      </c>
      <c r="EL377" s="1" t="s">
        <v>57</v>
      </c>
    </row>
    <row r="378" spans="1:143" x14ac:dyDescent="0.2">
      <c r="A378" s="101">
        <v>93350392001</v>
      </c>
      <c r="B378" s="101">
        <v>93350392</v>
      </c>
      <c r="D378" s="1" t="s">
        <v>80</v>
      </c>
      <c r="E378" s="1" t="s">
        <v>44</v>
      </c>
      <c r="F378" s="1" t="s">
        <v>561</v>
      </c>
      <c r="U378" s="1">
        <v>13725696.236835999</v>
      </c>
      <c r="AI378" s="1" t="s">
        <v>551</v>
      </c>
      <c r="AJ378" s="1" t="s">
        <v>44</v>
      </c>
      <c r="AK378" s="1" t="s">
        <v>581</v>
      </c>
      <c r="AL378" s="1" t="s">
        <v>1187</v>
      </c>
      <c r="AR378" s="1" t="s">
        <v>66</v>
      </c>
      <c r="AS378" s="1" t="s">
        <v>71</v>
      </c>
      <c r="AT378" s="1">
        <v>2.008</v>
      </c>
      <c r="AV378" s="1" t="s">
        <v>918</v>
      </c>
      <c r="AW378" s="1" t="s">
        <v>1588</v>
      </c>
      <c r="AX378" s="1">
        <v>11220000</v>
      </c>
      <c r="BA378" s="1" t="s">
        <v>69</v>
      </c>
      <c r="BB378" s="1" t="s">
        <v>574</v>
      </c>
      <c r="BD378" s="1" t="s">
        <v>555</v>
      </c>
      <c r="BG378" s="1" t="s">
        <v>558</v>
      </c>
      <c r="BH378" s="1">
        <v>15</v>
      </c>
      <c r="BI378" s="1" t="s">
        <v>70</v>
      </c>
      <c r="BJ378" s="1" t="s">
        <v>67</v>
      </c>
      <c r="BK378" s="1" t="s">
        <v>76</v>
      </c>
      <c r="BM378" s="1" t="s">
        <v>918</v>
      </c>
      <c r="BN378" s="1" t="s">
        <v>1588</v>
      </c>
      <c r="BP378" s="1">
        <v>11220000</v>
      </c>
      <c r="BT378" s="1" t="s">
        <v>557</v>
      </c>
      <c r="BV378" s="1" t="s">
        <v>555</v>
      </c>
      <c r="BY378" s="1" t="s">
        <v>558</v>
      </c>
      <c r="BZ378" s="1">
        <v>15</v>
      </c>
      <c r="CJ378" s="1">
        <v>2.0078299999999998</v>
      </c>
      <c r="CK378" s="1">
        <v>2.0053299999999998</v>
      </c>
      <c r="CL378" s="1">
        <v>2.0103300000000002</v>
      </c>
      <c r="CR378" s="1">
        <v>-178.8272040263</v>
      </c>
      <c r="CU378" s="1">
        <v>-1.6000000000000001E-3</v>
      </c>
      <c r="CZ378" s="1">
        <v>-178.83</v>
      </c>
      <c r="DA378" s="1">
        <v>-178.83</v>
      </c>
      <c r="DB378" s="1">
        <v>8499.2900000000009</v>
      </c>
      <c r="DC378" s="1">
        <v>-8678.1200000000008</v>
      </c>
      <c r="DD378" s="2">
        <v>0.18</v>
      </c>
      <c r="DG378" s="1">
        <v>-879.85</v>
      </c>
      <c r="DL378" s="1">
        <v>-10675309.77</v>
      </c>
      <c r="DM378" s="1">
        <v>-10666631.640000001</v>
      </c>
      <c r="DN378" s="1">
        <v>-8678.1200000000008</v>
      </c>
      <c r="DO378" s="1">
        <v>2.008</v>
      </c>
      <c r="DP378" s="1" t="s">
        <v>1588</v>
      </c>
      <c r="DQ378" s="1" t="s">
        <v>1588</v>
      </c>
      <c r="DS378" s="1">
        <v>10675130.939999999</v>
      </c>
      <c r="DT378" s="1">
        <v>10675130.939999999</v>
      </c>
      <c r="DU378" s="1">
        <v>0</v>
      </c>
      <c r="DV378" s="1">
        <v>2.03714</v>
      </c>
      <c r="DW378" s="1" t="s">
        <v>1588</v>
      </c>
      <c r="DX378" s="1" t="s">
        <v>1588</v>
      </c>
      <c r="DZ378" s="1">
        <v>-181</v>
      </c>
      <c r="EA378" s="1">
        <v>-177</v>
      </c>
      <c r="ED378" s="1" t="s">
        <v>50</v>
      </c>
      <c r="EE378" s="1" t="s">
        <v>1672</v>
      </c>
      <c r="EF378" s="1" t="s">
        <v>53</v>
      </c>
      <c r="EG378" s="1" t="s">
        <v>1672</v>
      </c>
      <c r="EH378" s="1" t="s">
        <v>51</v>
      </c>
      <c r="EJ378" s="1" t="s">
        <v>55</v>
      </c>
      <c r="EL378" s="1" t="s">
        <v>57</v>
      </c>
    </row>
    <row r="379" spans="1:143" x14ac:dyDescent="0.2">
      <c r="A379" s="101">
        <v>93350430001</v>
      </c>
      <c r="B379" s="101">
        <v>93350430</v>
      </c>
      <c r="D379" s="1" t="s">
        <v>80</v>
      </c>
      <c r="E379" s="1" t="s">
        <v>44</v>
      </c>
      <c r="F379" s="1" t="s">
        <v>561</v>
      </c>
      <c r="U379" s="1">
        <v>2495581.1339701801</v>
      </c>
      <c r="AI379" s="1" t="s">
        <v>551</v>
      </c>
      <c r="AJ379" s="1" t="s">
        <v>44</v>
      </c>
      <c r="AK379" s="1" t="s">
        <v>581</v>
      </c>
      <c r="AL379" s="1" t="s">
        <v>1187</v>
      </c>
      <c r="AR379" s="1" t="s">
        <v>66</v>
      </c>
      <c r="AS379" s="1" t="s">
        <v>71</v>
      </c>
      <c r="AT379" s="1">
        <v>2.008</v>
      </c>
      <c r="AV379" s="1" t="s">
        <v>918</v>
      </c>
      <c r="AW379" s="1" t="s">
        <v>1588</v>
      </c>
      <c r="AX379" s="1">
        <v>2040000</v>
      </c>
      <c r="BA379" s="1" t="s">
        <v>69</v>
      </c>
      <c r="BB379" s="1" t="s">
        <v>574</v>
      </c>
      <c r="BD379" s="1" t="s">
        <v>555</v>
      </c>
      <c r="BG379" s="1" t="s">
        <v>558</v>
      </c>
      <c r="BH379" s="1">
        <v>15</v>
      </c>
      <c r="BI379" s="1" t="s">
        <v>70</v>
      </c>
      <c r="BJ379" s="1" t="s">
        <v>67</v>
      </c>
      <c r="BK379" s="1" t="s">
        <v>76</v>
      </c>
      <c r="BM379" s="1" t="s">
        <v>918</v>
      </c>
      <c r="BN379" s="1" t="s">
        <v>1588</v>
      </c>
      <c r="BP379" s="1">
        <v>2040000</v>
      </c>
      <c r="BT379" s="1" t="s">
        <v>557</v>
      </c>
      <c r="BV379" s="1" t="s">
        <v>555</v>
      </c>
      <c r="BY379" s="1" t="s">
        <v>558</v>
      </c>
      <c r="BZ379" s="1">
        <v>15</v>
      </c>
      <c r="CJ379" s="1">
        <v>2.0078299999999998</v>
      </c>
      <c r="CK379" s="1">
        <v>2.0053299999999998</v>
      </c>
      <c r="CL379" s="1">
        <v>2.0103300000000002</v>
      </c>
      <c r="CR379" s="1">
        <v>-32.514037095699997</v>
      </c>
      <c r="CU379" s="1">
        <v>-1.6000000000000001E-3</v>
      </c>
      <c r="CZ379" s="1">
        <v>-32.51</v>
      </c>
      <c r="DA379" s="1">
        <v>-32.51</v>
      </c>
      <c r="DB379" s="1">
        <v>1545.33</v>
      </c>
      <c r="DC379" s="1">
        <v>-1577.84</v>
      </c>
      <c r="DD379" s="2">
        <v>0.03</v>
      </c>
      <c r="DG379" s="1">
        <v>-159.97</v>
      </c>
      <c r="DL379" s="1">
        <v>-1940965.41</v>
      </c>
      <c r="DM379" s="1">
        <v>-1939387.57</v>
      </c>
      <c r="DN379" s="1">
        <v>-1577.84</v>
      </c>
      <c r="DO379" s="1">
        <v>2.008</v>
      </c>
      <c r="DP379" s="1" t="s">
        <v>1588</v>
      </c>
      <c r="DQ379" s="1" t="s">
        <v>1588</v>
      </c>
      <c r="DS379" s="1">
        <v>1940932.9</v>
      </c>
      <c r="DT379" s="1">
        <v>1940932.9</v>
      </c>
      <c r="DU379" s="1">
        <v>0</v>
      </c>
      <c r="DV379" s="1">
        <v>2.03714</v>
      </c>
      <c r="DW379" s="1" t="s">
        <v>1588</v>
      </c>
      <c r="DX379" s="1" t="s">
        <v>1588</v>
      </c>
      <c r="DZ379" s="1">
        <v>-33</v>
      </c>
      <c r="EA379" s="1">
        <v>-32</v>
      </c>
      <c r="ED379" s="1" t="s">
        <v>50</v>
      </c>
      <c r="EE379" s="1" t="s">
        <v>1673</v>
      </c>
      <c r="EF379" s="1" t="s">
        <v>53</v>
      </c>
      <c r="EG379" s="1" t="s">
        <v>1673</v>
      </c>
      <c r="EH379" s="1" t="s">
        <v>51</v>
      </c>
      <c r="EJ379" s="1" t="s">
        <v>55</v>
      </c>
      <c r="EL379" s="1" t="s">
        <v>57</v>
      </c>
    </row>
    <row r="380" spans="1:143" x14ac:dyDescent="0.2">
      <c r="A380" s="101">
        <v>93351609001</v>
      </c>
      <c r="B380" s="101">
        <v>93351609</v>
      </c>
      <c r="D380" s="1" t="s">
        <v>80</v>
      </c>
      <c r="E380" s="1" t="s">
        <v>44</v>
      </c>
      <c r="F380" s="1" t="s">
        <v>561</v>
      </c>
      <c r="U380" s="1">
        <v>2486478.80043614</v>
      </c>
      <c r="AI380" s="1" t="s">
        <v>551</v>
      </c>
      <c r="AJ380" s="1" t="s">
        <v>44</v>
      </c>
      <c r="AK380" s="1" t="s">
        <v>581</v>
      </c>
      <c r="AL380" s="1" t="s">
        <v>1187</v>
      </c>
      <c r="AR380" s="1" t="s">
        <v>66</v>
      </c>
      <c r="AS380" s="1" t="s">
        <v>67</v>
      </c>
      <c r="AT380" s="1">
        <v>2</v>
      </c>
      <c r="AV380" s="1" t="s">
        <v>918</v>
      </c>
      <c r="AW380" s="1" t="s">
        <v>1588</v>
      </c>
      <c r="AX380" s="1">
        <v>2040000</v>
      </c>
      <c r="BA380" s="1" t="s">
        <v>69</v>
      </c>
      <c r="BB380" s="1" t="s">
        <v>560</v>
      </c>
      <c r="BD380" s="1" t="s">
        <v>555</v>
      </c>
      <c r="BG380" s="1" t="s">
        <v>558</v>
      </c>
      <c r="BH380" s="1">
        <v>15</v>
      </c>
      <c r="BI380" s="1" t="s">
        <v>70</v>
      </c>
      <c r="BJ380" s="1" t="s">
        <v>71</v>
      </c>
      <c r="BK380" s="1" t="s">
        <v>259</v>
      </c>
      <c r="BM380" s="1" t="s">
        <v>918</v>
      </c>
      <c r="BN380" s="1" t="s">
        <v>1588</v>
      </c>
      <c r="BP380" s="1">
        <v>2040000</v>
      </c>
      <c r="BT380" s="1" t="s">
        <v>557</v>
      </c>
      <c r="BV380" s="1" t="s">
        <v>555</v>
      </c>
      <c r="BY380" s="1" t="s">
        <v>558</v>
      </c>
      <c r="BZ380" s="1">
        <v>15</v>
      </c>
      <c r="CJ380" s="1">
        <v>2.0171199999999998</v>
      </c>
      <c r="CK380" s="1">
        <v>2.0146199999999999</v>
      </c>
      <c r="CL380" s="1">
        <v>2.0196200000000002</v>
      </c>
      <c r="CR380" s="1">
        <v>-3245.8708678130001</v>
      </c>
      <c r="CU380" s="1">
        <v>-0.15909999999999999</v>
      </c>
      <c r="CZ380" s="1">
        <v>-3245.87</v>
      </c>
      <c r="DA380" s="1">
        <v>-3245.87</v>
      </c>
      <c r="DB380" s="1">
        <v>-4795.95</v>
      </c>
      <c r="DC380" s="1">
        <v>1550.08</v>
      </c>
      <c r="DD380" s="2">
        <v>3.23</v>
      </c>
      <c r="DG380" s="1">
        <v>159.38999999999999</v>
      </c>
      <c r="DL380" s="1">
        <v>1933885.97</v>
      </c>
      <c r="DM380" s="1">
        <v>1932335.9</v>
      </c>
      <c r="DN380" s="1">
        <v>1550.08</v>
      </c>
      <c r="DO380" s="1">
        <v>2</v>
      </c>
      <c r="DP380" s="1" t="s">
        <v>1588</v>
      </c>
      <c r="DQ380" s="1" t="s">
        <v>1588</v>
      </c>
      <c r="DS380" s="1">
        <v>-1937131.84</v>
      </c>
      <c r="DT380" s="1">
        <v>-1937131.84</v>
      </c>
      <c r="DU380" s="1">
        <v>0</v>
      </c>
      <c r="DV380" s="1">
        <v>2.0171299999999999</v>
      </c>
      <c r="DW380" s="1" t="s">
        <v>1588</v>
      </c>
      <c r="DX380" s="1" t="s">
        <v>1588</v>
      </c>
      <c r="DZ380" s="1">
        <v>-3278</v>
      </c>
      <c r="EA380" s="1">
        <v>-3213</v>
      </c>
      <c r="ED380" s="1" t="s">
        <v>50</v>
      </c>
      <c r="EE380" s="1" t="s">
        <v>1674</v>
      </c>
      <c r="EF380" s="1" t="s">
        <v>53</v>
      </c>
      <c r="EG380" s="1" t="s">
        <v>1674</v>
      </c>
      <c r="EH380" s="1" t="s">
        <v>51</v>
      </c>
      <c r="EJ380" s="1" t="s">
        <v>55</v>
      </c>
      <c r="EL380" s="1" t="s">
        <v>57</v>
      </c>
    </row>
    <row r="381" spans="1:143" x14ac:dyDescent="0.2">
      <c r="A381" s="101">
        <v>31895980</v>
      </c>
      <c r="B381" s="101">
        <v>40240899</v>
      </c>
      <c r="D381" s="1" t="s">
        <v>75</v>
      </c>
      <c r="E381" s="1" t="s">
        <v>44</v>
      </c>
      <c r="F381" s="1" t="s">
        <v>93</v>
      </c>
      <c r="AI381" s="1" t="s">
        <v>551</v>
      </c>
      <c r="AJ381" s="1" t="s">
        <v>44</v>
      </c>
      <c r="AK381" s="1" t="s">
        <v>563</v>
      </c>
      <c r="AL381" s="1" t="s">
        <v>565</v>
      </c>
      <c r="AR381" s="1" t="s">
        <v>79</v>
      </c>
      <c r="AS381" s="1" t="s">
        <v>67</v>
      </c>
      <c r="AT381" s="1">
        <v>3.3325</v>
      </c>
      <c r="AV381" s="1" t="s">
        <v>111</v>
      </c>
      <c r="AW381" s="1" t="s">
        <v>112</v>
      </c>
      <c r="AX381" s="1">
        <v>7185629</v>
      </c>
      <c r="BA381" s="1" t="s">
        <v>69</v>
      </c>
      <c r="BB381" s="1" t="s">
        <v>557</v>
      </c>
      <c r="BD381" s="1" t="s">
        <v>555</v>
      </c>
      <c r="BG381" s="1" t="s">
        <v>558</v>
      </c>
      <c r="BH381" s="1">
        <v>0</v>
      </c>
      <c r="BI381" s="1" t="s">
        <v>79</v>
      </c>
      <c r="BJ381" s="1" t="s">
        <v>71</v>
      </c>
      <c r="BK381" s="1">
        <v>5.25</v>
      </c>
      <c r="BM381" s="1" t="s">
        <v>111</v>
      </c>
      <c r="BN381" s="1" t="s">
        <v>112</v>
      </c>
      <c r="BO381" s="1" t="s">
        <v>64</v>
      </c>
      <c r="BP381" s="1">
        <v>6000000</v>
      </c>
      <c r="BS381" s="1" t="s">
        <v>69</v>
      </c>
      <c r="BT381" s="1" t="s">
        <v>557</v>
      </c>
      <c r="BV381" s="1" t="s">
        <v>555</v>
      </c>
      <c r="BY381" s="1" t="s">
        <v>558</v>
      </c>
      <c r="BZ381" s="1">
        <v>0</v>
      </c>
      <c r="CJ381" s="1">
        <v>3.3775300000000001</v>
      </c>
      <c r="CK381" s="1">
        <v>3.3750300000000002</v>
      </c>
      <c r="CL381" s="1">
        <v>3.3800300000000001</v>
      </c>
      <c r="CQ381" s="1">
        <v>0.83679999999999999</v>
      </c>
      <c r="CR381" s="1">
        <v>-34525.064615660398</v>
      </c>
      <c r="CS381" s="1">
        <v>-35211.06</v>
      </c>
      <c r="CT381" s="1">
        <v>-33839.07</v>
      </c>
      <c r="CU381" s="1">
        <v>-0.48049999999999998</v>
      </c>
      <c r="CZ381" s="1">
        <v>-34525.06</v>
      </c>
      <c r="DA381" s="1">
        <v>-34525.06</v>
      </c>
      <c r="DB381" s="1">
        <v>6758.4</v>
      </c>
      <c r="DC381" s="1">
        <v>-41283.47</v>
      </c>
      <c r="DD381" s="2">
        <v>-2624.86</v>
      </c>
      <c r="DG381" s="1">
        <v>0</v>
      </c>
      <c r="DH381" s="1">
        <v>2556.4</v>
      </c>
      <c r="DL381" s="1">
        <v>7542936.1100000003</v>
      </c>
      <c r="DM381" s="1">
        <v>7467106.7699999996</v>
      </c>
      <c r="DN381" s="1">
        <v>75829.34</v>
      </c>
      <c r="DO381" s="1">
        <v>3.3325</v>
      </c>
      <c r="DP381" s="1" t="s">
        <v>879</v>
      </c>
      <c r="DQ381" s="1" t="s">
        <v>1370</v>
      </c>
      <c r="DS381" s="1">
        <v>-6340819.5099999998</v>
      </c>
      <c r="DT381" s="1">
        <v>-6242819.5099999998</v>
      </c>
      <c r="DU381" s="1">
        <v>-98000</v>
      </c>
      <c r="DV381" s="1">
        <v>5.25</v>
      </c>
      <c r="DW381" s="1" t="s">
        <v>879</v>
      </c>
      <c r="DX381" s="1" t="s">
        <v>1370</v>
      </c>
      <c r="DZ381" s="1">
        <v>9803</v>
      </c>
      <c r="EA381" s="1">
        <v>-78853</v>
      </c>
      <c r="ED381" s="1" t="s">
        <v>50</v>
      </c>
      <c r="EE381" s="1">
        <v>69227200</v>
      </c>
      <c r="EF381" s="1" t="s">
        <v>53</v>
      </c>
      <c r="EG381" s="1" t="s">
        <v>114</v>
      </c>
      <c r="EH381" s="1" t="s">
        <v>51</v>
      </c>
      <c r="EI381" s="1" t="s">
        <v>113</v>
      </c>
      <c r="EJ381" s="1" t="s">
        <v>55</v>
      </c>
      <c r="EK381" s="1" t="s">
        <v>102</v>
      </c>
      <c r="EL381" s="1" t="s">
        <v>57</v>
      </c>
      <c r="EM381" s="1" t="s">
        <v>115</v>
      </c>
    </row>
    <row r="382" spans="1:143" x14ac:dyDescent="0.2">
      <c r="A382" s="101">
        <v>31895981</v>
      </c>
      <c r="B382" s="101">
        <v>40240900</v>
      </c>
      <c r="D382" s="1" t="s">
        <v>92</v>
      </c>
      <c r="E382" s="1" t="s">
        <v>44</v>
      </c>
      <c r="F382" s="1" t="s">
        <v>93</v>
      </c>
      <c r="AI382" s="1" t="s">
        <v>551</v>
      </c>
      <c r="AJ382" s="1" t="s">
        <v>44</v>
      </c>
      <c r="AK382" s="1" t="s">
        <v>563</v>
      </c>
      <c r="AL382" s="1" t="s">
        <v>565</v>
      </c>
      <c r="AR382" s="1" t="s">
        <v>79</v>
      </c>
      <c r="AS382" s="1" t="s">
        <v>67</v>
      </c>
      <c r="AT382" s="1">
        <v>3.4350000000000001</v>
      </c>
      <c r="AV382" s="1" t="s">
        <v>111</v>
      </c>
      <c r="AW382" s="1" t="s">
        <v>112</v>
      </c>
      <c r="AX382" s="1">
        <v>7168458</v>
      </c>
      <c r="BA382" s="1" t="s">
        <v>69</v>
      </c>
      <c r="BB382" s="1" t="s">
        <v>557</v>
      </c>
      <c r="BD382" s="1" t="s">
        <v>555</v>
      </c>
      <c r="BG382" s="1" t="s">
        <v>558</v>
      </c>
      <c r="BH382" s="1">
        <v>0</v>
      </c>
      <c r="BI382" s="1" t="s">
        <v>79</v>
      </c>
      <c r="BJ382" s="1" t="s">
        <v>71</v>
      </c>
      <c r="BK382" s="1">
        <v>5.25</v>
      </c>
      <c r="BM382" s="1" t="s">
        <v>111</v>
      </c>
      <c r="BN382" s="1" t="s">
        <v>112</v>
      </c>
      <c r="BO382" s="1" t="s">
        <v>64</v>
      </c>
      <c r="BP382" s="1">
        <v>6000000</v>
      </c>
      <c r="BS382" s="1" t="s">
        <v>69</v>
      </c>
      <c r="BT382" s="1" t="s">
        <v>557</v>
      </c>
      <c r="BV382" s="1" t="s">
        <v>555</v>
      </c>
      <c r="BY382" s="1" t="s">
        <v>558</v>
      </c>
      <c r="BZ382" s="1">
        <v>0</v>
      </c>
      <c r="CJ382" s="1">
        <v>3.3803299999999998</v>
      </c>
      <c r="CK382" s="1">
        <v>3.3778299999999999</v>
      </c>
      <c r="CL382" s="1">
        <v>3.3828299999999998</v>
      </c>
      <c r="CQ382" s="1">
        <v>0.83679999999999999</v>
      </c>
      <c r="CR382" s="1">
        <v>-24491.161950818299</v>
      </c>
      <c r="CS382" s="1">
        <v>-25175.51</v>
      </c>
      <c r="CT382" s="1">
        <v>-23806.81</v>
      </c>
      <c r="CU382" s="1">
        <v>-0.3417</v>
      </c>
      <c r="CZ382" s="1">
        <v>-24491.16</v>
      </c>
      <c r="DA382" s="1">
        <v>-24491.16</v>
      </c>
      <c r="DB382" s="1">
        <v>14646.75</v>
      </c>
      <c r="DC382" s="1">
        <v>-39137.910000000003</v>
      </c>
      <c r="DD382" s="2">
        <v>-2624.62</v>
      </c>
      <c r="DG382" s="1">
        <v>0</v>
      </c>
      <c r="DH382" s="1">
        <v>2556.4</v>
      </c>
      <c r="DL382" s="1">
        <v>7552970.0199999996</v>
      </c>
      <c r="DM382" s="1">
        <v>7474995.1100000003</v>
      </c>
      <c r="DN382" s="1">
        <v>77974.899999999994</v>
      </c>
      <c r="DO382" s="1">
        <v>3.4350000000000001</v>
      </c>
      <c r="DP382" s="1" t="s">
        <v>879</v>
      </c>
      <c r="DQ382" s="1" t="s">
        <v>1370</v>
      </c>
      <c r="DS382" s="1">
        <v>-6340819.5099999998</v>
      </c>
      <c r="DT382" s="1">
        <v>-6242819.5099999998</v>
      </c>
      <c r="DU382" s="1">
        <v>-98000</v>
      </c>
      <c r="DV382" s="1">
        <v>5.25</v>
      </c>
      <c r="DW382" s="1" t="s">
        <v>879</v>
      </c>
      <c r="DX382" s="1" t="s">
        <v>1370</v>
      </c>
      <c r="DZ382" s="1">
        <v>19869</v>
      </c>
      <c r="EA382" s="1">
        <v>-68852</v>
      </c>
      <c r="ED382" s="1" t="s">
        <v>50</v>
      </c>
      <c r="EE382" s="1">
        <v>69211698</v>
      </c>
      <c r="EF382" s="1" t="s">
        <v>53</v>
      </c>
      <c r="EG382" s="1" t="s">
        <v>117</v>
      </c>
      <c r="EH382" s="1" t="s">
        <v>51</v>
      </c>
      <c r="EI382" s="1" t="s">
        <v>116</v>
      </c>
      <c r="EJ382" s="1" t="s">
        <v>55</v>
      </c>
      <c r="EK382" s="1" t="s">
        <v>96</v>
      </c>
      <c r="EL382" s="1" t="s">
        <v>57</v>
      </c>
      <c r="EM382" s="1" t="s">
        <v>118</v>
      </c>
    </row>
    <row r="383" spans="1:143" x14ac:dyDescent="0.2">
      <c r="A383" s="101">
        <v>31895983</v>
      </c>
      <c r="B383" s="101">
        <v>40240902</v>
      </c>
      <c r="D383" s="1" t="s">
        <v>75</v>
      </c>
      <c r="E383" s="1" t="s">
        <v>44</v>
      </c>
      <c r="F383" s="1" t="s">
        <v>93</v>
      </c>
      <c r="AI383" s="1" t="s">
        <v>551</v>
      </c>
      <c r="AJ383" s="1" t="s">
        <v>44</v>
      </c>
      <c r="AK383" s="1" t="s">
        <v>563</v>
      </c>
      <c r="AL383" s="1" t="s">
        <v>565</v>
      </c>
      <c r="AR383" s="1" t="s">
        <v>79</v>
      </c>
      <c r="AS383" s="1" t="s">
        <v>67</v>
      </c>
      <c r="AT383" s="1">
        <v>3.4049999999999998</v>
      </c>
      <c r="AV383" s="1" t="s">
        <v>122</v>
      </c>
      <c r="AW383" s="1" t="s">
        <v>123</v>
      </c>
      <c r="AX383" s="1">
        <v>11978917</v>
      </c>
      <c r="BA383" s="1" t="s">
        <v>69</v>
      </c>
      <c r="BB383" s="1" t="s">
        <v>557</v>
      </c>
      <c r="BD383" s="1" t="s">
        <v>555</v>
      </c>
      <c r="BG383" s="1" t="s">
        <v>558</v>
      </c>
      <c r="BH383" s="1">
        <v>0</v>
      </c>
      <c r="BI383" s="1" t="s">
        <v>79</v>
      </c>
      <c r="BJ383" s="1" t="s">
        <v>71</v>
      </c>
      <c r="BK383" s="1">
        <v>5.375</v>
      </c>
      <c r="BM383" s="1" t="s">
        <v>122</v>
      </c>
      <c r="BN383" s="1" t="s">
        <v>123</v>
      </c>
      <c r="BO383" s="1" t="s">
        <v>64</v>
      </c>
      <c r="BP383" s="1">
        <v>10000000</v>
      </c>
      <c r="BS383" s="1" t="s">
        <v>69</v>
      </c>
      <c r="BT383" s="1" t="s">
        <v>560</v>
      </c>
      <c r="BV383" s="1" t="s">
        <v>555</v>
      </c>
      <c r="BY383" s="1" t="s">
        <v>558</v>
      </c>
      <c r="BZ383" s="1">
        <v>0</v>
      </c>
      <c r="CJ383" s="1">
        <v>3.3144499999999999</v>
      </c>
      <c r="CK383" s="1">
        <v>3.3119499999999999</v>
      </c>
      <c r="CL383" s="1">
        <v>3.3169499999999998</v>
      </c>
      <c r="CQ383" s="1">
        <v>0.83679999999999999</v>
      </c>
      <c r="CR383" s="1">
        <v>40716.1059825923</v>
      </c>
      <c r="CS383" s="1">
        <v>40135.040000000001</v>
      </c>
      <c r="CT383" s="1">
        <v>41297.17</v>
      </c>
      <c r="CU383" s="1">
        <v>0.33989999999999998</v>
      </c>
      <c r="CZ383" s="1">
        <v>40716.11</v>
      </c>
      <c r="DA383" s="1">
        <v>40716.11</v>
      </c>
      <c r="DB383" s="1">
        <v>48864.46</v>
      </c>
      <c r="DC383" s="1">
        <v>-8148.36</v>
      </c>
      <c r="DD383" s="2">
        <v>-2359</v>
      </c>
      <c r="DG383" s="1">
        <v>0</v>
      </c>
      <c r="DH383" s="1">
        <v>2322.2199999999998</v>
      </c>
      <c r="DL383" s="1">
        <v>12296744.449999999</v>
      </c>
      <c r="DM383" s="1">
        <v>12282015.369999999</v>
      </c>
      <c r="DN383" s="1">
        <v>14729.08</v>
      </c>
      <c r="DO383" s="1">
        <v>3.4049999999999998</v>
      </c>
      <c r="DP383" s="1" t="s">
        <v>998</v>
      </c>
      <c r="DQ383" s="1" t="s">
        <v>123</v>
      </c>
      <c r="DS383" s="1">
        <v>-10255844.52</v>
      </c>
      <c r="DT383" s="1">
        <v>-10236700.68</v>
      </c>
      <c r="DU383" s="1">
        <v>-19143.84</v>
      </c>
      <c r="DV383" s="1">
        <v>5.375</v>
      </c>
      <c r="DW383" s="1" t="s">
        <v>998</v>
      </c>
      <c r="DX383" s="1" t="s">
        <v>123</v>
      </c>
      <c r="DZ383" s="1">
        <v>79810</v>
      </c>
      <c r="EA383" s="1">
        <v>1622</v>
      </c>
      <c r="ED383" s="1" t="s">
        <v>50</v>
      </c>
      <c r="EE383" s="1">
        <v>69189004</v>
      </c>
      <c r="EF383" s="1" t="s">
        <v>53</v>
      </c>
      <c r="EG383" s="1" t="s">
        <v>125</v>
      </c>
      <c r="EH383" s="1" t="s">
        <v>51</v>
      </c>
      <c r="EI383" s="1" t="s">
        <v>124</v>
      </c>
      <c r="EJ383" s="1" t="s">
        <v>55</v>
      </c>
      <c r="EK383" s="1" t="s">
        <v>102</v>
      </c>
      <c r="EL383" s="1" t="s">
        <v>57</v>
      </c>
      <c r="EM383" s="1" t="s">
        <v>126</v>
      </c>
    </row>
    <row r="384" spans="1:143" x14ac:dyDescent="0.2">
      <c r="A384" s="101">
        <v>31896180</v>
      </c>
      <c r="B384" s="101">
        <v>40240924</v>
      </c>
      <c r="D384" s="1" t="s">
        <v>75</v>
      </c>
      <c r="E384" s="1" t="s">
        <v>44</v>
      </c>
      <c r="F384" s="1" t="s">
        <v>93</v>
      </c>
      <c r="AI384" s="1" t="s">
        <v>551</v>
      </c>
      <c r="AJ384" s="1" t="s">
        <v>44</v>
      </c>
      <c r="AK384" s="1" t="s">
        <v>563</v>
      </c>
      <c r="AL384" s="1" t="s">
        <v>565</v>
      </c>
      <c r="AR384" s="1" t="s">
        <v>79</v>
      </c>
      <c r="AS384" s="1" t="s">
        <v>67</v>
      </c>
      <c r="AT384" s="1">
        <v>3.3975</v>
      </c>
      <c r="AV384" s="1" t="s">
        <v>127</v>
      </c>
      <c r="AW384" s="1" t="s">
        <v>112</v>
      </c>
      <c r="AX384" s="1">
        <v>8203445</v>
      </c>
      <c r="BA384" s="1" t="s">
        <v>69</v>
      </c>
      <c r="BB384" s="1" t="s">
        <v>557</v>
      </c>
      <c r="BD384" s="1" t="s">
        <v>555</v>
      </c>
      <c r="BG384" s="1" t="s">
        <v>558</v>
      </c>
      <c r="BH384" s="1">
        <v>0</v>
      </c>
      <c r="BI384" s="1" t="s">
        <v>79</v>
      </c>
      <c r="BJ384" s="1" t="s">
        <v>71</v>
      </c>
      <c r="BK384" s="1">
        <v>5.25</v>
      </c>
      <c r="BM384" s="1" t="s">
        <v>127</v>
      </c>
      <c r="BN384" s="1" t="s">
        <v>112</v>
      </c>
      <c r="BO384" s="1" t="s">
        <v>64</v>
      </c>
      <c r="BP384" s="1">
        <v>7000000</v>
      </c>
      <c r="BS384" s="1" t="s">
        <v>69</v>
      </c>
      <c r="BT384" s="1" t="s">
        <v>557</v>
      </c>
      <c r="BV384" s="1" t="s">
        <v>555</v>
      </c>
      <c r="BY384" s="1" t="s">
        <v>558</v>
      </c>
      <c r="BZ384" s="1">
        <v>0</v>
      </c>
      <c r="CJ384" s="1">
        <v>3.4031400000000001</v>
      </c>
      <c r="CK384" s="1">
        <v>3.4006400000000001</v>
      </c>
      <c r="CL384" s="1">
        <v>3.40564</v>
      </c>
      <c r="CQ384" s="1">
        <v>0.83679999999999999</v>
      </c>
      <c r="CR384" s="1">
        <v>-208645.17098864701</v>
      </c>
      <c r="CS384" s="1">
        <v>-209428.33</v>
      </c>
      <c r="CT384" s="1">
        <v>-207862.01</v>
      </c>
      <c r="CU384" s="1">
        <v>-2.5434000000000001</v>
      </c>
      <c r="CZ384" s="1">
        <v>-208645.17</v>
      </c>
      <c r="DA384" s="1">
        <v>-208645.17</v>
      </c>
      <c r="DB384" s="1">
        <v>-160272.38</v>
      </c>
      <c r="DC384" s="1">
        <v>-48372.79</v>
      </c>
      <c r="DD384" s="2">
        <v>-3001.03</v>
      </c>
      <c r="DG384" s="1">
        <v>0</v>
      </c>
      <c r="DH384" s="1">
        <v>2982.47</v>
      </c>
      <c r="DL384" s="1">
        <v>8631726.1999999993</v>
      </c>
      <c r="DM384" s="1">
        <v>8543467.3900000006</v>
      </c>
      <c r="DN384" s="1">
        <v>88258.82</v>
      </c>
      <c r="DO384" s="1">
        <v>3.3975</v>
      </c>
      <c r="DP384" s="1" t="s">
        <v>879</v>
      </c>
      <c r="DQ384" s="1" t="s">
        <v>1370</v>
      </c>
      <c r="DS384" s="1">
        <v>-7397622.7699999996</v>
      </c>
      <c r="DT384" s="1">
        <v>-7283289.4299999997</v>
      </c>
      <c r="DU384" s="1">
        <v>-114333.33</v>
      </c>
      <c r="DV384" s="1">
        <v>5.25</v>
      </c>
      <c r="DW384" s="1" t="s">
        <v>879</v>
      </c>
      <c r="DX384" s="1" t="s">
        <v>1370</v>
      </c>
      <c r="DZ384" s="1">
        <v>-157581</v>
      </c>
      <c r="EA384" s="1">
        <v>-259710</v>
      </c>
      <c r="ED384" s="1" t="s">
        <v>50</v>
      </c>
      <c r="EE384" s="1">
        <v>69174181</v>
      </c>
      <c r="EF384" s="1" t="s">
        <v>53</v>
      </c>
      <c r="EG384" s="1" t="s">
        <v>129</v>
      </c>
      <c r="EH384" s="1" t="s">
        <v>51</v>
      </c>
      <c r="EI384" s="1" t="s">
        <v>128</v>
      </c>
      <c r="EJ384" s="1" t="s">
        <v>55</v>
      </c>
      <c r="EK384" s="1" t="s">
        <v>102</v>
      </c>
      <c r="EL384" s="1" t="s">
        <v>57</v>
      </c>
      <c r="EM384" s="1" t="s">
        <v>130</v>
      </c>
    </row>
    <row r="385" spans="1:143" x14ac:dyDescent="0.2">
      <c r="A385" s="101">
        <v>31896212</v>
      </c>
      <c r="B385" s="101">
        <v>40240945</v>
      </c>
      <c r="D385" s="1" t="s">
        <v>75</v>
      </c>
      <c r="E385" s="1" t="s">
        <v>44</v>
      </c>
      <c r="F385" s="1" t="s">
        <v>93</v>
      </c>
      <c r="AI385" s="1" t="s">
        <v>551</v>
      </c>
      <c r="AJ385" s="1" t="s">
        <v>44</v>
      </c>
      <c r="AK385" s="1" t="s">
        <v>563</v>
      </c>
      <c r="AL385" s="1" t="s">
        <v>565</v>
      </c>
      <c r="AR385" s="1" t="s">
        <v>79</v>
      </c>
      <c r="AS385" s="1" t="s">
        <v>67</v>
      </c>
      <c r="AT385" s="1">
        <v>3.5</v>
      </c>
      <c r="AV385" s="1" t="s">
        <v>111</v>
      </c>
      <c r="AW385" s="1" t="s">
        <v>112</v>
      </c>
      <c r="AX385" s="1">
        <v>9361105</v>
      </c>
      <c r="BA385" s="1" t="s">
        <v>69</v>
      </c>
      <c r="BB385" s="1" t="s">
        <v>557</v>
      </c>
      <c r="BD385" s="1" t="s">
        <v>555</v>
      </c>
      <c r="BG385" s="1" t="s">
        <v>558</v>
      </c>
      <c r="BH385" s="1">
        <v>0</v>
      </c>
      <c r="BI385" s="1" t="s">
        <v>79</v>
      </c>
      <c r="BJ385" s="1" t="s">
        <v>71</v>
      </c>
      <c r="BK385" s="1">
        <v>5.25</v>
      </c>
      <c r="BM385" s="1" t="s">
        <v>111</v>
      </c>
      <c r="BN385" s="1" t="s">
        <v>112</v>
      </c>
      <c r="BO385" s="1" t="s">
        <v>64</v>
      </c>
      <c r="BP385" s="1">
        <v>8000000</v>
      </c>
      <c r="BS385" s="1" t="s">
        <v>69</v>
      </c>
      <c r="BT385" s="1" t="s">
        <v>557</v>
      </c>
      <c r="BV385" s="1" t="s">
        <v>555</v>
      </c>
      <c r="BY385" s="1" t="s">
        <v>558</v>
      </c>
      <c r="BZ385" s="1">
        <v>0</v>
      </c>
      <c r="CJ385" s="1">
        <v>3.40496</v>
      </c>
      <c r="CK385" s="1">
        <v>3.40246</v>
      </c>
      <c r="CL385" s="1">
        <v>3.4074599999999999</v>
      </c>
      <c r="CQ385" s="1">
        <v>0.83679999999999999</v>
      </c>
      <c r="CR385" s="1">
        <v>-216816.992287826</v>
      </c>
      <c r="CS385" s="1">
        <v>-217710.67</v>
      </c>
      <c r="CT385" s="1">
        <v>-215923.31</v>
      </c>
      <c r="CU385" s="1">
        <v>-2.3161</v>
      </c>
      <c r="CZ385" s="1">
        <v>-216816.99</v>
      </c>
      <c r="DA385" s="1">
        <v>-216816.99</v>
      </c>
      <c r="DB385" s="1">
        <v>-164418.82</v>
      </c>
      <c r="DC385" s="1">
        <v>-52398.17</v>
      </c>
      <c r="DD385" s="2">
        <v>-3432.4</v>
      </c>
      <c r="DG385" s="1">
        <v>0</v>
      </c>
      <c r="DH385" s="1">
        <v>3408.54</v>
      </c>
      <c r="DL385" s="1">
        <v>9886464.5899999999</v>
      </c>
      <c r="DM385" s="1">
        <v>9782712.3499999996</v>
      </c>
      <c r="DN385" s="1">
        <v>103752.24</v>
      </c>
      <c r="DO385" s="1">
        <v>3.5</v>
      </c>
      <c r="DP385" s="1" t="s">
        <v>879</v>
      </c>
      <c r="DQ385" s="1" t="s">
        <v>1370</v>
      </c>
      <c r="DS385" s="1">
        <v>-8454426.0299999993</v>
      </c>
      <c r="DT385" s="1">
        <v>-8323759.3600000003</v>
      </c>
      <c r="DU385" s="1">
        <v>-130666.67</v>
      </c>
      <c r="DV385" s="1">
        <v>5.25</v>
      </c>
      <c r="DW385" s="1" t="s">
        <v>879</v>
      </c>
      <c r="DX385" s="1" t="s">
        <v>1370</v>
      </c>
      <c r="DZ385" s="1">
        <v>-158381</v>
      </c>
      <c r="EA385" s="1">
        <v>-275253</v>
      </c>
      <c r="ED385" s="1" t="s">
        <v>50</v>
      </c>
      <c r="EE385" s="1">
        <v>69163276</v>
      </c>
      <c r="EF385" s="1" t="s">
        <v>53</v>
      </c>
      <c r="EG385" s="1" t="s">
        <v>138</v>
      </c>
      <c r="EH385" s="1" t="s">
        <v>51</v>
      </c>
      <c r="EI385" s="1" t="s">
        <v>137</v>
      </c>
      <c r="EJ385" s="1" t="s">
        <v>55</v>
      </c>
      <c r="EK385" s="1" t="s">
        <v>102</v>
      </c>
      <c r="EL385" s="1" t="s">
        <v>57</v>
      </c>
      <c r="EM385" s="1" t="s">
        <v>139</v>
      </c>
    </row>
    <row r="386" spans="1:143" x14ac:dyDescent="0.2">
      <c r="A386" s="101">
        <v>31896451</v>
      </c>
      <c r="B386" s="101">
        <v>40240981</v>
      </c>
      <c r="D386" s="1" t="s">
        <v>92</v>
      </c>
      <c r="E386" s="1" t="s">
        <v>44</v>
      </c>
      <c r="F386" s="1" t="s">
        <v>93</v>
      </c>
      <c r="AI386" s="1" t="s">
        <v>551</v>
      </c>
      <c r="AJ386" s="1" t="s">
        <v>44</v>
      </c>
      <c r="AK386" s="1" t="s">
        <v>563</v>
      </c>
      <c r="AL386" s="1" t="s">
        <v>565</v>
      </c>
      <c r="AR386" s="1" t="s">
        <v>79</v>
      </c>
      <c r="AS386" s="1" t="s">
        <v>67</v>
      </c>
      <c r="AT386" s="1">
        <v>3.6524999999999999</v>
      </c>
      <c r="AV386" s="1" t="s">
        <v>146</v>
      </c>
      <c r="AW386" s="1" t="s">
        <v>123</v>
      </c>
      <c r="AX386" s="1">
        <v>5901794</v>
      </c>
      <c r="BA386" s="1" t="s">
        <v>69</v>
      </c>
      <c r="BB386" s="1" t="s">
        <v>557</v>
      </c>
      <c r="BD386" s="1" t="s">
        <v>555</v>
      </c>
      <c r="BG386" s="1" t="s">
        <v>558</v>
      </c>
      <c r="BH386" s="1">
        <v>0</v>
      </c>
      <c r="BI386" s="1" t="s">
        <v>79</v>
      </c>
      <c r="BJ386" s="1" t="s">
        <v>71</v>
      </c>
      <c r="BK386" s="1">
        <v>5.375</v>
      </c>
      <c r="BM386" s="1" t="s">
        <v>146</v>
      </c>
      <c r="BN386" s="1" t="s">
        <v>123</v>
      </c>
      <c r="BO386" s="1" t="s">
        <v>64</v>
      </c>
      <c r="BP386" s="1">
        <v>5000000</v>
      </c>
      <c r="BS386" s="1" t="s">
        <v>69</v>
      </c>
      <c r="BT386" s="1" t="s">
        <v>557</v>
      </c>
      <c r="BV386" s="1" t="s">
        <v>555</v>
      </c>
      <c r="BY386" s="1" t="s">
        <v>558</v>
      </c>
      <c r="BZ386" s="1">
        <v>0</v>
      </c>
      <c r="CJ386" s="1">
        <v>3.3389799999999998</v>
      </c>
      <c r="CK386" s="1">
        <v>3.3364799999999999</v>
      </c>
      <c r="CL386" s="1">
        <v>3.3414799999999998</v>
      </c>
      <c r="CQ386" s="1">
        <v>0.83679999999999999</v>
      </c>
      <c r="CR386" s="1">
        <v>-41290.382771287099</v>
      </c>
      <c r="CS386" s="1">
        <v>-41576.660000000003</v>
      </c>
      <c r="CT386" s="1">
        <v>-41004.1</v>
      </c>
      <c r="CU386" s="1">
        <v>-0.6996</v>
      </c>
      <c r="CZ386" s="1">
        <v>-41290.379999999997</v>
      </c>
      <c r="DA386" s="1">
        <v>-41290.379999999997</v>
      </c>
      <c r="DB386" s="1">
        <v>-37477.019999999997</v>
      </c>
      <c r="DC386" s="1">
        <v>-3813.37</v>
      </c>
      <c r="DD386" s="2">
        <v>-1166.3399999999999</v>
      </c>
      <c r="DG386" s="1">
        <v>0</v>
      </c>
      <c r="DH386" s="1">
        <v>1161.1099999999999</v>
      </c>
      <c r="DL386" s="1">
        <v>6086723.7800000003</v>
      </c>
      <c r="DM386" s="1">
        <v>6078939.5599999996</v>
      </c>
      <c r="DN386" s="1">
        <v>7784.22</v>
      </c>
      <c r="DO386" s="1">
        <v>3.6524999999999999</v>
      </c>
      <c r="DP386" s="1" t="s">
        <v>998</v>
      </c>
      <c r="DQ386" s="1" t="s">
        <v>123</v>
      </c>
      <c r="DS386" s="1">
        <v>-5127922.25</v>
      </c>
      <c r="DT386" s="1">
        <v>-5118217.3899999997</v>
      </c>
      <c r="DU386" s="1">
        <v>-9704.86</v>
      </c>
      <c r="DV386" s="1">
        <v>5.375</v>
      </c>
      <c r="DW386" s="1" t="s">
        <v>998</v>
      </c>
      <c r="DX386" s="1" t="s">
        <v>123</v>
      </c>
      <c r="DZ386" s="1">
        <v>-21818</v>
      </c>
      <c r="EA386" s="1">
        <v>-60762</v>
      </c>
      <c r="ED386" s="1" t="s">
        <v>50</v>
      </c>
      <c r="EE386" s="1">
        <v>69063721</v>
      </c>
      <c r="EF386" s="1" t="s">
        <v>53</v>
      </c>
      <c r="EG386" s="1" t="s">
        <v>148</v>
      </c>
      <c r="EH386" s="1" t="s">
        <v>51</v>
      </c>
      <c r="EI386" s="1" t="s">
        <v>147</v>
      </c>
      <c r="EJ386" s="1" t="s">
        <v>55</v>
      </c>
      <c r="EK386" s="1" t="s">
        <v>96</v>
      </c>
      <c r="EL386" s="1" t="s">
        <v>57</v>
      </c>
      <c r="EM386" s="1" t="s">
        <v>149</v>
      </c>
    </row>
    <row r="387" spans="1:143" x14ac:dyDescent="0.2">
      <c r="A387" s="101">
        <v>31896453</v>
      </c>
      <c r="B387" s="101">
        <v>40240983</v>
      </c>
      <c r="D387" s="1" t="s">
        <v>75</v>
      </c>
      <c r="E387" s="1" t="s">
        <v>44</v>
      </c>
      <c r="F387" s="1" t="s">
        <v>93</v>
      </c>
      <c r="AI387" s="1" t="s">
        <v>551</v>
      </c>
      <c r="AJ387" s="1" t="s">
        <v>44</v>
      </c>
      <c r="AK387" s="1" t="s">
        <v>563</v>
      </c>
      <c r="AL387" s="1" t="s">
        <v>565</v>
      </c>
      <c r="AR387" s="1" t="s">
        <v>79</v>
      </c>
      <c r="AS387" s="1" t="s">
        <v>67</v>
      </c>
      <c r="AT387" s="1">
        <v>3.6230000000000002</v>
      </c>
      <c r="AV387" s="1" t="s">
        <v>146</v>
      </c>
      <c r="AW387" s="1" t="s">
        <v>123</v>
      </c>
      <c r="AX387" s="1">
        <v>8505611</v>
      </c>
      <c r="BA387" s="1" t="s">
        <v>69</v>
      </c>
      <c r="BB387" s="1" t="s">
        <v>557</v>
      </c>
      <c r="BD387" s="1" t="s">
        <v>555</v>
      </c>
      <c r="BG387" s="1" t="s">
        <v>558</v>
      </c>
      <c r="BH387" s="1">
        <v>0</v>
      </c>
      <c r="BI387" s="1" t="s">
        <v>79</v>
      </c>
      <c r="BJ387" s="1" t="s">
        <v>71</v>
      </c>
      <c r="BK387" s="1">
        <v>5.375</v>
      </c>
      <c r="BM387" s="1" t="s">
        <v>146</v>
      </c>
      <c r="BN387" s="1" t="s">
        <v>123</v>
      </c>
      <c r="BO387" s="1" t="s">
        <v>64</v>
      </c>
      <c r="BP387" s="1">
        <v>7200000</v>
      </c>
      <c r="BS387" s="1" t="s">
        <v>69</v>
      </c>
      <c r="BT387" s="1" t="s">
        <v>557</v>
      </c>
      <c r="BV387" s="1" t="s">
        <v>555</v>
      </c>
      <c r="BY387" s="1" t="s">
        <v>558</v>
      </c>
      <c r="BZ387" s="1">
        <v>0</v>
      </c>
      <c r="CJ387" s="1">
        <v>3.3379400000000001</v>
      </c>
      <c r="CK387" s="1">
        <v>3.3354400000000002</v>
      </c>
      <c r="CL387" s="1">
        <v>3.3404400000000001</v>
      </c>
      <c r="CQ387" s="1">
        <v>0.83679999999999999</v>
      </c>
      <c r="CR387" s="1">
        <v>-57079.0530175846</v>
      </c>
      <c r="CS387" s="1">
        <v>-57491.64</v>
      </c>
      <c r="CT387" s="1">
        <v>-56666.47</v>
      </c>
      <c r="CU387" s="1">
        <v>-0.67110000000000003</v>
      </c>
      <c r="CZ387" s="1">
        <v>-57079.05</v>
      </c>
      <c r="DA387" s="1">
        <v>-57079.05</v>
      </c>
      <c r="DB387" s="1">
        <v>-51506.47</v>
      </c>
      <c r="DC387" s="1">
        <v>-5572.59</v>
      </c>
      <c r="DD387" s="2">
        <v>-1680.22</v>
      </c>
      <c r="DG387" s="1">
        <v>0</v>
      </c>
      <c r="DH387" s="1">
        <v>1672</v>
      </c>
      <c r="DL387" s="1">
        <v>8767261.3499999996</v>
      </c>
      <c r="DM387" s="1">
        <v>8756133.4100000001</v>
      </c>
      <c r="DN387" s="1">
        <v>11127.94</v>
      </c>
      <c r="DO387" s="1">
        <v>3.6230000000000002</v>
      </c>
      <c r="DP387" s="1" t="s">
        <v>998</v>
      </c>
      <c r="DQ387" s="1" t="s">
        <v>123</v>
      </c>
      <c r="DS387" s="1">
        <v>-7384208.0499999998</v>
      </c>
      <c r="DT387" s="1">
        <v>-7370233.0499999998</v>
      </c>
      <c r="DU387" s="1">
        <v>-13975</v>
      </c>
      <c r="DV387" s="1">
        <v>5.375</v>
      </c>
      <c r="DW387" s="1" t="s">
        <v>998</v>
      </c>
      <c r="DX387" s="1" t="s">
        <v>123</v>
      </c>
      <c r="DZ387" s="1">
        <v>-29037</v>
      </c>
      <c r="EA387" s="1">
        <v>-85121</v>
      </c>
      <c r="ED387" s="1" t="s">
        <v>50</v>
      </c>
      <c r="EE387" s="1">
        <v>69015063</v>
      </c>
      <c r="EF387" s="1" t="s">
        <v>53</v>
      </c>
      <c r="EG387" s="1" t="s">
        <v>155</v>
      </c>
      <c r="EH387" s="1" t="s">
        <v>51</v>
      </c>
      <c r="EI387" s="1" t="s">
        <v>154</v>
      </c>
      <c r="EJ387" s="1" t="s">
        <v>55</v>
      </c>
      <c r="EK387" s="1" t="s">
        <v>102</v>
      </c>
      <c r="EL387" s="1" t="s">
        <v>57</v>
      </c>
      <c r="EM387" s="1" t="s">
        <v>156</v>
      </c>
    </row>
    <row r="388" spans="1:143" x14ac:dyDescent="0.2">
      <c r="A388" s="101">
        <v>31896489</v>
      </c>
      <c r="B388" s="101">
        <v>40241008</v>
      </c>
      <c r="D388" s="1" t="s">
        <v>92</v>
      </c>
      <c r="E388" s="1" t="s">
        <v>44</v>
      </c>
      <c r="F388" s="1" t="s">
        <v>93</v>
      </c>
      <c r="AI388" s="1" t="s">
        <v>551</v>
      </c>
      <c r="AJ388" s="1" t="s">
        <v>44</v>
      </c>
      <c r="AK388" s="1" t="s">
        <v>563</v>
      </c>
      <c r="AL388" s="1" t="s">
        <v>565</v>
      </c>
      <c r="AR388" s="1" t="s">
        <v>79</v>
      </c>
      <c r="AS388" s="1" t="s">
        <v>67</v>
      </c>
      <c r="AT388" s="1">
        <v>3.64</v>
      </c>
      <c r="AV388" s="1" t="s">
        <v>111</v>
      </c>
      <c r="AW388" s="1" t="s">
        <v>112</v>
      </c>
      <c r="AX388" s="1">
        <v>17674090</v>
      </c>
      <c r="BA388" s="1" t="s">
        <v>69</v>
      </c>
      <c r="BB388" s="1" t="s">
        <v>557</v>
      </c>
      <c r="BD388" s="1" t="s">
        <v>555</v>
      </c>
      <c r="BG388" s="1" t="s">
        <v>558</v>
      </c>
      <c r="BH388" s="1">
        <v>0</v>
      </c>
      <c r="BI388" s="1" t="s">
        <v>79</v>
      </c>
      <c r="BJ388" s="1" t="s">
        <v>71</v>
      </c>
      <c r="BK388" s="1">
        <v>5.25</v>
      </c>
      <c r="BM388" s="1" t="s">
        <v>111</v>
      </c>
      <c r="BN388" s="1" t="s">
        <v>112</v>
      </c>
      <c r="BO388" s="1" t="s">
        <v>64</v>
      </c>
      <c r="BP388" s="1">
        <v>15000000</v>
      </c>
      <c r="BS388" s="1" t="s">
        <v>69</v>
      </c>
      <c r="BT388" s="1" t="s">
        <v>557</v>
      </c>
      <c r="BV388" s="1" t="s">
        <v>555</v>
      </c>
      <c r="BY388" s="1" t="s">
        <v>558</v>
      </c>
      <c r="BZ388" s="1">
        <v>0</v>
      </c>
      <c r="CJ388" s="1">
        <v>3.3967100000000001</v>
      </c>
      <c r="CK388" s="1">
        <v>3.3942100000000002</v>
      </c>
      <c r="CL388" s="1">
        <v>3.3992100000000001</v>
      </c>
      <c r="CQ388" s="1">
        <v>0.83679999999999999</v>
      </c>
      <c r="CR388" s="1">
        <v>-183176.75019643499</v>
      </c>
      <c r="CS388" s="1">
        <v>-184864.05</v>
      </c>
      <c r="CT388" s="1">
        <v>-181489.45</v>
      </c>
      <c r="CU388" s="1">
        <v>-1.0364</v>
      </c>
      <c r="CZ388" s="1">
        <v>-183176.75</v>
      </c>
      <c r="DA388" s="1">
        <v>-183176.75</v>
      </c>
      <c r="DB388" s="1">
        <v>-94118.06</v>
      </c>
      <c r="DC388" s="1">
        <v>-89058.69</v>
      </c>
      <c r="DD388" s="2">
        <v>-6500.8</v>
      </c>
      <c r="DG388" s="1">
        <v>0</v>
      </c>
      <c r="DH388" s="1">
        <v>6391.01</v>
      </c>
      <c r="DL388" s="1">
        <v>18760476.210000001</v>
      </c>
      <c r="DM388" s="1">
        <v>18556752.859999999</v>
      </c>
      <c r="DN388" s="1">
        <v>203723.34</v>
      </c>
      <c r="DO388" s="1">
        <v>3.64</v>
      </c>
      <c r="DP388" s="1" t="s">
        <v>879</v>
      </c>
      <c r="DQ388" s="1" t="s">
        <v>1370</v>
      </c>
      <c r="DS388" s="1">
        <v>-15852048.789999999</v>
      </c>
      <c r="DT388" s="1">
        <v>-15607048.789999999</v>
      </c>
      <c r="DU388" s="1">
        <v>-245000</v>
      </c>
      <c r="DV388" s="1">
        <v>5.25</v>
      </c>
      <c r="DW388" s="1" t="s">
        <v>879</v>
      </c>
      <c r="DX388" s="1" t="s">
        <v>1370</v>
      </c>
      <c r="DZ388" s="1">
        <v>-72770</v>
      </c>
      <c r="EA388" s="1">
        <v>-293583</v>
      </c>
      <c r="ED388" s="1" t="s">
        <v>50</v>
      </c>
      <c r="EE388" s="1">
        <v>69146070</v>
      </c>
      <c r="EF388" s="1" t="s">
        <v>53</v>
      </c>
      <c r="EG388" s="1" t="s">
        <v>163</v>
      </c>
      <c r="EH388" s="1" t="s">
        <v>51</v>
      </c>
      <c r="EI388" s="1" t="s">
        <v>162</v>
      </c>
      <c r="EJ388" s="1" t="s">
        <v>55</v>
      </c>
      <c r="EK388" s="1" t="s">
        <v>96</v>
      </c>
      <c r="EL388" s="1" t="s">
        <v>57</v>
      </c>
      <c r="EM388" s="1" t="s">
        <v>164</v>
      </c>
    </row>
    <row r="389" spans="1:143" x14ac:dyDescent="0.2">
      <c r="A389" s="101">
        <v>31896857</v>
      </c>
      <c r="B389" s="101">
        <v>40241022</v>
      </c>
      <c r="D389" s="1" t="s">
        <v>92</v>
      </c>
      <c r="E389" s="1" t="s">
        <v>44</v>
      </c>
      <c r="F389" s="1" t="s">
        <v>93</v>
      </c>
      <c r="AI389" s="1" t="s">
        <v>551</v>
      </c>
      <c r="AJ389" s="1" t="s">
        <v>44</v>
      </c>
      <c r="AK389" s="1" t="s">
        <v>563</v>
      </c>
      <c r="AL389" s="1" t="s">
        <v>565</v>
      </c>
      <c r="AR389" s="1" t="s">
        <v>79</v>
      </c>
      <c r="AS389" s="1" t="s">
        <v>67</v>
      </c>
      <c r="AT389" s="1">
        <v>3.3149999999999999</v>
      </c>
      <c r="AV389" s="1" t="s">
        <v>168</v>
      </c>
      <c r="AW389" s="1" t="s">
        <v>123</v>
      </c>
      <c r="AX389" s="1">
        <v>8719183</v>
      </c>
      <c r="BA389" s="1" t="s">
        <v>69</v>
      </c>
      <c r="BB389" s="1" t="s">
        <v>557</v>
      </c>
      <c r="BD389" s="1" t="s">
        <v>555</v>
      </c>
      <c r="BG389" s="1" t="s">
        <v>558</v>
      </c>
      <c r="BH389" s="1">
        <v>0</v>
      </c>
      <c r="BI389" s="1" t="s">
        <v>79</v>
      </c>
      <c r="BJ389" s="1" t="s">
        <v>71</v>
      </c>
      <c r="BK389" s="1">
        <v>5.375</v>
      </c>
      <c r="BM389" s="1" t="s">
        <v>168</v>
      </c>
      <c r="BN389" s="1" t="s">
        <v>123</v>
      </c>
      <c r="BO389" s="1" t="s">
        <v>64</v>
      </c>
      <c r="BP389" s="1">
        <v>7250000</v>
      </c>
      <c r="BS389" s="1" t="s">
        <v>69</v>
      </c>
      <c r="BT389" s="1" t="s">
        <v>560</v>
      </c>
      <c r="BV389" s="1" t="s">
        <v>555</v>
      </c>
      <c r="BY389" s="1" t="s">
        <v>558</v>
      </c>
      <c r="BZ389" s="1">
        <v>0</v>
      </c>
      <c r="CJ389" s="1">
        <v>3.3095300000000001</v>
      </c>
      <c r="CK389" s="1">
        <v>3.3070300000000001</v>
      </c>
      <c r="CL389" s="1">
        <v>3.31203</v>
      </c>
      <c r="CQ389" s="1">
        <v>0.83679999999999999</v>
      </c>
      <c r="CR389" s="1">
        <v>49675.7206718046</v>
      </c>
      <c r="CS389" s="1">
        <v>49252.77</v>
      </c>
      <c r="CT389" s="1">
        <v>50098.67</v>
      </c>
      <c r="CU389" s="1">
        <v>0.56969999999999998</v>
      </c>
      <c r="CZ389" s="1">
        <v>49675.72</v>
      </c>
      <c r="DA389" s="1">
        <v>49675.72</v>
      </c>
      <c r="DB389" s="1">
        <v>55824.27</v>
      </c>
      <c r="DC389" s="1">
        <v>-6148.55</v>
      </c>
      <c r="DD389" s="2">
        <v>-1714.86</v>
      </c>
      <c r="DG389" s="1">
        <v>0</v>
      </c>
      <c r="DH389" s="1">
        <v>1683.61</v>
      </c>
      <c r="DL389" s="1">
        <v>8935296.2599999998</v>
      </c>
      <c r="DM389" s="1">
        <v>8924858.6699999999</v>
      </c>
      <c r="DN389" s="1">
        <v>10437.59</v>
      </c>
      <c r="DO389" s="1">
        <v>3.3149999999999999</v>
      </c>
      <c r="DP389" s="1" t="s">
        <v>998</v>
      </c>
      <c r="DQ389" s="1" t="s">
        <v>123</v>
      </c>
      <c r="DS389" s="1">
        <v>-7435487.2699999996</v>
      </c>
      <c r="DT389" s="1">
        <v>-7421607.9900000002</v>
      </c>
      <c r="DU389" s="1">
        <v>-13879.28</v>
      </c>
      <c r="DV389" s="1">
        <v>5.375</v>
      </c>
      <c r="DW389" s="1" t="s">
        <v>998</v>
      </c>
      <c r="DX389" s="1" t="s">
        <v>123</v>
      </c>
      <c r="DZ389" s="1">
        <v>78053</v>
      </c>
      <c r="EA389" s="1">
        <v>21299</v>
      </c>
      <c r="ED389" s="1" t="s">
        <v>50</v>
      </c>
      <c r="EE389" s="1">
        <v>69245196</v>
      </c>
      <c r="EF389" s="1" t="s">
        <v>53</v>
      </c>
      <c r="EG389" s="1" t="s">
        <v>170</v>
      </c>
      <c r="EH389" s="1" t="s">
        <v>51</v>
      </c>
      <c r="EI389" s="1" t="s">
        <v>169</v>
      </c>
      <c r="EJ389" s="1" t="s">
        <v>55</v>
      </c>
      <c r="EK389" s="1" t="s">
        <v>96</v>
      </c>
      <c r="EL389" s="1" t="s">
        <v>57</v>
      </c>
      <c r="EM389" s="1" t="s">
        <v>171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3"/>
  <dimension ref="A1:EG35"/>
  <sheetViews>
    <sheetView zoomScale="85" zoomScaleNormal="85" workbookViewId="0">
      <pane xSplit="5" ySplit="6" topLeftCell="AO7" activePane="bottomRight" state="frozen"/>
      <selection activeCell="C62" sqref="C62"/>
      <selection pane="topRight" activeCell="C62" sqref="C62"/>
      <selection pane="bottomLeft" activeCell="C62" sqref="C62"/>
      <selection pane="bottomRight" activeCell="AT7" sqref="AT7:AU33"/>
    </sheetView>
  </sheetViews>
  <sheetFormatPr baseColWidth="10" defaultColWidth="9.140625" defaultRowHeight="12" x14ac:dyDescent="0.2"/>
  <cols>
    <col min="1" max="1" width="19.85546875" style="101" customWidth="1"/>
    <col min="2" max="3" width="22" style="101" customWidth="1"/>
    <col min="4" max="4" width="18.42578125" style="1" bestFit="1" customWidth="1"/>
    <col min="5" max="6" width="16.42578125" style="1" customWidth="1"/>
    <col min="7" max="18" width="14.42578125" style="1" customWidth="1"/>
    <col min="19" max="19" width="18.28515625" style="1" customWidth="1"/>
    <col min="20" max="35" width="14.42578125" style="1" customWidth="1"/>
    <col min="36" max="36" width="17.7109375" style="1" customWidth="1"/>
    <col min="37" max="39" width="14.42578125" style="1" customWidth="1"/>
    <col min="40" max="40" width="13.28515625" style="1" bestFit="1" customWidth="1"/>
    <col min="41" max="45" width="12.42578125" style="1" customWidth="1"/>
    <col min="46" max="46" width="17.7109375" style="2" bestFit="1" customWidth="1"/>
    <col min="47" max="47" width="12.42578125" style="1" customWidth="1"/>
    <col min="48" max="48" width="13.7109375" style="1" customWidth="1"/>
    <col min="49" max="49" width="15.5703125" style="1" customWidth="1"/>
    <col min="50" max="53" width="13.7109375" style="1" customWidth="1"/>
    <col min="54" max="55" width="12.42578125" style="1" customWidth="1"/>
    <col min="56" max="56" width="14.85546875" style="1" customWidth="1"/>
    <col min="57" max="57" width="12.42578125" style="1" customWidth="1"/>
    <col min="58" max="59" width="13.42578125" style="1" customWidth="1"/>
    <col min="60" max="60" width="17" style="1" customWidth="1"/>
    <col min="61" max="62" width="12.42578125" style="1" customWidth="1"/>
    <col min="63" max="63" width="16.42578125" style="1" customWidth="1"/>
    <col min="64" max="64" width="12.42578125" style="1" customWidth="1"/>
    <col min="65" max="65" width="13.42578125" style="1" customWidth="1"/>
    <col min="66" max="66" width="12.42578125" style="1" customWidth="1"/>
    <col min="67" max="68" width="11.7109375" style="1" customWidth="1"/>
    <col min="69" max="69" width="11.42578125" style="1" customWidth="1"/>
    <col min="70" max="70" width="12.42578125" style="1" customWidth="1"/>
    <col min="71" max="71" width="16.42578125" style="1" customWidth="1"/>
    <col min="72" max="72" width="12.42578125" style="1" customWidth="1"/>
    <col min="73" max="73" width="13.42578125" style="1" customWidth="1"/>
    <col min="74" max="74" width="12.42578125" style="1" customWidth="1"/>
    <col min="75" max="76" width="11.7109375" style="1" customWidth="1"/>
    <col min="77" max="77" width="11.42578125" style="1" customWidth="1"/>
    <col min="78" max="78" width="12.42578125" style="1" customWidth="1"/>
    <col min="79" max="79" width="16.42578125" style="1" customWidth="1"/>
    <col min="80" max="80" width="12.42578125" style="1" customWidth="1"/>
    <col min="81" max="81" width="13.42578125" style="1" customWidth="1"/>
    <col min="82" max="82" width="12.42578125" style="1" customWidth="1"/>
    <col min="83" max="84" width="11.7109375" style="1" customWidth="1"/>
    <col min="85" max="85" width="11.42578125" style="1" customWidth="1"/>
    <col min="86" max="86" width="83.42578125" style="1" customWidth="1"/>
    <col min="87" max="87" width="11.42578125" style="1" customWidth="1"/>
    <col min="88" max="88" width="16.140625" style="1" hidden="1" customWidth="1"/>
    <col min="89" max="89" width="16.5703125" style="1" hidden="1" customWidth="1"/>
    <col min="90" max="90" width="16.7109375" style="1" hidden="1" customWidth="1"/>
    <col min="91" max="91" width="15.42578125" style="1" hidden="1" customWidth="1"/>
    <col min="92" max="92" width="14.85546875" style="1" customWidth="1"/>
    <col min="93" max="93" width="17.140625" style="1" customWidth="1"/>
    <col min="94" max="94" width="16.7109375" style="1" customWidth="1"/>
    <col min="95" max="95" width="16.5703125" style="1" customWidth="1"/>
    <col min="96" max="96" width="16.28515625" style="1" customWidth="1"/>
    <col min="97" max="97" width="14.85546875" style="1" customWidth="1"/>
    <col min="98" max="98" width="16.140625" style="1" customWidth="1"/>
    <col min="99" max="99" width="16" style="1" customWidth="1"/>
    <col min="100" max="100" width="15.5703125" style="1" customWidth="1"/>
    <col min="101" max="101" width="16.28515625" style="1" customWidth="1"/>
    <col min="102" max="102" width="17.140625" style="1" customWidth="1"/>
    <col min="103" max="103" width="16.28515625" style="1" customWidth="1"/>
    <col min="104" max="104" width="15.7109375" style="1" customWidth="1"/>
    <col min="105" max="105" width="15.42578125" style="1" customWidth="1"/>
    <col min="106" max="208" width="9.140625" style="1"/>
    <col min="209" max="209" width="19.85546875" style="1" customWidth="1"/>
    <col min="210" max="210" width="22" style="1" customWidth="1"/>
    <col min="211" max="211" width="18.42578125" style="1" customWidth="1"/>
    <col min="212" max="213" width="16.42578125" style="1" customWidth="1"/>
    <col min="214" max="214" width="18.85546875" style="1" customWidth="1"/>
    <col min="215" max="216" width="15.5703125" style="1" customWidth="1"/>
    <col min="217" max="217" width="11.28515625" style="1" customWidth="1"/>
    <col min="218" max="218" width="12.7109375" style="1" customWidth="1"/>
    <col min="219" max="223" width="14.7109375" style="1" customWidth="1"/>
    <col min="224" max="227" width="13.85546875" style="1" customWidth="1"/>
    <col min="228" max="228" width="14.28515625" style="1" customWidth="1"/>
    <col min="229" max="229" width="13.85546875" style="1" customWidth="1"/>
    <col min="230" max="242" width="13.42578125" style="1" customWidth="1"/>
    <col min="243" max="243" width="16.85546875" style="1" customWidth="1"/>
    <col min="244" max="244" width="12.42578125" style="1" customWidth="1"/>
    <col min="245" max="245" width="13.5703125" style="1" customWidth="1"/>
    <col min="246" max="249" width="12.42578125" style="1" customWidth="1"/>
    <col min="250" max="251" width="13.140625" style="1" customWidth="1"/>
    <col min="252" max="286" width="14.42578125" style="1" customWidth="1"/>
    <col min="287" max="298" width="12.42578125" style="1" customWidth="1"/>
    <col min="299" max="299" width="17.5703125" style="1" customWidth="1"/>
    <col min="300" max="300" width="15.140625" style="1" customWidth="1"/>
    <col min="301" max="302" width="15.42578125" style="1" customWidth="1"/>
    <col min="303" max="304" width="15.5703125" style="1" customWidth="1"/>
    <col min="305" max="305" width="17" style="1" customWidth="1"/>
    <col min="306" max="306" width="15.5703125" style="1" customWidth="1"/>
    <col min="307" max="307" width="17.7109375" style="1" customWidth="1"/>
    <col min="308" max="308" width="18.42578125" style="1" customWidth="1"/>
    <col min="309" max="309" width="17.5703125" style="1" customWidth="1"/>
    <col min="310" max="311" width="16" style="1" customWidth="1"/>
    <col min="312" max="315" width="12.42578125" style="1" customWidth="1"/>
    <col min="316" max="316" width="17.7109375" style="1" customWidth="1"/>
    <col min="317" max="317" width="12.42578125" style="1" customWidth="1"/>
    <col min="318" max="318" width="13.7109375" style="1" customWidth="1"/>
    <col min="319" max="319" width="15.5703125" style="1" customWidth="1"/>
    <col min="320" max="323" width="13.7109375" style="1" customWidth="1"/>
    <col min="324" max="325" width="12.42578125" style="1" customWidth="1"/>
    <col min="326" max="326" width="14.85546875" style="1" customWidth="1"/>
    <col min="327" max="327" width="12.42578125" style="1" customWidth="1"/>
    <col min="328" max="329" width="13.42578125" style="1" customWidth="1"/>
    <col min="330" max="330" width="17" style="1" customWidth="1"/>
    <col min="331" max="332" width="12.42578125" style="1" customWidth="1"/>
    <col min="333" max="333" width="16.42578125" style="1" customWidth="1"/>
    <col min="334" max="334" width="12.42578125" style="1" customWidth="1"/>
    <col min="335" max="335" width="13.42578125" style="1" customWidth="1"/>
    <col min="336" max="336" width="12.42578125" style="1" customWidth="1"/>
    <col min="337" max="338" width="11.7109375" style="1" customWidth="1"/>
    <col min="339" max="339" width="11.42578125" style="1" customWidth="1"/>
    <col min="340" max="340" width="11.7109375" style="1" customWidth="1"/>
    <col min="341" max="341" width="11.42578125" style="1" customWidth="1"/>
    <col min="342" max="343" width="15.42578125" style="1" customWidth="1"/>
    <col min="344" max="344" width="16.140625" style="1" customWidth="1"/>
    <col min="345" max="345" width="16.5703125" style="1" customWidth="1"/>
    <col min="346" max="346" width="16.7109375" style="1" customWidth="1"/>
    <col min="347" max="347" width="15.42578125" style="1" customWidth="1"/>
    <col min="348" max="348" width="14.85546875" style="1" customWidth="1"/>
    <col min="349" max="349" width="17.140625" style="1" customWidth="1"/>
    <col min="350" max="350" width="16.7109375" style="1" customWidth="1"/>
    <col min="351" max="351" width="16.5703125" style="1" customWidth="1"/>
    <col min="352" max="352" width="16.28515625" style="1" customWidth="1"/>
    <col min="353" max="353" width="14.85546875" style="1" customWidth="1"/>
    <col min="354" max="354" width="16.140625" style="1" customWidth="1"/>
    <col min="355" max="355" width="16" style="1" customWidth="1"/>
    <col min="356" max="356" width="15.5703125" style="1" customWidth="1"/>
    <col min="357" max="357" width="16.28515625" style="1" customWidth="1"/>
    <col min="358" max="358" width="17.140625" style="1" customWidth="1"/>
    <col min="359" max="359" width="16.28515625" style="1" customWidth="1"/>
    <col min="360" max="360" width="15.7109375" style="1" customWidth="1"/>
    <col min="361" max="361" width="15.42578125" style="1" customWidth="1"/>
    <col min="362" max="464" width="9.140625" style="1"/>
    <col min="465" max="465" width="19.85546875" style="1" customWidth="1"/>
    <col min="466" max="466" width="22" style="1" customWidth="1"/>
    <col min="467" max="467" width="18.42578125" style="1" customWidth="1"/>
    <col min="468" max="469" width="16.42578125" style="1" customWidth="1"/>
    <col min="470" max="470" width="18.85546875" style="1" customWidth="1"/>
    <col min="471" max="472" width="15.5703125" style="1" customWidth="1"/>
    <col min="473" max="473" width="11.28515625" style="1" customWidth="1"/>
    <col min="474" max="474" width="12.7109375" style="1" customWidth="1"/>
    <col min="475" max="479" width="14.7109375" style="1" customWidth="1"/>
    <col min="480" max="483" width="13.85546875" style="1" customWidth="1"/>
    <col min="484" max="484" width="14.28515625" style="1" customWidth="1"/>
    <col min="485" max="485" width="13.85546875" style="1" customWidth="1"/>
    <col min="486" max="498" width="13.42578125" style="1" customWidth="1"/>
    <col min="499" max="499" width="16.85546875" style="1" customWidth="1"/>
    <col min="500" max="500" width="12.42578125" style="1" customWidth="1"/>
    <col min="501" max="501" width="13.5703125" style="1" customWidth="1"/>
    <col min="502" max="505" width="12.42578125" style="1" customWidth="1"/>
    <col min="506" max="507" width="13.140625" style="1" customWidth="1"/>
    <col min="508" max="542" width="14.42578125" style="1" customWidth="1"/>
    <col min="543" max="554" width="12.42578125" style="1" customWidth="1"/>
    <col min="555" max="555" width="17.5703125" style="1" customWidth="1"/>
    <col min="556" max="556" width="15.140625" style="1" customWidth="1"/>
    <col min="557" max="558" width="15.42578125" style="1" customWidth="1"/>
    <col min="559" max="560" width="15.5703125" style="1" customWidth="1"/>
    <col min="561" max="561" width="17" style="1" customWidth="1"/>
    <col min="562" max="562" width="15.5703125" style="1" customWidth="1"/>
    <col min="563" max="563" width="17.7109375" style="1" customWidth="1"/>
    <col min="564" max="564" width="18.42578125" style="1" customWidth="1"/>
    <col min="565" max="565" width="17.5703125" style="1" customWidth="1"/>
    <col min="566" max="567" width="16" style="1" customWidth="1"/>
    <col min="568" max="571" width="12.42578125" style="1" customWidth="1"/>
    <col min="572" max="572" width="17.7109375" style="1" customWidth="1"/>
    <col min="573" max="573" width="12.42578125" style="1" customWidth="1"/>
    <col min="574" max="574" width="13.7109375" style="1" customWidth="1"/>
    <col min="575" max="575" width="15.5703125" style="1" customWidth="1"/>
    <col min="576" max="579" width="13.7109375" style="1" customWidth="1"/>
    <col min="580" max="581" width="12.42578125" style="1" customWidth="1"/>
    <col min="582" max="582" width="14.85546875" style="1" customWidth="1"/>
    <col min="583" max="583" width="12.42578125" style="1" customWidth="1"/>
    <col min="584" max="585" width="13.42578125" style="1" customWidth="1"/>
    <col min="586" max="586" width="17" style="1" customWidth="1"/>
    <col min="587" max="588" width="12.42578125" style="1" customWidth="1"/>
    <col min="589" max="589" width="16.42578125" style="1" customWidth="1"/>
    <col min="590" max="590" width="12.42578125" style="1" customWidth="1"/>
    <col min="591" max="591" width="13.42578125" style="1" customWidth="1"/>
    <col min="592" max="592" width="12.42578125" style="1" customWidth="1"/>
    <col min="593" max="594" width="11.7109375" style="1" customWidth="1"/>
    <col min="595" max="595" width="11.42578125" style="1" customWidth="1"/>
    <col min="596" max="596" width="11.7109375" style="1" customWidth="1"/>
    <col min="597" max="597" width="11.42578125" style="1" customWidth="1"/>
    <col min="598" max="599" width="15.42578125" style="1" customWidth="1"/>
    <col min="600" max="600" width="16.140625" style="1" customWidth="1"/>
    <col min="601" max="601" width="16.5703125" style="1" customWidth="1"/>
    <col min="602" max="602" width="16.7109375" style="1" customWidth="1"/>
    <col min="603" max="603" width="15.42578125" style="1" customWidth="1"/>
    <col min="604" max="604" width="14.85546875" style="1" customWidth="1"/>
    <col min="605" max="605" width="17.140625" style="1" customWidth="1"/>
    <col min="606" max="606" width="16.7109375" style="1" customWidth="1"/>
    <col min="607" max="607" width="16.5703125" style="1" customWidth="1"/>
    <col min="608" max="608" width="16.28515625" style="1" customWidth="1"/>
    <col min="609" max="609" width="14.85546875" style="1" customWidth="1"/>
    <col min="610" max="610" width="16.140625" style="1" customWidth="1"/>
    <col min="611" max="611" width="16" style="1" customWidth="1"/>
    <col min="612" max="612" width="15.5703125" style="1" customWidth="1"/>
    <col min="613" max="613" width="16.28515625" style="1" customWidth="1"/>
    <col min="614" max="614" width="17.140625" style="1" customWidth="1"/>
    <col min="615" max="615" width="16.28515625" style="1" customWidth="1"/>
    <col min="616" max="616" width="15.7109375" style="1" customWidth="1"/>
    <col min="617" max="617" width="15.42578125" style="1" customWidth="1"/>
    <col min="618" max="720" width="9.140625" style="1"/>
    <col min="721" max="721" width="19.85546875" style="1" customWidth="1"/>
    <col min="722" max="722" width="22" style="1" customWidth="1"/>
    <col min="723" max="723" width="18.42578125" style="1" customWidth="1"/>
    <col min="724" max="725" width="16.42578125" style="1" customWidth="1"/>
    <col min="726" max="726" width="18.85546875" style="1" customWidth="1"/>
    <col min="727" max="728" width="15.5703125" style="1" customWidth="1"/>
    <col min="729" max="729" width="11.28515625" style="1" customWidth="1"/>
    <col min="730" max="730" width="12.7109375" style="1" customWidth="1"/>
    <col min="731" max="735" width="14.7109375" style="1" customWidth="1"/>
    <col min="736" max="739" width="13.85546875" style="1" customWidth="1"/>
    <col min="740" max="740" width="14.28515625" style="1" customWidth="1"/>
    <col min="741" max="741" width="13.85546875" style="1" customWidth="1"/>
    <col min="742" max="754" width="13.42578125" style="1" customWidth="1"/>
    <col min="755" max="755" width="16.85546875" style="1" customWidth="1"/>
    <col min="756" max="756" width="12.42578125" style="1" customWidth="1"/>
    <col min="757" max="757" width="13.5703125" style="1" customWidth="1"/>
    <col min="758" max="761" width="12.42578125" style="1" customWidth="1"/>
    <col min="762" max="763" width="13.140625" style="1" customWidth="1"/>
    <col min="764" max="798" width="14.42578125" style="1" customWidth="1"/>
    <col min="799" max="810" width="12.42578125" style="1" customWidth="1"/>
    <col min="811" max="811" width="17.5703125" style="1" customWidth="1"/>
    <col min="812" max="812" width="15.140625" style="1" customWidth="1"/>
    <col min="813" max="814" width="15.42578125" style="1" customWidth="1"/>
    <col min="815" max="816" width="15.5703125" style="1" customWidth="1"/>
    <col min="817" max="817" width="17" style="1" customWidth="1"/>
    <col min="818" max="818" width="15.5703125" style="1" customWidth="1"/>
    <col min="819" max="819" width="17.7109375" style="1" customWidth="1"/>
    <col min="820" max="820" width="18.42578125" style="1" customWidth="1"/>
    <col min="821" max="821" width="17.5703125" style="1" customWidth="1"/>
    <col min="822" max="823" width="16" style="1" customWidth="1"/>
    <col min="824" max="827" width="12.42578125" style="1" customWidth="1"/>
    <col min="828" max="828" width="17.7109375" style="1" customWidth="1"/>
    <col min="829" max="829" width="12.42578125" style="1" customWidth="1"/>
    <col min="830" max="830" width="13.7109375" style="1" customWidth="1"/>
    <col min="831" max="831" width="15.5703125" style="1" customWidth="1"/>
    <col min="832" max="835" width="13.7109375" style="1" customWidth="1"/>
    <col min="836" max="837" width="12.42578125" style="1" customWidth="1"/>
    <col min="838" max="838" width="14.85546875" style="1" customWidth="1"/>
    <col min="839" max="839" width="12.42578125" style="1" customWidth="1"/>
    <col min="840" max="841" width="13.42578125" style="1" customWidth="1"/>
    <col min="842" max="842" width="17" style="1" customWidth="1"/>
    <col min="843" max="844" width="12.42578125" style="1" customWidth="1"/>
    <col min="845" max="845" width="16.42578125" style="1" customWidth="1"/>
    <col min="846" max="846" width="12.42578125" style="1" customWidth="1"/>
    <col min="847" max="847" width="13.42578125" style="1" customWidth="1"/>
    <col min="848" max="848" width="12.42578125" style="1" customWidth="1"/>
    <col min="849" max="850" width="11.7109375" style="1" customWidth="1"/>
    <col min="851" max="851" width="11.42578125" style="1" customWidth="1"/>
    <col min="852" max="852" width="11.7109375" style="1" customWidth="1"/>
    <col min="853" max="853" width="11.42578125" style="1" customWidth="1"/>
    <col min="854" max="855" width="15.42578125" style="1" customWidth="1"/>
    <col min="856" max="856" width="16.140625" style="1" customWidth="1"/>
    <col min="857" max="857" width="16.5703125" style="1" customWidth="1"/>
    <col min="858" max="858" width="16.7109375" style="1" customWidth="1"/>
    <col min="859" max="859" width="15.42578125" style="1" customWidth="1"/>
    <col min="860" max="860" width="14.85546875" style="1" customWidth="1"/>
    <col min="861" max="861" width="17.140625" style="1" customWidth="1"/>
    <col min="862" max="862" width="16.7109375" style="1" customWidth="1"/>
    <col min="863" max="863" width="16.5703125" style="1" customWidth="1"/>
    <col min="864" max="864" width="16.28515625" style="1" customWidth="1"/>
    <col min="865" max="865" width="14.85546875" style="1" customWidth="1"/>
    <col min="866" max="866" width="16.140625" style="1" customWidth="1"/>
    <col min="867" max="867" width="16" style="1" customWidth="1"/>
    <col min="868" max="868" width="15.5703125" style="1" customWidth="1"/>
    <col min="869" max="869" width="16.28515625" style="1" customWidth="1"/>
    <col min="870" max="870" width="17.140625" style="1" customWidth="1"/>
    <col min="871" max="871" width="16.28515625" style="1" customWidth="1"/>
    <col min="872" max="872" width="15.7109375" style="1" customWidth="1"/>
    <col min="873" max="873" width="15.42578125" style="1" customWidth="1"/>
    <col min="874" max="976" width="9.140625" style="1"/>
    <col min="977" max="977" width="19.85546875" style="1" customWidth="1"/>
    <col min="978" max="978" width="22" style="1" customWidth="1"/>
    <col min="979" max="979" width="18.42578125" style="1" customWidth="1"/>
    <col min="980" max="981" width="16.42578125" style="1" customWidth="1"/>
    <col min="982" max="982" width="18.85546875" style="1" customWidth="1"/>
    <col min="983" max="984" width="15.5703125" style="1" customWidth="1"/>
    <col min="985" max="985" width="11.28515625" style="1" customWidth="1"/>
    <col min="986" max="986" width="12.7109375" style="1" customWidth="1"/>
    <col min="987" max="991" width="14.7109375" style="1" customWidth="1"/>
    <col min="992" max="995" width="13.85546875" style="1" customWidth="1"/>
    <col min="996" max="996" width="14.28515625" style="1" customWidth="1"/>
    <col min="997" max="997" width="13.85546875" style="1" customWidth="1"/>
    <col min="998" max="1010" width="13.42578125" style="1" customWidth="1"/>
    <col min="1011" max="1011" width="16.85546875" style="1" customWidth="1"/>
    <col min="1012" max="1012" width="12.42578125" style="1" customWidth="1"/>
    <col min="1013" max="1013" width="13.5703125" style="1" customWidth="1"/>
    <col min="1014" max="1017" width="12.42578125" style="1" customWidth="1"/>
    <col min="1018" max="1019" width="13.140625" style="1" customWidth="1"/>
    <col min="1020" max="1054" width="14.42578125" style="1" customWidth="1"/>
    <col min="1055" max="1066" width="12.42578125" style="1" customWidth="1"/>
    <col min="1067" max="1067" width="17.5703125" style="1" customWidth="1"/>
    <col min="1068" max="1068" width="15.140625" style="1" customWidth="1"/>
    <col min="1069" max="1070" width="15.42578125" style="1" customWidth="1"/>
    <col min="1071" max="1072" width="15.5703125" style="1" customWidth="1"/>
    <col min="1073" max="1073" width="17" style="1" customWidth="1"/>
    <col min="1074" max="1074" width="15.5703125" style="1" customWidth="1"/>
    <col min="1075" max="1075" width="17.7109375" style="1" customWidth="1"/>
    <col min="1076" max="1076" width="18.42578125" style="1" customWidth="1"/>
    <col min="1077" max="1077" width="17.5703125" style="1" customWidth="1"/>
    <col min="1078" max="1079" width="16" style="1" customWidth="1"/>
    <col min="1080" max="1083" width="12.42578125" style="1" customWidth="1"/>
    <col min="1084" max="1084" width="17.7109375" style="1" customWidth="1"/>
    <col min="1085" max="1085" width="12.42578125" style="1" customWidth="1"/>
    <col min="1086" max="1086" width="13.7109375" style="1" customWidth="1"/>
    <col min="1087" max="1087" width="15.5703125" style="1" customWidth="1"/>
    <col min="1088" max="1091" width="13.7109375" style="1" customWidth="1"/>
    <col min="1092" max="1093" width="12.42578125" style="1" customWidth="1"/>
    <col min="1094" max="1094" width="14.85546875" style="1" customWidth="1"/>
    <col min="1095" max="1095" width="12.42578125" style="1" customWidth="1"/>
    <col min="1096" max="1097" width="13.42578125" style="1" customWidth="1"/>
    <col min="1098" max="1098" width="17" style="1" customWidth="1"/>
    <col min="1099" max="1100" width="12.42578125" style="1" customWidth="1"/>
    <col min="1101" max="1101" width="16.42578125" style="1" customWidth="1"/>
    <col min="1102" max="1102" width="12.42578125" style="1" customWidth="1"/>
    <col min="1103" max="1103" width="13.42578125" style="1" customWidth="1"/>
    <col min="1104" max="1104" width="12.42578125" style="1" customWidth="1"/>
    <col min="1105" max="1106" width="11.7109375" style="1" customWidth="1"/>
    <col min="1107" max="1107" width="11.42578125" style="1" customWidth="1"/>
    <col min="1108" max="1108" width="11.7109375" style="1" customWidth="1"/>
    <col min="1109" max="1109" width="11.42578125" style="1" customWidth="1"/>
    <col min="1110" max="1111" width="15.42578125" style="1" customWidth="1"/>
    <col min="1112" max="1112" width="16.140625" style="1" customWidth="1"/>
    <col min="1113" max="1113" width="16.5703125" style="1" customWidth="1"/>
    <col min="1114" max="1114" width="16.7109375" style="1" customWidth="1"/>
    <col min="1115" max="1115" width="15.42578125" style="1" customWidth="1"/>
    <col min="1116" max="1116" width="14.85546875" style="1" customWidth="1"/>
    <col min="1117" max="1117" width="17.140625" style="1" customWidth="1"/>
    <col min="1118" max="1118" width="16.7109375" style="1" customWidth="1"/>
    <col min="1119" max="1119" width="16.5703125" style="1" customWidth="1"/>
    <col min="1120" max="1120" width="16.28515625" style="1" customWidth="1"/>
    <col min="1121" max="1121" width="14.85546875" style="1" customWidth="1"/>
    <col min="1122" max="1122" width="16.140625" style="1" customWidth="1"/>
    <col min="1123" max="1123" width="16" style="1" customWidth="1"/>
    <col min="1124" max="1124" width="15.5703125" style="1" customWidth="1"/>
    <col min="1125" max="1125" width="16.28515625" style="1" customWidth="1"/>
    <col min="1126" max="1126" width="17.140625" style="1" customWidth="1"/>
    <col min="1127" max="1127" width="16.28515625" style="1" customWidth="1"/>
    <col min="1128" max="1128" width="15.7109375" style="1" customWidth="1"/>
    <col min="1129" max="1129" width="15.42578125" style="1" customWidth="1"/>
    <col min="1130" max="1232" width="9.140625" style="1"/>
    <col min="1233" max="1233" width="19.85546875" style="1" customWidth="1"/>
    <col min="1234" max="1234" width="22" style="1" customWidth="1"/>
    <col min="1235" max="1235" width="18.42578125" style="1" customWidth="1"/>
    <col min="1236" max="1237" width="16.42578125" style="1" customWidth="1"/>
    <col min="1238" max="1238" width="18.85546875" style="1" customWidth="1"/>
    <col min="1239" max="1240" width="15.5703125" style="1" customWidth="1"/>
    <col min="1241" max="1241" width="11.28515625" style="1" customWidth="1"/>
    <col min="1242" max="1242" width="12.7109375" style="1" customWidth="1"/>
    <col min="1243" max="1247" width="14.7109375" style="1" customWidth="1"/>
    <col min="1248" max="1251" width="13.85546875" style="1" customWidth="1"/>
    <col min="1252" max="1252" width="14.28515625" style="1" customWidth="1"/>
    <col min="1253" max="1253" width="13.85546875" style="1" customWidth="1"/>
    <col min="1254" max="1266" width="13.42578125" style="1" customWidth="1"/>
    <col min="1267" max="1267" width="16.85546875" style="1" customWidth="1"/>
    <col min="1268" max="1268" width="12.42578125" style="1" customWidth="1"/>
    <col min="1269" max="1269" width="13.5703125" style="1" customWidth="1"/>
    <col min="1270" max="1273" width="12.42578125" style="1" customWidth="1"/>
    <col min="1274" max="1275" width="13.140625" style="1" customWidth="1"/>
    <col min="1276" max="1310" width="14.42578125" style="1" customWidth="1"/>
    <col min="1311" max="1322" width="12.42578125" style="1" customWidth="1"/>
    <col min="1323" max="1323" width="17.5703125" style="1" customWidth="1"/>
    <col min="1324" max="1324" width="15.140625" style="1" customWidth="1"/>
    <col min="1325" max="1326" width="15.42578125" style="1" customWidth="1"/>
    <col min="1327" max="1328" width="15.5703125" style="1" customWidth="1"/>
    <col min="1329" max="1329" width="17" style="1" customWidth="1"/>
    <col min="1330" max="1330" width="15.5703125" style="1" customWidth="1"/>
    <col min="1331" max="1331" width="17.7109375" style="1" customWidth="1"/>
    <col min="1332" max="1332" width="18.42578125" style="1" customWidth="1"/>
    <col min="1333" max="1333" width="17.5703125" style="1" customWidth="1"/>
    <col min="1334" max="1335" width="16" style="1" customWidth="1"/>
    <col min="1336" max="1339" width="12.42578125" style="1" customWidth="1"/>
    <col min="1340" max="1340" width="17.7109375" style="1" customWidth="1"/>
    <col min="1341" max="1341" width="12.42578125" style="1" customWidth="1"/>
    <col min="1342" max="1342" width="13.7109375" style="1" customWidth="1"/>
    <col min="1343" max="1343" width="15.5703125" style="1" customWidth="1"/>
    <col min="1344" max="1347" width="13.7109375" style="1" customWidth="1"/>
    <col min="1348" max="1349" width="12.42578125" style="1" customWidth="1"/>
    <col min="1350" max="1350" width="14.85546875" style="1" customWidth="1"/>
    <col min="1351" max="1351" width="12.42578125" style="1" customWidth="1"/>
    <col min="1352" max="1353" width="13.42578125" style="1" customWidth="1"/>
    <col min="1354" max="1354" width="17" style="1" customWidth="1"/>
    <col min="1355" max="1356" width="12.42578125" style="1" customWidth="1"/>
    <col min="1357" max="1357" width="16.42578125" style="1" customWidth="1"/>
    <col min="1358" max="1358" width="12.42578125" style="1" customWidth="1"/>
    <col min="1359" max="1359" width="13.42578125" style="1" customWidth="1"/>
    <col min="1360" max="1360" width="12.42578125" style="1" customWidth="1"/>
    <col min="1361" max="1362" width="11.7109375" style="1" customWidth="1"/>
    <col min="1363" max="1363" width="11.42578125" style="1" customWidth="1"/>
    <col min="1364" max="1364" width="11.7109375" style="1" customWidth="1"/>
    <col min="1365" max="1365" width="11.42578125" style="1" customWidth="1"/>
    <col min="1366" max="1367" width="15.42578125" style="1" customWidth="1"/>
    <col min="1368" max="1368" width="16.140625" style="1" customWidth="1"/>
    <col min="1369" max="1369" width="16.5703125" style="1" customWidth="1"/>
    <col min="1370" max="1370" width="16.7109375" style="1" customWidth="1"/>
    <col min="1371" max="1371" width="15.42578125" style="1" customWidth="1"/>
    <col min="1372" max="1372" width="14.85546875" style="1" customWidth="1"/>
    <col min="1373" max="1373" width="17.140625" style="1" customWidth="1"/>
    <col min="1374" max="1374" width="16.7109375" style="1" customWidth="1"/>
    <col min="1375" max="1375" width="16.5703125" style="1" customWidth="1"/>
    <col min="1376" max="1376" width="16.28515625" style="1" customWidth="1"/>
    <col min="1377" max="1377" width="14.85546875" style="1" customWidth="1"/>
    <col min="1378" max="1378" width="16.140625" style="1" customWidth="1"/>
    <col min="1379" max="1379" width="16" style="1" customWidth="1"/>
    <col min="1380" max="1380" width="15.5703125" style="1" customWidth="1"/>
    <col min="1381" max="1381" width="16.28515625" style="1" customWidth="1"/>
    <col min="1382" max="1382" width="17.140625" style="1" customWidth="1"/>
    <col min="1383" max="1383" width="16.28515625" style="1" customWidth="1"/>
    <col min="1384" max="1384" width="15.7109375" style="1" customWidth="1"/>
    <col min="1385" max="1385" width="15.42578125" style="1" customWidth="1"/>
    <col min="1386" max="1488" width="9.140625" style="1"/>
    <col min="1489" max="1489" width="19.85546875" style="1" customWidth="1"/>
    <col min="1490" max="1490" width="22" style="1" customWidth="1"/>
    <col min="1491" max="1491" width="18.42578125" style="1" customWidth="1"/>
    <col min="1492" max="1493" width="16.42578125" style="1" customWidth="1"/>
    <col min="1494" max="1494" width="18.85546875" style="1" customWidth="1"/>
    <col min="1495" max="1496" width="15.5703125" style="1" customWidth="1"/>
    <col min="1497" max="1497" width="11.28515625" style="1" customWidth="1"/>
    <col min="1498" max="1498" width="12.7109375" style="1" customWidth="1"/>
    <col min="1499" max="1503" width="14.7109375" style="1" customWidth="1"/>
    <col min="1504" max="1507" width="13.85546875" style="1" customWidth="1"/>
    <col min="1508" max="1508" width="14.28515625" style="1" customWidth="1"/>
    <col min="1509" max="1509" width="13.85546875" style="1" customWidth="1"/>
    <col min="1510" max="1522" width="13.42578125" style="1" customWidth="1"/>
    <col min="1523" max="1523" width="16.85546875" style="1" customWidth="1"/>
    <col min="1524" max="1524" width="12.42578125" style="1" customWidth="1"/>
    <col min="1525" max="1525" width="13.5703125" style="1" customWidth="1"/>
    <col min="1526" max="1529" width="12.42578125" style="1" customWidth="1"/>
    <col min="1530" max="1531" width="13.140625" style="1" customWidth="1"/>
    <col min="1532" max="1566" width="14.42578125" style="1" customWidth="1"/>
    <col min="1567" max="1578" width="12.42578125" style="1" customWidth="1"/>
    <col min="1579" max="1579" width="17.5703125" style="1" customWidth="1"/>
    <col min="1580" max="1580" width="15.140625" style="1" customWidth="1"/>
    <col min="1581" max="1582" width="15.42578125" style="1" customWidth="1"/>
    <col min="1583" max="1584" width="15.5703125" style="1" customWidth="1"/>
    <col min="1585" max="1585" width="17" style="1" customWidth="1"/>
    <col min="1586" max="1586" width="15.5703125" style="1" customWidth="1"/>
    <col min="1587" max="1587" width="17.7109375" style="1" customWidth="1"/>
    <col min="1588" max="1588" width="18.42578125" style="1" customWidth="1"/>
    <col min="1589" max="1589" width="17.5703125" style="1" customWidth="1"/>
    <col min="1590" max="1591" width="16" style="1" customWidth="1"/>
    <col min="1592" max="1595" width="12.42578125" style="1" customWidth="1"/>
    <col min="1596" max="1596" width="17.7109375" style="1" customWidth="1"/>
    <col min="1597" max="1597" width="12.42578125" style="1" customWidth="1"/>
    <col min="1598" max="1598" width="13.7109375" style="1" customWidth="1"/>
    <col min="1599" max="1599" width="15.5703125" style="1" customWidth="1"/>
    <col min="1600" max="1603" width="13.7109375" style="1" customWidth="1"/>
    <col min="1604" max="1605" width="12.42578125" style="1" customWidth="1"/>
    <col min="1606" max="1606" width="14.85546875" style="1" customWidth="1"/>
    <col min="1607" max="1607" width="12.42578125" style="1" customWidth="1"/>
    <col min="1608" max="1609" width="13.42578125" style="1" customWidth="1"/>
    <col min="1610" max="1610" width="17" style="1" customWidth="1"/>
    <col min="1611" max="1612" width="12.42578125" style="1" customWidth="1"/>
    <col min="1613" max="1613" width="16.42578125" style="1" customWidth="1"/>
    <col min="1614" max="1614" width="12.42578125" style="1" customWidth="1"/>
    <col min="1615" max="1615" width="13.42578125" style="1" customWidth="1"/>
    <col min="1616" max="1616" width="12.42578125" style="1" customWidth="1"/>
    <col min="1617" max="1618" width="11.7109375" style="1" customWidth="1"/>
    <col min="1619" max="1619" width="11.42578125" style="1" customWidth="1"/>
    <col min="1620" max="1620" width="11.7109375" style="1" customWidth="1"/>
    <col min="1621" max="1621" width="11.42578125" style="1" customWidth="1"/>
    <col min="1622" max="1623" width="15.42578125" style="1" customWidth="1"/>
    <col min="1624" max="1624" width="16.140625" style="1" customWidth="1"/>
    <col min="1625" max="1625" width="16.5703125" style="1" customWidth="1"/>
    <col min="1626" max="1626" width="16.7109375" style="1" customWidth="1"/>
    <col min="1627" max="1627" width="15.42578125" style="1" customWidth="1"/>
    <col min="1628" max="1628" width="14.85546875" style="1" customWidth="1"/>
    <col min="1629" max="1629" width="17.140625" style="1" customWidth="1"/>
    <col min="1630" max="1630" width="16.7109375" style="1" customWidth="1"/>
    <col min="1631" max="1631" width="16.5703125" style="1" customWidth="1"/>
    <col min="1632" max="1632" width="16.28515625" style="1" customWidth="1"/>
    <col min="1633" max="1633" width="14.85546875" style="1" customWidth="1"/>
    <col min="1634" max="1634" width="16.140625" style="1" customWidth="1"/>
    <col min="1635" max="1635" width="16" style="1" customWidth="1"/>
    <col min="1636" max="1636" width="15.5703125" style="1" customWidth="1"/>
    <col min="1637" max="1637" width="16.28515625" style="1" customWidth="1"/>
    <col min="1638" max="1638" width="17.140625" style="1" customWidth="1"/>
    <col min="1639" max="1639" width="16.28515625" style="1" customWidth="1"/>
    <col min="1640" max="1640" width="15.7109375" style="1" customWidth="1"/>
    <col min="1641" max="1641" width="15.42578125" style="1" customWidth="1"/>
    <col min="1642" max="1744" width="9.140625" style="1"/>
    <col min="1745" max="1745" width="19.85546875" style="1" customWidth="1"/>
    <col min="1746" max="1746" width="22" style="1" customWidth="1"/>
    <col min="1747" max="1747" width="18.42578125" style="1" customWidth="1"/>
    <col min="1748" max="1749" width="16.42578125" style="1" customWidth="1"/>
    <col min="1750" max="1750" width="18.85546875" style="1" customWidth="1"/>
    <col min="1751" max="1752" width="15.5703125" style="1" customWidth="1"/>
    <col min="1753" max="1753" width="11.28515625" style="1" customWidth="1"/>
    <col min="1754" max="1754" width="12.7109375" style="1" customWidth="1"/>
    <col min="1755" max="1759" width="14.7109375" style="1" customWidth="1"/>
    <col min="1760" max="1763" width="13.85546875" style="1" customWidth="1"/>
    <col min="1764" max="1764" width="14.28515625" style="1" customWidth="1"/>
    <col min="1765" max="1765" width="13.85546875" style="1" customWidth="1"/>
    <col min="1766" max="1778" width="13.42578125" style="1" customWidth="1"/>
    <col min="1779" max="1779" width="16.85546875" style="1" customWidth="1"/>
    <col min="1780" max="1780" width="12.42578125" style="1" customWidth="1"/>
    <col min="1781" max="1781" width="13.5703125" style="1" customWidth="1"/>
    <col min="1782" max="1785" width="12.42578125" style="1" customWidth="1"/>
    <col min="1786" max="1787" width="13.140625" style="1" customWidth="1"/>
    <col min="1788" max="1822" width="14.42578125" style="1" customWidth="1"/>
    <col min="1823" max="1834" width="12.42578125" style="1" customWidth="1"/>
    <col min="1835" max="1835" width="17.5703125" style="1" customWidth="1"/>
    <col min="1836" max="1836" width="15.140625" style="1" customWidth="1"/>
    <col min="1837" max="1838" width="15.42578125" style="1" customWidth="1"/>
    <col min="1839" max="1840" width="15.5703125" style="1" customWidth="1"/>
    <col min="1841" max="1841" width="17" style="1" customWidth="1"/>
    <col min="1842" max="1842" width="15.5703125" style="1" customWidth="1"/>
    <col min="1843" max="1843" width="17.7109375" style="1" customWidth="1"/>
    <col min="1844" max="1844" width="18.42578125" style="1" customWidth="1"/>
    <col min="1845" max="1845" width="17.5703125" style="1" customWidth="1"/>
    <col min="1846" max="1847" width="16" style="1" customWidth="1"/>
    <col min="1848" max="1851" width="12.42578125" style="1" customWidth="1"/>
    <col min="1852" max="1852" width="17.7109375" style="1" customWidth="1"/>
    <col min="1853" max="1853" width="12.42578125" style="1" customWidth="1"/>
    <col min="1854" max="1854" width="13.7109375" style="1" customWidth="1"/>
    <col min="1855" max="1855" width="15.5703125" style="1" customWidth="1"/>
    <col min="1856" max="1859" width="13.7109375" style="1" customWidth="1"/>
    <col min="1860" max="1861" width="12.42578125" style="1" customWidth="1"/>
    <col min="1862" max="1862" width="14.85546875" style="1" customWidth="1"/>
    <col min="1863" max="1863" width="12.42578125" style="1" customWidth="1"/>
    <col min="1864" max="1865" width="13.42578125" style="1" customWidth="1"/>
    <col min="1866" max="1866" width="17" style="1" customWidth="1"/>
    <col min="1867" max="1868" width="12.42578125" style="1" customWidth="1"/>
    <col min="1869" max="1869" width="16.42578125" style="1" customWidth="1"/>
    <col min="1870" max="1870" width="12.42578125" style="1" customWidth="1"/>
    <col min="1871" max="1871" width="13.42578125" style="1" customWidth="1"/>
    <col min="1872" max="1872" width="12.42578125" style="1" customWidth="1"/>
    <col min="1873" max="1874" width="11.7109375" style="1" customWidth="1"/>
    <col min="1875" max="1875" width="11.42578125" style="1" customWidth="1"/>
    <col min="1876" max="1876" width="11.7109375" style="1" customWidth="1"/>
    <col min="1877" max="1877" width="11.42578125" style="1" customWidth="1"/>
    <col min="1878" max="1879" width="15.42578125" style="1" customWidth="1"/>
    <col min="1880" max="1880" width="16.140625" style="1" customWidth="1"/>
    <col min="1881" max="1881" width="16.5703125" style="1" customWidth="1"/>
    <col min="1882" max="1882" width="16.7109375" style="1" customWidth="1"/>
    <col min="1883" max="1883" width="15.42578125" style="1" customWidth="1"/>
    <col min="1884" max="1884" width="14.85546875" style="1" customWidth="1"/>
    <col min="1885" max="1885" width="17.140625" style="1" customWidth="1"/>
    <col min="1886" max="1886" width="16.7109375" style="1" customWidth="1"/>
    <col min="1887" max="1887" width="16.5703125" style="1" customWidth="1"/>
    <col min="1888" max="1888" width="16.28515625" style="1" customWidth="1"/>
    <col min="1889" max="1889" width="14.85546875" style="1" customWidth="1"/>
    <col min="1890" max="1890" width="16.140625" style="1" customWidth="1"/>
    <col min="1891" max="1891" width="16" style="1" customWidth="1"/>
    <col min="1892" max="1892" width="15.5703125" style="1" customWidth="1"/>
    <col min="1893" max="1893" width="16.28515625" style="1" customWidth="1"/>
    <col min="1894" max="1894" width="17.140625" style="1" customWidth="1"/>
    <col min="1895" max="1895" width="16.28515625" style="1" customWidth="1"/>
    <col min="1896" max="1896" width="15.7109375" style="1" customWidth="1"/>
    <col min="1897" max="1897" width="15.42578125" style="1" customWidth="1"/>
    <col min="1898" max="2000" width="9.140625" style="1"/>
    <col min="2001" max="2001" width="19.85546875" style="1" customWidth="1"/>
    <col min="2002" max="2002" width="22" style="1" customWidth="1"/>
    <col min="2003" max="2003" width="18.42578125" style="1" customWidth="1"/>
    <col min="2004" max="2005" width="16.42578125" style="1" customWidth="1"/>
    <col min="2006" max="2006" width="18.85546875" style="1" customWidth="1"/>
    <col min="2007" max="2008" width="15.5703125" style="1" customWidth="1"/>
    <col min="2009" max="2009" width="11.28515625" style="1" customWidth="1"/>
    <col min="2010" max="2010" width="12.7109375" style="1" customWidth="1"/>
    <col min="2011" max="2015" width="14.7109375" style="1" customWidth="1"/>
    <col min="2016" max="2019" width="13.85546875" style="1" customWidth="1"/>
    <col min="2020" max="2020" width="14.28515625" style="1" customWidth="1"/>
    <col min="2021" max="2021" width="13.85546875" style="1" customWidth="1"/>
    <col min="2022" max="2034" width="13.42578125" style="1" customWidth="1"/>
    <col min="2035" max="2035" width="16.85546875" style="1" customWidth="1"/>
    <col min="2036" max="2036" width="12.42578125" style="1" customWidth="1"/>
    <col min="2037" max="2037" width="13.5703125" style="1" customWidth="1"/>
    <col min="2038" max="2041" width="12.42578125" style="1" customWidth="1"/>
    <col min="2042" max="2043" width="13.140625" style="1" customWidth="1"/>
    <col min="2044" max="2078" width="14.42578125" style="1" customWidth="1"/>
    <col min="2079" max="2090" width="12.42578125" style="1" customWidth="1"/>
    <col min="2091" max="2091" width="17.5703125" style="1" customWidth="1"/>
    <col min="2092" max="2092" width="15.140625" style="1" customWidth="1"/>
    <col min="2093" max="2094" width="15.42578125" style="1" customWidth="1"/>
    <col min="2095" max="2096" width="15.5703125" style="1" customWidth="1"/>
    <col min="2097" max="2097" width="17" style="1" customWidth="1"/>
    <col min="2098" max="2098" width="15.5703125" style="1" customWidth="1"/>
    <col min="2099" max="2099" width="17.7109375" style="1" customWidth="1"/>
    <col min="2100" max="2100" width="18.42578125" style="1" customWidth="1"/>
    <col min="2101" max="2101" width="17.5703125" style="1" customWidth="1"/>
    <col min="2102" max="2103" width="16" style="1" customWidth="1"/>
    <col min="2104" max="2107" width="12.42578125" style="1" customWidth="1"/>
    <col min="2108" max="2108" width="17.7109375" style="1" customWidth="1"/>
    <col min="2109" max="2109" width="12.42578125" style="1" customWidth="1"/>
    <col min="2110" max="2110" width="13.7109375" style="1" customWidth="1"/>
    <col min="2111" max="2111" width="15.5703125" style="1" customWidth="1"/>
    <col min="2112" max="2115" width="13.7109375" style="1" customWidth="1"/>
    <col min="2116" max="2117" width="12.42578125" style="1" customWidth="1"/>
    <col min="2118" max="2118" width="14.85546875" style="1" customWidth="1"/>
    <col min="2119" max="2119" width="12.42578125" style="1" customWidth="1"/>
    <col min="2120" max="2121" width="13.42578125" style="1" customWidth="1"/>
    <col min="2122" max="2122" width="17" style="1" customWidth="1"/>
    <col min="2123" max="2124" width="12.42578125" style="1" customWidth="1"/>
    <col min="2125" max="2125" width="16.42578125" style="1" customWidth="1"/>
    <col min="2126" max="2126" width="12.42578125" style="1" customWidth="1"/>
    <col min="2127" max="2127" width="13.42578125" style="1" customWidth="1"/>
    <col min="2128" max="2128" width="12.42578125" style="1" customWidth="1"/>
    <col min="2129" max="2130" width="11.7109375" style="1" customWidth="1"/>
    <col min="2131" max="2131" width="11.42578125" style="1" customWidth="1"/>
    <col min="2132" max="2132" width="11.7109375" style="1" customWidth="1"/>
    <col min="2133" max="2133" width="11.42578125" style="1" customWidth="1"/>
    <col min="2134" max="2135" width="15.42578125" style="1" customWidth="1"/>
    <col min="2136" max="2136" width="16.140625" style="1" customWidth="1"/>
    <col min="2137" max="2137" width="16.5703125" style="1" customWidth="1"/>
    <col min="2138" max="2138" width="16.7109375" style="1" customWidth="1"/>
    <col min="2139" max="2139" width="15.42578125" style="1" customWidth="1"/>
    <col min="2140" max="2140" width="14.85546875" style="1" customWidth="1"/>
    <col min="2141" max="2141" width="17.140625" style="1" customWidth="1"/>
    <col min="2142" max="2142" width="16.7109375" style="1" customWidth="1"/>
    <col min="2143" max="2143" width="16.5703125" style="1" customWidth="1"/>
    <col min="2144" max="2144" width="16.28515625" style="1" customWidth="1"/>
    <col min="2145" max="2145" width="14.85546875" style="1" customWidth="1"/>
    <col min="2146" max="2146" width="16.140625" style="1" customWidth="1"/>
    <col min="2147" max="2147" width="16" style="1" customWidth="1"/>
    <col min="2148" max="2148" width="15.5703125" style="1" customWidth="1"/>
    <col min="2149" max="2149" width="16.28515625" style="1" customWidth="1"/>
    <col min="2150" max="2150" width="17.140625" style="1" customWidth="1"/>
    <col min="2151" max="2151" width="16.28515625" style="1" customWidth="1"/>
    <col min="2152" max="2152" width="15.7109375" style="1" customWidth="1"/>
    <col min="2153" max="2153" width="15.42578125" style="1" customWidth="1"/>
    <col min="2154" max="2256" width="9.140625" style="1"/>
    <col min="2257" max="2257" width="19.85546875" style="1" customWidth="1"/>
    <col min="2258" max="2258" width="22" style="1" customWidth="1"/>
    <col min="2259" max="2259" width="18.42578125" style="1" customWidth="1"/>
    <col min="2260" max="2261" width="16.42578125" style="1" customWidth="1"/>
    <col min="2262" max="2262" width="18.85546875" style="1" customWidth="1"/>
    <col min="2263" max="2264" width="15.5703125" style="1" customWidth="1"/>
    <col min="2265" max="2265" width="11.28515625" style="1" customWidth="1"/>
    <col min="2266" max="2266" width="12.7109375" style="1" customWidth="1"/>
    <col min="2267" max="2271" width="14.7109375" style="1" customWidth="1"/>
    <col min="2272" max="2275" width="13.85546875" style="1" customWidth="1"/>
    <col min="2276" max="2276" width="14.28515625" style="1" customWidth="1"/>
    <col min="2277" max="2277" width="13.85546875" style="1" customWidth="1"/>
    <col min="2278" max="2290" width="13.42578125" style="1" customWidth="1"/>
    <col min="2291" max="2291" width="16.85546875" style="1" customWidth="1"/>
    <col min="2292" max="2292" width="12.42578125" style="1" customWidth="1"/>
    <col min="2293" max="2293" width="13.5703125" style="1" customWidth="1"/>
    <col min="2294" max="2297" width="12.42578125" style="1" customWidth="1"/>
    <col min="2298" max="2299" width="13.140625" style="1" customWidth="1"/>
    <col min="2300" max="2334" width="14.42578125" style="1" customWidth="1"/>
    <col min="2335" max="2346" width="12.42578125" style="1" customWidth="1"/>
    <col min="2347" max="2347" width="17.5703125" style="1" customWidth="1"/>
    <col min="2348" max="2348" width="15.140625" style="1" customWidth="1"/>
    <col min="2349" max="2350" width="15.42578125" style="1" customWidth="1"/>
    <col min="2351" max="2352" width="15.5703125" style="1" customWidth="1"/>
    <col min="2353" max="2353" width="17" style="1" customWidth="1"/>
    <col min="2354" max="2354" width="15.5703125" style="1" customWidth="1"/>
    <col min="2355" max="2355" width="17.7109375" style="1" customWidth="1"/>
    <col min="2356" max="2356" width="18.42578125" style="1" customWidth="1"/>
    <col min="2357" max="2357" width="17.5703125" style="1" customWidth="1"/>
    <col min="2358" max="2359" width="16" style="1" customWidth="1"/>
    <col min="2360" max="2363" width="12.42578125" style="1" customWidth="1"/>
    <col min="2364" max="2364" width="17.7109375" style="1" customWidth="1"/>
    <col min="2365" max="2365" width="12.42578125" style="1" customWidth="1"/>
    <col min="2366" max="2366" width="13.7109375" style="1" customWidth="1"/>
    <col min="2367" max="2367" width="15.5703125" style="1" customWidth="1"/>
    <col min="2368" max="2371" width="13.7109375" style="1" customWidth="1"/>
    <col min="2372" max="2373" width="12.42578125" style="1" customWidth="1"/>
    <col min="2374" max="2374" width="14.85546875" style="1" customWidth="1"/>
    <col min="2375" max="2375" width="12.42578125" style="1" customWidth="1"/>
    <col min="2376" max="2377" width="13.42578125" style="1" customWidth="1"/>
    <col min="2378" max="2378" width="17" style="1" customWidth="1"/>
    <col min="2379" max="2380" width="12.42578125" style="1" customWidth="1"/>
    <col min="2381" max="2381" width="16.42578125" style="1" customWidth="1"/>
    <col min="2382" max="2382" width="12.42578125" style="1" customWidth="1"/>
    <col min="2383" max="2383" width="13.42578125" style="1" customWidth="1"/>
    <col min="2384" max="2384" width="12.42578125" style="1" customWidth="1"/>
    <col min="2385" max="2386" width="11.7109375" style="1" customWidth="1"/>
    <col min="2387" max="2387" width="11.42578125" style="1" customWidth="1"/>
    <col min="2388" max="2388" width="11.7109375" style="1" customWidth="1"/>
    <col min="2389" max="2389" width="11.42578125" style="1" customWidth="1"/>
    <col min="2390" max="2391" width="15.42578125" style="1" customWidth="1"/>
    <col min="2392" max="2392" width="16.140625" style="1" customWidth="1"/>
    <col min="2393" max="2393" width="16.5703125" style="1" customWidth="1"/>
    <col min="2394" max="2394" width="16.7109375" style="1" customWidth="1"/>
    <col min="2395" max="2395" width="15.42578125" style="1" customWidth="1"/>
    <col min="2396" max="2396" width="14.85546875" style="1" customWidth="1"/>
    <col min="2397" max="2397" width="17.140625" style="1" customWidth="1"/>
    <col min="2398" max="2398" width="16.7109375" style="1" customWidth="1"/>
    <col min="2399" max="2399" width="16.5703125" style="1" customWidth="1"/>
    <col min="2400" max="2400" width="16.28515625" style="1" customWidth="1"/>
    <col min="2401" max="2401" width="14.85546875" style="1" customWidth="1"/>
    <col min="2402" max="2402" width="16.140625" style="1" customWidth="1"/>
    <col min="2403" max="2403" width="16" style="1" customWidth="1"/>
    <col min="2404" max="2404" width="15.5703125" style="1" customWidth="1"/>
    <col min="2405" max="2405" width="16.28515625" style="1" customWidth="1"/>
    <col min="2406" max="2406" width="17.140625" style="1" customWidth="1"/>
    <col min="2407" max="2407" width="16.28515625" style="1" customWidth="1"/>
    <col min="2408" max="2408" width="15.7109375" style="1" customWidth="1"/>
    <col min="2409" max="2409" width="15.42578125" style="1" customWidth="1"/>
    <col min="2410" max="2512" width="9.140625" style="1"/>
    <col min="2513" max="2513" width="19.85546875" style="1" customWidth="1"/>
    <col min="2514" max="2514" width="22" style="1" customWidth="1"/>
    <col min="2515" max="2515" width="18.42578125" style="1" customWidth="1"/>
    <col min="2516" max="2517" width="16.42578125" style="1" customWidth="1"/>
    <col min="2518" max="2518" width="18.85546875" style="1" customWidth="1"/>
    <col min="2519" max="2520" width="15.5703125" style="1" customWidth="1"/>
    <col min="2521" max="2521" width="11.28515625" style="1" customWidth="1"/>
    <col min="2522" max="2522" width="12.7109375" style="1" customWidth="1"/>
    <col min="2523" max="2527" width="14.7109375" style="1" customWidth="1"/>
    <col min="2528" max="2531" width="13.85546875" style="1" customWidth="1"/>
    <col min="2532" max="2532" width="14.28515625" style="1" customWidth="1"/>
    <col min="2533" max="2533" width="13.85546875" style="1" customWidth="1"/>
    <col min="2534" max="2546" width="13.42578125" style="1" customWidth="1"/>
    <col min="2547" max="2547" width="16.85546875" style="1" customWidth="1"/>
    <col min="2548" max="2548" width="12.42578125" style="1" customWidth="1"/>
    <col min="2549" max="2549" width="13.5703125" style="1" customWidth="1"/>
    <col min="2550" max="2553" width="12.42578125" style="1" customWidth="1"/>
    <col min="2554" max="2555" width="13.140625" style="1" customWidth="1"/>
    <col min="2556" max="2590" width="14.42578125" style="1" customWidth="1"/>
    <col min="2591" max="2602" width="12.42578125" style="1" customWidth="1"/>
    <col min="2603" max="2603" width="17.5703125" style="1" customWidth="1"/>
    <col min="2604" max="2604" width="15.140625" style="1" customWidth="1"/>
    <col min="2605" max="2606" width="15.42578125" style="1" customWidth="1"/>
    <col min="2607" max="2608" width="15.5703125" style="1" customWidth="1"/>
    <col min="2609" max="2609" width="17" style="1" customWidth="1"/>
    <col min="2610" max="2610" width="15.5703125" style="1" customWidth="1"/>
    <col min="2611" max="2611" width="17.7109375" style="1" customWidth="1"/>
    <col min="2612" max="2612" width="18.42578125" style="1" customWidth="1"/>
    <col min="2613" max="2613" width="17.5703125" style="1" customWidth="1"/>
    <col min="2614" max="2615" width="16" style="1" customWidth="1"/>
    <col min="2616" max="2619" width="12.42578125" style="1" customWidth="1"/>
    <col min="2620" max="2620" width="17.7109375" style="1" customWidth="1"/>
    <col min="2621" max="2621" width="12.42578125" style="1" customWidth="1"/>
    <col min="2622" max="2622" width="13.7109375" style="1" customWidth="1"/>
    <col min="2623" max="2623" width="15.5703125" style="1" customWidth="1"/>
    <col min="2624" max="2627" width="13.7109375" style="1" customWidth="1"/>
    <col min="2628" max="2629" width="12.42578125" style="1" customWidth="1"/>
    <col min="2630" max="2630" width="14.85546875" style="1" customWidth="1"/>
    <col min="2631" max="2631" width="12.42578125" style="1" customWidth="1"/>
    <col min="2632" max="2633" width="13.42578125" style="1" customWidth="1"/>
    <col min="2634" max="2634" width="17" style="1" customWidth="1"/>
    <col min="2635" max="2636" width="12.42578125" style="1" customWidth="1"/>
    <col min="2637" max="2637" width="16.42578125" style="1" customWidth="1"/>
    <col min="2638" max="2638" width="12.42578125" style="1" customWidth="1"/>
    <col min="2639" max="2639" width="13.42578125" style="1" customWidth="1"/>
    <col min="2640" max="2640" width="12.42578125" style="1" customWidth="1"/>
    <col min="2641" max="2642" width="11.7109375" style="1" customWidth="1"/>
    <col min="2643" max="2643" width="11.42578125" style="1" customWidth="1"/>
    <col min="2644" max="2644" width="11.7109375" style="1" customWidth="1"/>
    <col min="2645" max="2645" width="11.42578125" style="1" customWidth="1"/>
    <col min="2646" max="2647" width="15.42578125" style="1" customWidth="1"/>
    <col min="2648" max="2648" width="16.140625" style="1" customWidth="1"/>
    <col min="2649" max="2649" width="16.5703125" style="1" customWidth="1"/>
    <col min="2650" max="2650" width="16.7109375" style="1" customWidth="1"/>
    <col min="2651" max="2651" width="15.42578125" style="1" customWidth="1"/>
    <col min="2652" max="2652" width="14.85546875" style="1" customWidth="1"/>
    <col min="2653" max="2653" width="17.140625" style="1" customWidth="1"/>
    <col min="2654" max="2654" width="16.7109375" style="1" customWidth="1"/>
    <col min="2655" max="2655" width="16.5703125" style="1" customWidth="1"/>
    <col min="2656" max="2656" width="16.28515625" style="1" customWidth="1"/>
    <col min="2657" max="2657" width="14.85546875" style="1" customWidth="1"/>
    <col min="2658" max="2658" width="16.140625" style="1" customWidth="1"/>
    <col min="2659" max="2659" width="16" style="1" customWidth="1"/>
    <col min="2660" max="2660" width="15.5703125" style="1" customWidth="1"/>
    <col min="2661" max="2661" width="16.28515625" style="1" customWidth="1"/>
    <col min="2662" max="2662" width="17.140625" style="1" customWidth="1"/>
    <col min="2663" max="2663" width="16.28515625" style="1" customWidth="1"/>
    <col min="2664" max="2664" width="15.7109375" style="1" customWidth="1"/>
    <col min="2665" max="2665" width="15.42578125" style="1" customWidth="1"/>
    <col min="2666" max="2768" width="9.140625" style="1"/>
    <col min="2769" max="2769" width="19.85546875" style="1" customWidth="1"/>
    <col min="2770" max="2770" width="22" style="1" customWidth="1"/>
    <col min="2771" max="2771" width="18.42578125" style="1" customWidth="1"/>
    <col min="2772" max="2773" width="16.42578125" style="1" customWidth="1"/>
    <col min="2774" max="2774" width="18.85546875" style="1" customWidth="1"/>
    <col min="2775" max="2776" width="15.5703125" style="1" customWidth="1"/>
    <col min="2777" max="2777" width="11.28515625" style="1" customWidth="1"/>
    <col min="2778" max="2778" width="12.7109375" style="1" customWidth="1"/>
    <col min="2779" max="2783" width="14.7109375" style="1" customWidth="1"/>
    <col min="2784" max="2787" width="13.85546875" style="1" customWidth="1"/>
    <col min="2788" max="2788" width="14.28515625" style="1" customWidth="1"/>
    <col min="2789" max="2789" width="13.85546875" style="1" customWidth="1"/>
    <col min="2790" max="2802" width="13.42578125" style="1" customWidth="1"/>
    <col min="2803" max="2803" width="16.85546875" style="1" customWidth="1"/>
    <col min="2804" max="2804" width="12.42578125" style="1" customWidth="1"/>
    <col min="2805" max="2805" width="13.5703125" style="1" customWidth="1"/>
    <col min="2806" max="2809" width="12.42578125" style="1" customWidth="1"/>
    <col min="2810" max="2811" width="13.140625" style="1" customWidth="1"/>
    <col min="2812" max="2846" width="14.42578125" style="1" customWidth="1"/>
    <col min="2847" max="2858" width="12.42578125" style="1" customWidth="1"/>
    <col min="2859" max="2859" width="17.5703125" style="1" customWidth="1"/>
    <col min="2860" max="2860" width="15.140625" style="1" customWidth="1"/>
    <col min="2861" max="2862" width="15.42578125" style="1" customWidth="1"/>
    <col min="2863" max="2864" width="15.5703125" style="1" customWidth="1"/>
    <col min="2865" max="2865" width="17" style="1" customWidth="1"/>
    <col min="2866" max="2866" width="15.5703125" style="1" customWidth="1"/>
    <col min="2867" max="2867" width="17.7109375" style="1" customWidth="1"/>
    <col min="2868" max="2868" width="18.42578125" style="1" customWidth="1"/>
    <col min="2869" max="2869" width="17.5703125" style="1" customWidth="1"/>
    <col min="2870" max="2871" width="16" style="1" customWidth="1"/>
    <col min="2872" max="2875" width="12.42578125" style="1" customWidth="1"/>
    <col min="2876" max="2876" width="17.7109375" style="1" customWidth="1"/>
    <col min="2877" max="2877" width="12.42578125" style="1" customWidth="1"/>
    <col min="2878" max="2878" width="13.7109375" style="1" customWidth="1"/>
    <col min="2879" max="2879" width="15.5703125" style="1" customWidth="1"/>
    <col min="2880" max="2883" width="13.7109375" style="1" customWidth="1"/>
    <col min="2884" max="2885" width="12.42578125" style="1" customWidth="1"/>
    <col min="2886" max="2886" width="14.85546875" style="1" customWidth="1"/>
    <col min="2887" max="2887" width="12.42578125" style="1" customWidth="1"/>
    <col min="2888" max="2889" width="13.42578125" style="1" customWidth="1"/>
    <col min="2890" max="2890" width="17" style="1" customWidth="1"/>
    <col min="2891" max="2892" width="12.42578125" style="1" customWidth="1"/>
    <col min="2893" max="2893" width="16.42578125" style="1" customWidth="1"/>
    <col min="2894" max="2894" width="12.42578125" style="1" customWidth="1"/>
    <col min="2895" max="2895" width="13.42578125" style="1" customWidth="1"/>
    <col min="2896" max="2896" width="12.42578125" style="1" customWidth="1"/>
    <col min="2897" max="2898" width="11.7109375" style="1" customWidth="1"/>
    <col min="2899" max="2899" width="11.42578125" style="1" customWidth="1"/>
    <col min="2900" max="2900" width="11.7109375" style="1" customWidth="1"/>
    <col min="2901" max="2901" width="11.42578125" style="1" customWidth="1"/>
    <col min="2902" max="2903" width="15.42578125" style="1" customWidth="1"/>
    <col min="2904" max="2904" width="16.140625" style="1" customWidth="1"/>
    <col min="2905" max="2905" width="16.5703125" style="1" customWidth="1"/>
    <col min="2906" max="2906" width="16.7109375" style="1" customWidth="1"/>
    <col min="2907" max="2907" width="15.42578125" style="1" customWidth="1"/>
    <col min="2908" max="2908" width="14.85546875" style="1" customWidth="1"/>
    <col min="2909" max="2909" width="17.140625" style="1" customWidth="1"/>
    <col min="2910" max="2910" width="16.7109375" style="1" customWidth="1"/>
    <col min="2911" max="2911" width="16.5703125" style="1" customWidth="1"/>
    <col min="2912" max="2912" width="16.28515625" style="1" customWidth="1"/>
    <col min="2913" max="2913" width="14.85546875" style="1" customWidth="1"/>
    <col min="2914" max="2914" width="16.140625" style="1" customWidth="1"/>
    <col min="2915" max="2915" width="16" style="1" customWidth="1"/>
    <col min="2916" max="2916" width="15.5703125" style="1" customWidth="1"/>
    <col min="2917" max="2917" width="16.28515625" style="1" customWidth="1"/>
    <col min="2918" max="2918" width="17.140625" style="1" customWidth="1"/>
    <col min="2919" max="2919" width="16.28515625" style="1" customWidth="1"/>
    <col min="2920" max="2920" width="15.7109375" style="1" customWidth="1"/>
    <col min="2921" max="2921" width="15.42578125" style="1" customWidth="1"/>
    <col min="2922" max="3024" width="9.140625" style="1"/>
    <col min="3025" max="3025" width="19.85546875" style="1" customWidth="1"/>
    <col min="3026" max="3026" width="22" style="1" customWidth="1"/>
    <col min="3027" max="3027" width="18.42578125" style="1" customWidth="1"/>
    <col min="3028" max="3029" width="16.42578125" style="1" customWidth="1"/>
    <col min="3030" max="3030" width="18.85546875" style="1" customWidth="1"/>
    <col min="3031" max="3032" width="15.5703125" style="1" customWidth="1"/>
    <col min="3033" max="3033" width="11.28515625" style="1" customWidth="1"/>
    <col min="3034" max="3034" width="12.7109375" style="1" customWidth="1"/>
    <col min="3035" max="3039" width="14.7109375" style="1" customWidth="1"/>
    <col min="3040" max="3043" width="13.85546875" style="1" customWidth="1"/>
    <col min="3044" max="3044" width="14.28515625" style="1" customWidth="1"/>
    <col min="3045" max="3045" width="13.85546875" style="1" customWidth="1"/>
    <col min="3046" max="3058" width="13.42578125" style="1" customWidth="1"/>
    <col min="3059" max="3059" width="16.85546875" style="1" customWidth="1"/>
    <col min="3060" max="3060" width="12.42578125" style="1" customWidth="1"/>
    <col min="3061" max="3061" width="13.5703125" style="1" customWidth="1"/>
    <col min="3062" max="3065" width="12.42578125" style="1" customWidth="1"/>
    <col min="3066" max="3067" width="13.140625" style="1" customWidth="1"/>
    <col min="3068" max="3102" width="14.42578125" style="1" customWidth="1"/>
    <col min="3103" max="3114" width="12.42578125" style="1" customWidth="1"/>
    <col min="3115" max="3115" width="17.5703125" style="1" customWidth="1"/>
    <col min="3116" max="3116" width="15.140625" style="1" customWidth="1"/>
    <col min="3117" max="3118" width="15.42578125" style="1" customWidth="1"/>
    <col min="3119" max="3120" width="15.5703125" style="1" customWidth="1"/>
    <col min="3121" max="3121" width="17" style="1" customWidth="1"/>
    <col min="3122" max="3122" width="15.5703125" style="1" customWidth="1"/>
    <col min="3123" max="3123" width="17.7109375" style="1" customWidth="1"/>
    <col min="3124" max="3124" width="18.42578125" style="1" customWidth="1"/>
    <col min="3125" max="3125" width="17.5703125" style="1" customWidth="1"/>
    <col min="3126" max="3127" width="16" style="1" customWidth="1"/>
    <col min="3128" max="3131" width="12.42578125" style="1" customWidth="1"/>
    <col min="3132" max="3132" width="17.7109375" style="1" customWidth="1"/>
    <col min="3133" max="3133" width="12.42578125" style="1" customWidth="1"/>
    <col min="3134" max="3134" width="13.7109375" style="1" customWidth="1"/>
    <col min="3135" max="3135" width="15.5703125" style="1" customWidth="1"/>
    <col min="3136" max="3139" width="13.7109375" style="1" customWidth="1"/>
    <col min="3140" max="3141" width="12.42578125" style="1" customWidth="1"/>
    <col min="3142" max="3142" width="14.85546875" style="1" customWidth="1"/>
    <col min="3143" max="3143" width="12.42578125" style="1" customWidth="1"/>
    <col min="3144" max="3145" width="13.42578125" style="1" customWidth="1"/>
    <col min="3146" max="3146" width="17" style="1" customWidth="1"/>
    <col min="3147" max="3148" width="12.42578125" style="1" customWidth="1"/>
    <col min="3149" max="3149" width="16.42578125" style="1" customWidth="1"/>
    <col min="3150" max="3150" width="12.42578125" style="1" customWidth="1"/>
    <col min="3151" max="3151" width="13.42578125" style="1" customWidth="1"/>
    <col min="3152" max="3152" width="12.42578125" style="1" customWidth="1"/>
    <col min="3153" max="3154" width="11.7109375" style="1" customWidth="1"/>
    <col min="3155" max="3155" width="11.42578125" style="1" customWidth="1"/>
    <col min="3156" max="3156" width="11.7109375" style="1" customWidth="1"/>
    <col min="3157" max="3157" width="11.42578125" style="1" customWidth="1"/>
    <col min="3158" max="3159" width="15.42578125" style="1" customWidth="1"/>
    <col min="3160" max="3160" width="16.140625" style="1" customWidth="1"/>
    <col min="3161" max="3161" width="16.5703125" style="1" customWidth="1"/>
    <col min="3162" max="3162" width="16.7109375" style="1" customWidth="1"/>
    <col min="3163" max="3163" width="15.42578125" style="1" customWidth="1"/>
    <col min="3164" max="3164" width="14.85546875" style="1" customWidth="1"/>
    <col min="3165" max="3165" width="17.140625" style="1" customWidth="1"/>
    <col min="3166" max="3166" width="16.7109375" style="1" customWidth="1"/>
    <col min="3167" max="3167" width="16.5703125" style="1" customWidth="1"/>
    <col min="3168" max="3168" width="16.28515625" style="1" customWidth="1"/>
    <col min="3169" max="3169" width="14.85546875" style="1" customWidth="1"/>
    <col min="3170" max="3170" width="16.140625" style="1" customWidth="1"/>
    <col min="3171" max="3171" width="16" style="1" customWidth="1"/>
    <col min="3172" max="3172" width="15.5703125" style="1" customWidth="1"/>
    <col min="3173" max="3173" width="16.28515625" style="1" customWidth="1"/>
    <col min="3174" max="3174" width="17.140625" style="1" customWidth="1"/>
    <col min="3175" max="3175" width="16.28515625" style="1" customWidth="1"/>
    <col min="3176" max="3176" width="15.7109375" style="1" customWidth="1"/>
    <col min="3177" max="3177" width="15.42578125" style="1" customWidth="1"/>
    <col min="3178" max="3280" width="9.140625" style="1"/>
    <col min="3281" max="3281" width="19.85546875" style="1" customWidth="1"/>
    <col min="3282" max="3282" width="22" style="1" customWidth="1"/>
    <col min="3283" max="3283" width="18.42578125" style="1" customWidth="1"/>
    <col min="3284" max="3285" width="16.42578125" style="1" customWidth="1"/>
    <col min="3286" max="3286" width="18.85546875" style="1" customWidth="1"/>
    <col min="3287" max="3288" width="15.5703125" style="1" customWidth="1"/>
    <col min="3289" max="3289" width="11.28515625" style="1" customWidth="1"/>
    <col min="3290" max="3290" width="12.7109375" style="1" customWidth="1"/>
    <col min="3291" max="3295" width="14.7109375" style="1" customWidth="1"/>
    <col min="3296" max="3299" width="13.85546875" style="1" customWidth="1"/>
    <col min="3300" max="3300" width="14.28515625" style="1" customWidth="1"/>
    <col min="3301" max="3301" width="13.85546875" style="1" customWidth="1"/>
    <col min="3302" max="3314" width="13.42578125" style="1" customWidth="1"/>
    <col min="3315" max="3315" width="16.85546875" style="1" customWidth="1"/>
    <col min="3316" max="3316" width="12.42578125" style="1" customWidth="1"/>
    <col min="3317" max="3317" width="13.5703125" style="1" customWidth="1"/>
    <col min="3318" max="3321" width="12.42578125" style="1" customWidth="1"/>
    <col min="3322" max="3323" width="13.140625" style="1" customWidth="1"/>
    <col min="3324" max="3358" width="14.42578125" style="1" customWidth="1"/>
    <col min="3359" max="3370" width="12.42578125" style="1" customWidth="1"/>
    <col min="3371" max="3371" width="17.5703125" style="1" customWidth="1"/>
    <col min="3372" max="3372" width="15.140625" style="1" customWidth="1"/>
    <col min="3373" max="3374" width="15.42578125" style="1" customWidth="1"/>
    <col min="3375" max="3376" width="15.5703125" style="1" customWidth="1"/>
    <col min="3377" max="3377" width="17" style="1" customWidth="1"/>
    <col min="3378" max="3378" width="15.5703125" style="1" customWidth="1"/>
    <col min="3379" max="3379" width="17.7109375" style="1" customWidth="1"/>
    <col min="3380" max="3380" width="18.42578125" style="1" customWidth="1"/>
    <col min="3381" max="3381" width="17.5703125" style="1" customWidth="1"/>
    <col min="3382" max="3383" width="16" style="1" customWidth="1"/>
    <col min="3384" max="3387" width="12.42578125" style="1" customWidth="1"/>
    <col min="3388" max="3388" width="17.7109375" style="1" customWidth="1"/>
    <col min="3389" max="3389" width="12.42578125" style="1" customWidth="1"/>
    <col min="3390" max="3390" width="13.7109375" style="1" customWidth="1"/>
    <col min="3391" max="3391" width="15.5703125" style="1" customWidth="1"/>
    <col min="3392" max="3395" width="13.7109375" style="1" customWidth="1"/>
    <col min="3396" max="3397" width="12.42578125" style="1" customWidth="1"/>
    <col min="3398" max="3398" width="14.85546875" style="1" customWidth="1"/>
    <col min="3399" max="3399" width="12.42578125" style="1" customWidth="1"/>
    <col min="3400" max="3401" width="13.42578125" style="1" customWidth="1"/>
    <col min="3402" max="3402" width="17" style="1" customWidth="1"/>
    <col min="3403" max="3404" width="12.42578125" style="1" customWidth="1"/>
    <col min="3405" max="3405" width="16.42578125" style="1" customWidth="1"/>
    <col min="3406" max="3406" width="12.42578125" style="1" customWidth="1"/>
    <col min="3407" max="3407" width="13.42578125" style="1" customWidth="1"/>
    <col min="3408" max="3408" width="12.42578125" style="1" customWidth="1"/>
    <col min="3409" max="3410" width="11.7109375" style="1" customWidth="1"/>
    <col min="3411" max="3411" width="11.42578125" style="1" customWidth="1"/>
    <col min="3412" max="3412" width="11.7109375" style="1" customWidth="1"/>
    <col min="3413" max="3413" width="11.42578125" style="1" customWidth="1"/>
    <col min="3414" max="3415" width="15.42578125" style="1" customWidth="1"/>
    <col min="3416" max="3416" width="16.140625" style="1" customWidth="1"/>
    <col min="3417" max="3417" width="16.5703125" style="1" customWidth="1"/>
    <col min="3418" max="3418" width="16.7109375" style="1" customWidth="1"/>
    <col min="3419" max="3419" width="15.42578125" style="1" customWidth="1"/>
    <col min="3420" max="3420" width="14.85546875" style="1" customWidth="1"/>
    <col min="3421" max="3421" width="17.140625" style="1" customWidth="1"/>
    <col min="3422" max="3422" width="16.7109375" style="1" customWidth="1"/>
    <col min="3423" max="3423" width="16.5703125" style="1" customWidth="1"/>
    <col min="3424" max="3424" width="16.28515625" style="1" customWidth="1"/>
    <col min="3425" max="3425" width="14.85546875" style="1" customWidth="1"/>
    <col min="3426" max="3426" width="16.140625" style="1" customWidth="1"/>
    <col min="3427" max="3427" width="16" style="1" customWidth="1"/>
    <col min="3428" max="3428" width="15.5703125" style="1" customWidth="1"/>
    <col min="3429" max="3429" width="16.28515625" style="1" customWidth="1"/>
    <col min="3430" max="3430" width="17.140625" style="1" customWidth="1"/>
    <col min="3431" max="3431" width="16.28515625" style="1" customWidth="1"/>
    <col min="3432" max="3432" width="15.7109375" style="1" customWidth="1"/>
    <col min="3433" max="3433" width="15.42578125" style="1" customWidth="1"/>
    <col min="3434" max="3536" width="9.140625" style="1"/>
    <col min="3537" max="3537" width="19.85546875" style="1" customWidth="1"/>
    <col min="3538" max="3538" width="22" style="1" customWidth="1"/>
    <col min="3539" max="3539" width="18.42578125" style="1" customWidth="1"/>
    <col min="3540" max="3541" width="16.42578125" style="1" customWidth="1"/>
    <col min="3542" max="3542" width="18.85546875" style="1" customWidth="1"/>
    <col min="3543" max="3544" width="15.5703125" style="1" customWidth="1"/>
    <col min="3545" max="3545" width="11.28515625" style="1" customWidth="1"/>
    <col min="3546" max="3546" width="12.7109375" style="1" customWidth="1"/>
    <col min="3547" max="3551" width="14.7109375" style="1" customWidth="1"/>
    <col min="3552" max="3555" width="13.85546875" style="1" customWidth="1"/>
    <col min="3556" max="3556" width="14.28515625" style="1" customWidth="1"/>
    <col min="3557" max="3557" width="13.85546875" style="1" customWidth="1"/>
    <col min="3558" max="3570" width="13.42578125" style="1" customWidth="1"/>
    <col min="3571" max="3571" width="16.85546875" style="1" customWidth="1"/>
    <col min="3572" max="3572" width="12.42578125" style="1" customWidth="1"/>
    <col min="3573" max="3573" width="13.5703125" style="1" customWidth="1"/>
    <col min="3574" max="3577" width="12.42578125" style="1" customWidth="1"/>
    <col min="3578" max="3579" width="13.140625" style="1" customWidth="1"/>
    <col min="3580" max="3614" width="14.42578125" style="1" customWidth="1"/>
    <col min="3615" max="3626" width="12.42578125" style="1" customWidth="1"/>
    <col min="3627" max="3627" width="17.5703125" style="1" customWidth="1"/>
    <col min="3628" max="3628" width="15.140625" style="1" customWidth="1"/>
    <col min="3629" max="3630" width="15.42578125" style="1" customWidth="1"/>
    <col min="3631" max="3632" width="15.5703125" style="1" customWidth="1"/>
    <col min="3633" max="3633" width="17" style="1" customWidth="1"/>
    <col min="3634" max="3634" width="15.5703125" style="1" customWidth="1"/>
    <col min="3635" max="3635" width="17.7109375" style="1" customWidth="1"/>
    <col min="3636" max="3636" width="18.42578125" style="1" customWidth="1"/>
    <col min="3637" max="3637" width="17.5703125" style="1" customWidth="1"/>
    <col min="3638" max="3639" width="16" style="1" customWidth="1"/>
    <col min="3640" max="3643" width="12.42578125" style="1" customWidth="1"/>
    <col min="3644" max="3644" width="17.7109375" style="1" customWidth="1"/>
    <col min="3645" max="3645" width="12.42578125" style="1" customWidth="1"/>
    <col min="3646" max="3646" width="13.7109375" style="1" customWidth="1"/>
    <col min="3647" max="3647" width="15.5703125" style="1" customWidth="1"/>
    <col min="3648" max="3651" width="13.7109375" style="1" customWidth="1"/>
    <col min="3652" max="3653" width="12.42578125" style="1" customWidth="1"/>
    <col min="3654" max="3654" width="14.85546875" style="1" customWidth="1"/>
    <col min="3655" max="3655" width="12.42578125" style="1" customWidth="1"/>
    <col min="3656" max="3657" width="13.42578125" style="1" customWidth="1"/>
    <col min="3658" max="3658" width="17" style="1" customWidth="1"/>
    <col min="3659" max="3660" width="12.42578125" style="1" customWidth="1"/>
    <col min="3661" max="3661" width="16.42578125" style="1" customWidth="1"/>
    <col min="3662" max="3662" width="12.42578125" style="1" customWidth="1"/>
    <col min="3663" max="3663" width="13.42578125" style="1" customWidth="1"/>
    <col min="3664" max="3664" width="12.42578125" style="1" customWidth="1"/>
    <col min="3665" max="3666" width="11.7109375" style="1" customWidth="1"/>
    <col min="3667" max="3667" width="11.42578125" style="1" customWidth="1"/>
    <col min="3668" max="3668" width="11.7109375" style="1" customWidth="1"/>
    <col min="3669" max="3669" width="11.42578125" style="1" customWidth="1"/>
    <col min="3670" max="3671" width="15.42578125" style="1" customWidth="1"/>
    <col min="3672" max="3672" width="16.140625" style="1" customWidth="1"/>
    <col min="3673" max="3673" width="16.5703125" style="1" customWidth="1"/>
    <col min="3674" max="3674" width="16.7109375" style="1" customWidth="1"/>
    <col min="3675" max="3675" width="15.42578125" style="1" customWidth="1"/>
    <col min="3676" max="3676" width="14.85546875" style="1" customWidth="1"/>
    <col min="3677" max="3677" width="17.140625" style="1" customWidth="1"/>
    <col min="3678" max="3678" width="16.7109375" style="1" customWidth="1"/>
    <col min="3679" max="3679" width="16.5703125" style="1" customWidth="1"/>
    <col min="3680" max="3680" width="16.28515625" style="1" customWidth="1"/>
    <col min="3681" max="3681" width="14.85546875" style="1" customWidth="1"/>
    <col min="3682" max="3682" width="16.140625" style="1" customWidth="1"/>
    <col min="3683" max="3683" width="16" style="1" customWidth="1"/>
    <col min="3684" max="3684" width="15.5703125" style="1" customWidth="1"/>
    <col min="3685" max="3685" width="16.28515625" style="1" customWidth="1"/>
    <col min="3686" max="3686" width="17.140625" style="1" customWidth="1"/>
    <col min="3687" max="3687" width="16.28515625" style="1" customWidth="1"/>
    <col min="3688" max="3688" width="15.7109375" style="1" customWidth="1"/>
    <col min="3689" max="3689" width="15.42578125" style="1" customWidth="1"/>
    <col min="3690" max="3792" width="9.140625" style="1"/>
    <col min="3793" max="3793" width="19.85546875" style="1" customWidth="1"/>
    <col min="3794" max="3794" width="22" style="1" customWidth="1"/>
    <col min="3795" max="3795" width="18.42578125" style="1" customWidth="1"/>
    <col min="3796" max="3797" width="16.42578125" style="1" customWidth="1"/>
    <col min="3798" max="3798" width="18.85546875" style="1" customWidth="1"/>
    <col min="3799" max="3800" width="15.5703125" style="1" customWidth="1"/>
    <col min="3801" max="3801" width="11.28515625" style="1" customWidth="1"/>
    <col min="3802" max="3802" width="12.7109375" style="1" customWidth="1"/>
    <col min="3803" max="3807" width="14.7109375" style="1" customWidth="1"/>
    <col min="3808" max="3811" width="13.85546875" style="1" customWidth="1"/>
    <col min="3812" max="3812" width="14.28515625" style="1" customWidth="1"/>
    <col min="3813" max="3813" width="13.85546875" style="1" customWidth="1"/>
    <col min="3814" max="3826" width="13.42578125" style="1" customWidth="1"/>
    <col min="3827" max="3827" width="16.85546875" style="1" customWidth="1"/>
    <col min="3828" max="3828" width="12.42578125" style="1" customWidth="1"/>
    <col min="3829" max="3829" width="13.5703125" style="1" customWidth="1"/>
    <col min="3830" max="3833" width="12.42578125" style="1" customWidth="1"/>
    <col min="3834" max="3835" width="13.140625" style="1" customWidth="1"/>
    <col min="3836" max="3870" width="14.42578125" style="1" customWidth="1"/>
    <col min="3871" max="3882" width="12.42578125" style="1" customWidth="1"/>
    <col min="3883" max="3883" width="17.5703125" style="1" customWidth="1"/>
    <col min="3884" max="3884" width="15.140625" style="1" customWidth="1"/>
    <col min="3885" max="3886" width="15.42578125" style="1" customWidth="1"/>
    <col min="3887" max="3888" width="15.5703125" style="1" customWidth="1"/>
    <col min="3889" max="3889" width="17" style="1" customWidth="1"/>
    <col min="3890" max="3890" width="15.5703125" style="1" customWidth="1"/>
    <col min="3891" max="3891" width="17.7109375" style="1" customWidth="1"/>
    <col min="3892" max="3892" width="18.42578125" style="1" customWidth="1"/>
    <col min="3893" max="3893" width="17.5703125" style="1" customWidth="1"/>
    <col min="3894" max="3895" width="16" style="1" customWidth="1"/>
    <col min="3896" max="3899" width="12.42578125" style="1" customWidth="1"/>
    <col min="3900" max="3900" width="17.7109375" style="1" customWidth="1"/>
    <col min="3901" max="3901" width="12.42578125" style="1" customWidth="1"/>
    <col min="3902" max="3902" width="13.7109375" style="1" customWidth="1"/>
    <col min="3903" max="3903" width="15.5703125" style="1" customWidth="1"/>
    <col min="3904" max="3907" width="13.7109375" style="1" customWidth="1"/>
    <col min="3908" max="3909" width="12.42578125" style="1" customWidth="1"/>
    <col min="3910" max="3910" width="14.85546875" style="1" customWidth="1"/>
    <col min="3911" max="3911" width="12.42578125" style="1" customWidth="1"/>
    <col min="3912" max="3913" width="13.42578125" style="1" customWidth="1"/>
    <col min="3914" max="3914" width="17" style="1" customWidth="1"/>
    <col min="3915" max="3916" width="12.42578125" style="1" customWidth="1"/>
    <col min="3917" max="3917" width="16.42578125" style="1" customWidth="1"/>
    <col min="3918" max="3918" width="12.42578125" style="1" customWidth="1"/>
    <col min="3919" max="3919" width="13.42578125" style="1" customWidth="1"/>
    <col min="3920" max="3920" width="12.42578125" style="1" customWidth="1"/>
    <col min="3921" max="3922" width="11.7109375" style="1" customWidth="1"/>
    <col min="3923" max="3923" width="11.42578125" style="1" customWidth="1"/>
    <col min="3924" max="3924" width="11.7109375" style="1" customWidth="1"/>
    <col min="3925" max="3925" width="11.42578125" style="1" customWidth="1"/>
    <col min="3926" max="3927" width="15.42578125" style="1" customWidth="1"/>
    <col min="3928" max="3928" width="16.140625" style="1" customWidth="1"/>
    <col min="3929" max="3929" width="16.5703125" style="1" customWidth="1"/>
    <col min="3930" max="3930" width="16.7109375" style="1" customWidth="1"/>
    <col min="3931" max="3931" width="15.42578125" style="1" customWidth="1"/>
    <col min="3932" max="3932" width="14.85546875" style="1" customWidth="1"/>
    <col min="3933" max="3933" width="17.140625" style="1" customWidth="1"/>
    <col min="3934" max="3934" width="16.7109375" style="1" customWidth="1"/>
    <col min="3935" max="3935" width="16.5703125" style="1" customWidth="1"/>
    <col min="3936" max="3936" width="16.28515625" style="1" customWidth="1"/>
    <col min="3937" max="3937" width="14.85546875" style="1" customWidth="1"/>
    <col min="3938" max="3938" width="16.140625" style="1" customWidth="1"/>
    <col min="3939" max="3939" width="16" style="1" customWidth="1"/>
    <col min="3940" max="3940" width="15.5703125" style="1" customWidth="1"/>
    <col min="3941" max="3941" width="16.28515625" style="1" customWidth="1"/>
    <col min="3942" max="3942" width="17.140625" style="1" customWidth="1"/>
    <col min="3943" max="3943" width="16.28515625" style="1" customWidth="1"/>
    <col min="3944" max="3944" width="15.7109375" style="1" customWidth="1"/>
    <col min="3945" max="3945" width="15.42578125" style="1" customWidth="1"/>
    <col min="3946" max="4048" width="9.140625" style="1"/>
    <col min="4049" max="4049" width="19.85546875" style="1" customWidth="1"/>
    <col min="4050" max="4050" width="22" style="1" customWidth="1"/>
    <col min="4051" max="4051" width="18.42578125" style="1" customWidth="1"/>
    <col min="4052" max="4053" width="16.42578125" style="1" customWidth="1"/>
    <col min="4054" max="4054" width="18.85546875" style="1" customWidth="1"/>
    <col min="4055" max="4056" width="15.5703125" style="1" customWidth="1"/>
    <col min="4057" max="4057" width="11.28515625" style="1" customWidth="1"/>
    <col min="4058" max="4058" width="12.7109375" style="1" customWidth="1"/>
    <col min="4059" max="4063" width="14.7109375" style="1" customWidth="1"/>
    <col min="4064" max="4067" width="13.85546875" style="1" customWidth="1"/>
    <col min="4068" max="4068" width="14.28515625" style="1" customWidth="1"/>
    <col min="4069" max="4069" width="13.85546875" style="1" customWidth="1"/>
    <col min="4070" max="4082" width="13.42578125" style="1" customWidth="1"/>
    <col min="4083" max="4083" width="16.85546875" style="1" customWidth="1"/>
    <col min="4084" max="4084" width="12.42578125" style="1" customWidth="1"/>
    <col min="4085" max="4085" width="13.5703125" style="1" customWidth="1"/>
    <col min="4086" max="4089" width="12.42578125" style="1" customWidth="1"/>
    <col min="4090" max="4091" width="13.140625" style="1" customWidth="1"/>
    <col min="4092" max="4126" width="14.42578125" style="1" customWidth="1"/>
    <col min="4127" max="4138" width="12.42578125" style="1" customWidth="1"/>
    <col min="4139" max="4139" width="17.5703125" style="1" customWidth="1"/>
    <col min="4140" max="4140" width="15.140625" style="1" customWidth="1"/>
    <col min="4141" max="4142" width="15.42578125" style="1" customWidth="1"/>
    <col min="4143" max="4144" width="15.5703125" style="1" customWidth="1"/>
    <col min="4145" max="4145" width="17" style="1" customWidth="1"/>
    <col min="4146" max="4146" width="15.5703125" style="1" customWidth="1"/>
    <col min="4147" max="4147" width="17.7109375" style="1" customWidth="1"/>
    <col min="4148" max="4148" width="18.42578125" style="1" customWidth="1"/>
    <col min="4149" max="4149" width="17.5703125" style="1" customWidth="1"/>
    <col min="4150" max="4151" width="16" style="1" customWidth="1"/>
    <col min="4152" max="4155" width="12.42578125" style="1" customWidth="1"/>
    <col min="4156" max="4156" width="17.7109375" style="1" customWidth="1"/>
    <col min="4157" max="4157" width="12.42578125" style="1" customWidth="1"/>
    <col min="4158" max="4158" width="13.7109375" style="1" customWidth="1"/>
    <col min="4159" max="4159" width="15.5703125" style="1" customWidth="1"/>
    <col min="4160" max="4163" width="13.7109375" style="1" customWidth="1"/>
    <col min="4164" max="4165" width="12.42578125" style="1" customWidth="1"/>
    <col min="4166" max="4166" width="14.85546875" style="1" customWidth="1"/>
    <col min="4167" max="4167" width="12.42578125" style="1" customWidth="1"/>
    <col min="4168" max="4169" width="13.42578125" style="1" customWidth="1"/>
    <col min="4170" max="4170" width="17" style="1" customWidth="1"/>
    <col min="4171" max="4172" width="12.42578125" style="1" customWidth="1"/>
    <col min="4173" max="4173" width="16.42578125" style="1" customWidth="1"/>
    <col min="4174" max="4174" width="12.42578125" style="1" customWidth="1"/>
    <col min="4175" max="4175" width="13.42578125" style="1" customWidth="1"/>
    <col min="4176" max="4176" width="12.42578125" style="1" customWidth="1"/>
    <col min="4177" max="4178" width="11.7109375" style="1" customWidth="1"/>
    <col min="4179" max="4179" width="11.42578125" style="1" customWidth="1"/>
    <col min="4180" max="4180" width="11.7109375" style="1" customWidth="1"/>
    <col min="4181" max="4181" width="11.42578125" style="1" customWidth="1"/>
    <col min="4182" max="4183" width="15.42578125" style="1" customWidth="1"/>
    <col min="4184" max="4184" width="16.140625" style="1" customWidth="1"/>
    <col min="4185" max="4185" width="16.5703125" style="1" customWidth="1"/>
    <col min="4186" max="4186" width="16.7109375" style="1" customWidth="1"/>
    <col min="4187" max="4187" width="15.42578125" style="1" customWidth="1"/>
    <col min="4188" max="4188" width="14.85546875" style="1" customWidth="1"/>
    <col min="4189" max="4189" width="17.140625" style="1" customWidth="1"/>
    <col min="4190" max="4190" width="16.7109375" style="1" customWidth="1"/>
    <col min="4191" max="4191" width="16.5703125" style="1" customWidth="1"/>
    <col min="4192" max="4192" width="16.28515625" style="1" customWidth="1"/>
    <col min="4193" max="4193" width="14.85546875" style="1" customWidth="1"/>
    <col min="4194" max="4194" width="16.140625" style="1" customWidth="1"/>
    <col min="4195" max="4195" width="16" style="1" customWidth="1"/>
    <col min="4196" max="4196" width="15.5703125" style="1" customWidth="1"/>
    <col min="4197" max="4197" width="16.28515625" style="1" customWidth="1"/>
    <col min="4198" max="4198" width="17.140625" style="1" customWidth="1"/>
    <col min="4199" max="4199" width="16.28515625" style="1" customWidth="1"/>
    <col min="4200" max="4200" width="15.7109375" style="1" customWidth="1"/>
    <col min="4201" max="4201" width="15.42578125" style="1" customWidth="1"/>
    <col min="4202" max="4304" width="9.140625" style="1"/>
    <col min="4305" max="4305" width="19.85546875" style="1" customWidth="1"/>
    <col min="4306" max="4306" width="22" style="1" customWidth="1"/>
    <col min="4307" max="4307" width="18.42578125" style="1" customWidth="1"/>
    <col min="4308" max="4309" width="16.42578125" style="1" customWidth="1"/>
    <col min="4310" max="4310" width="18.85546875" style="1" customWidth="1"/>
    <col min="4311" max="4312" width="15.5703125" style="1" customWidth="1"/>
    <col min="4313" max="4313" width="11.28515625" style="1" customWidth="1"/>
    <col min="4314" max="4314" width="12.7109375" style="1" customWidth="1"/>
    <col min="4315" max="4319" width="14.7109375" style="1" customWidth="1"/>
    <col min="4320" max="4323" width="13.85546875" style="1" customWidth="1"/>
    <col min="4324" max="4324" width="14.28515625" style="1" customWidth="1"/>
    <col min="4325" max="4325" width="13.85546875" style="1" customWidth="1"/>
    <col min="4326" max="4338" width="13.42578125" style="1" customWidth="1"/>
    <col min="4339" max="4339" width="16.85546875" style="1" customWidth="1"/>
    <col min="4340" max="4340" width="12.42578125" style="1" customWidth="1"/>
    <col min="4341" max="4341" width="13.5703125" style="1" customWidth="1"/>
    <col min="4342" max="4345" width="12.42578125" style="1" customWidth="1"/>
    <col min="4346" max="4347" width="13.140625" style="1" customWidth="1"/>
    <col min="4348" max="4382" width="14.42578125" style="1" customWidth="1"/>
    <col min="4383" max="4394" width="12.42578125" style="1" customWidth="1"/>
    <col min="4395" max="4395" width="17.5703125" style="1" customWidth="1"/>
    <col min="4396" max="4396" width="15.140625" style="1" customWidth="1"/>
    <col min="4397" max="4398" width="15.42578125" style="1" customWidth="1"/>
    <col min="4399" max="4400" width="15.5703125" style="1" customWidth="1"/>
    <col min="4401" max="4401" width="17" style="1" customWidth="1"/>
    <col min="4402" max="4402" width="15.5703125" style="1" customWidth="1"/>
    <col min="4403" max="4403" width="17.7109375" style="1" customWidth="1"/>
    <col min="4404" max="4404" width="18.42578125" style="1" customWidth="1"/>
    <col min="4405" max="4405" width="17.5703125" style="1" customWidth="1"/>
    <col min="4406" max="4407" width="16" style="1" customWidth="1"/>
    <col min="4408" max="4411" width="12.42578125" style="1" customWidth="1"/>
    <col min="4412" max="4412" width="17.7109375" style="1" customWidth="1"/>
    <col min="4413" max="4413" width="12.42578125" style="1" customWidth="1"/>
    <col min="4414" max="4414" width="13.7109375" style="1" customWidth="1"/>
    <col min="4415" max="4415" width="15.5703125" style="1" customWidth="1"/>
    <col min="4416" max="4419" width="13.7109375" style="1" customWidth="1"/>
    <col min="4420" max="4421" width="12.42578125" style="1" customWidth="1"/>
    <col min="4422" max="4422" width="14.85546875" style="1" customWidth="1"/>
    <col min="4423" max="4423" width="12.42578125" style="1" customWidth="1"/>
    <col min="4424" max="4425" width="13.42578125" style="1" customWidth="1"/>
    <col min="4426" max="4426" width="17" style="1" customWidth="1"/>
    <col min="4427" max="4428" width="12.42578125" style="1" customWidth="1"/>
    <col min="4429" max="4429" width="16.42578125" style="1" customWidth="1"/>
    <col min="4430" max="4430" width="12.42578125" style="1" customWidth="1"/>
    <col min="4431" max="4431" width="13.42578125" style="1" customWidth="1"/>
    <col min="4432" max="4432" width="12.42578125" style="1" customWidth="1"/>
    <col min="4433" max="4434" width="11.7109375" style="1" customWidth="1"/>
    <col min="4435" max="4435" width="11.42578125" style="1" customWidth="1"/>
    <col min="4436" max="4436" width="11.7109375" style="1" customWidth="1"/>
    <col min="4437" max="4437" width="11.42578125" style="1" customWidth="1"/>
    <col min="4438" max="4439" width="15.42578125" style="1" customWidth="1"/>
    <col min="4440" max="4440" width="16.140625" style="1" customWidth="1"/>
    <col min="4441" max="4441" width="16.5703125" style="1" customWidth="1"/>
    <col min="4442" max="4442" width="16.7109375" style="1" customWidth="1"/>
    <col min="4443" max="4443" width="15.42578125" style="1" customWidth="1"/>
    <col min="4444" max="4444" width="14.85546875" style="1" customWidth="1"/>
    <col min="4445" max="4445" width="17.140625" style="1" customWidth="1"/>
    <col min="4446" max="4446" width="16.7109375" style="1" customWidth="1"/>
    <col min="4447" max="4447" width="16.5703125" style="1" customWidth="1"/>
    <col min="4448" max="4448" width="16.28515625" style="1" customWidth="1"/>
    <col min="4449" max="4449" width="14.85546875" style="1" customWidth="1"/>
    <col min="4450" max="4450" width="16.140625" style="1" customWidth="1"/>
    <col min="4451" max="4451" width="16" style="1" customWidth="1"/>
    <col min="4452" max="4452" width="15.5703125" style="1" customWidth="1"/>
    <col min="4453" max="4453" width="16.28515625" style="1" customWidth="1"/>
    <col min="4454" max="4454" width="17.140625" style="1" customWidth="1"/>
    <col min="4455" max="4455" width="16.28515625" style="1" customWidth="1"/>
    <col min="4456" max="4456" width="15.7109375" style="1" customWidth="1"/>
    <col min="4457" max="4457" width="15.42578125" style="1" customWidth="1"/>
    <col min="4458" max="4560" width="9.140625" style="1"/>
    <col min="4561" max="4561" width="19.85546875" style="1" customWidth="1"/>
    <col min="4562" max="4562" width="22" style="1" customWidth="1"/>
    <col min="4563" max="4563" width="18.42578125" style="1" customWidth="1"/>
    <col min="4564" max="4565" width="16.42578125" style="1" customWidth="1"/>
    <col min="4566" max="4566" width="18.85546875" style="1" customWidth="1"/>
    <col min="4567" max="4568" width="15.5703125" style="1" customWidth="1"/>
    <col min="4569" max="4569" width="11.28515625" style="1" customWidth="1"/>
    <col min="4570" max="4570" width="12.7109375" style="1" customWidth="1"/>
    <col min="4571" max="4575" width="14.7109375" style="1" customWidth="1"/>
    <col min="4576" max="4579" width="13.85546875" style="1" customWidth="1"/>
    <col min="4580" max="4580" width="14.28515625" style="1" customWidth="1"/>
    <col min="4581" max="4581" width="13.85546875" style="1" customWidth="1"/>
    <col min="4582" max="4594" width="13.42578125" style="1" customWidth="1"/>
    <col min="4595" max="4595" width="16.85546875" style="1" customWidth="1"/>
    <col min="4596" max="4596" width="12.42578125" style="1" customWidth="1"/>
    <col min="4597" max="4597" width="13.5703125" style="1" customWidth="1"/>
    <col min="4598" max="4601" width="12.42578125" style="1" customWidth="1"/>
    <col min="4602" max="4603" width="13.140625" style="1" customWidth="1"/>
    <col min="4604" max="4638" width="14.42578125" style="1" customWidth="1"/>
    <col min="4639" max="4650" width="12.42578125" style="1" customWidth="1"/>
    <col min="4651" max="4651" width="17.5703125" style="1" customWidth="1"/>
    <col min="4652" max="4652" width="15.140625" style="1" customWidth="1"/>
    <col min="4653" max="4654" width="15.42578125" style="1" customWidth="1"/>
    <col min="4655" max="4656" width="15.5703125" style="1" customWidth="1"/>
    <col min="4657" max="4657" width="17" style="1" customWidth="1"/>
    <col min="4658" max="4658" width="15.5703125" style="1" customWidth="1"/>
    <col min="4659" max="4659" width="17.7109375" style="1" customWidth="1"/>
    <col min="4660" max="4660" width="18.42578125" style="1" customWidth="1"/>
    <col min="4661" max="4661" width="17.5703125" style="1" customWidth="1"/>
    <col min="4662" max="4663" width="16" style="1" customWidth="1"/>
    <col min="4664" max="4667" width="12.42578125" style="1" customWidth="1"/>
    <col min="4668" max="4668" width="17.7109375" style="1" customWidth="1"/>
    <col min="4669" max="4669" width="12.42578125" style="1" customWidth="1"/>
    <col min="4670" max="4670" width="13.7109375" style="1" customWidth="1"/>
    <col min="4671" max="4671" width="15.5703125" style="1" customWidth="1"/>
    <col min="4672" max="4675" width="13.7109375" style="1" customWidth="1"/>
    <col min="4676" max="4677" width="12.42578125" style="1" customWidth="1"/>
    <col min="4678" max="4678" width="14.85546875" style="1" customWidth="1"/>
    <col min="4679" max="4679" width="12.42578125" style="1" customWidth="1"/>
    <col min="4680" max="4681" width="13.42578125" style="1" customWidth="1"/>
    <col min="4682" max="4682" width="17" style="1" customWidth="1"/>
    <col min="4683" max="4684" width="12.42578125" style="1" customWidth="1"/>
    <col min="4685" max="4685" width="16.42578125" style="1" customWidth="1"/>
    <col min="4686" max="4686" width="12.42578125" style="1" customWidth="1"/>
    <col min="4687" max="4687" width="13.42578125" style="1" customWidth="1"/>
    <col min="4688" max="4688" width="12.42578125" style="1" customWidth="1"/>
    <col min="4689" max="4690" width="11.7109375" style="1" customWidth="1"/>
    <col min="4691" max="4691" width="11.42578125" style="1" customWidth="1"/>
    <col min="4692" max="4692" width="11.7109375" style="1" customWidth="1"/>
    <col min="4693" max="4693" width="11.42578125" style="1" customWidth="1"/>
    <col min="4694" max="4695" width="15.42578125" style="1" customWidth="1"/>
    <col min="4696" max="4696" width="16.140625" style="1" customWidth="1"/>
    <col min="4697" max="4697" width="16.5703125" style="1" customWidth="1"/>
    <col min="4698" max="4698" width="16.7109375" style="1" customWidth="1"/>
    <col min="4699" max="4699" width="15.42578125" style="1" customWidth="1"/>
    <col min="4700" max="4700" width="14.85546875" style="1" customWidth="1"/>
    <col min="4701" max="4701" width="17.140625" style="1" customWidth="1"/>
    <col min="4702" max="4702" width="16.7109375" style="1" customWidth="1"/>
    <col min="4703" max="4703" width="16.5703125" style="1" customWidth="1"/>
    <col min="4704" max="4704" width="16.28515625" style="1" customWidth="1"/>
    <col min="4705" max="4705" width="14.85546875" style="1" customWidth="1"/>
    <col min="4706" max="4706" width="16.140625" style="1" customWidth="1"/>
    <col min="4707" max="4707" width="16" style="1" customWidth="1"/>
    <col min="4708" max="4708" width="15.5703125" style="1" customWidth="1"/>
    <col min="4709" max="4709" width="16.28515625" style="1" customWidth="1"/>
    <col min="4710" max="4710" width="17.140625" style="1" customWidth="1"/>
    <col min="4711" max="4711" width="16.28515625" style="1" customWidth="1"/>
    <col min="4712" max="4712" width="15.7109375" style="1" customWidth="1"/>
    <col min="4713" max="4713" width="15.42578125" style="1" customWidth="1"/>
    <col min="4714" max="4816" width="9.140625" style="1"/>
    <col min="4817" max="4817" width="19.85546875" style="1" customWidth="1"/>
    <col min="4818" max="4818" width="22" style="1" customWidth="1"/>
    <col min="4819" max="4819" width="18.42578125" style="1" customWidth="1"/>
    <col min="4820" max="4821" width="16.42578125" style="1" customWidth="1"/>
    <col min="4822" max="4822" width="18.85546875" style="1" customWidth="1"/>
    <col min="4823" max="4824" width="15.5703125" style="1" customWidth="1"/>
    <col min="4825" max="4825" width="11.28515625" style="1" customWidth="1"/>
    <col min="4826" max="4826" width="12.7109375" style="1" customWidth="1"/>
    <col min="4827" max="4831" width="14.7109375" style="1" customWidth="1"/>
    <col min="4832" max="4835" width="13.85546875" style="1" customWidth="1"/>
    <col min="4836" max="4836" width="14.28515625" style="1" customWidth="1"/>
    <col min="4837" max="4837" width="13.85546875" style="1" customWidth="1"/>
    <col min="4838" max="4850" width="13.42578125" style="1" customWidth="1"/>
    <col min="4851" max="4851" width="16.85546875" style="1" customWidth="1"/>
    <col min="4852" max="4852" width="12.42578125" style="1" customWidth="1"/>
    <col min="4853" max="4853" width="13.5703125" style="1" customWidth="1"/>
    <col min="4854" max="4857" width="12.42578125" style="1" customWidth="1"/>
    <col min="4858" max="4859" width="13.140625" style="1" customWidth="1"/>
    <col min="4860" max="4894" width="14.42578125" style="1" customWidth="1"/>
    <col min="4895" max="4906" width="12.42578125" style="1" customWidth="1"/>
    <col min="4907" max="4907" width="17.5703125" style="1" customWidth="1"/>
    <col min="4908" max="4908" width="15.140625" style="1" customWidth="1"/>
    <col min="4909" max="4910" width="15.42578125" style="1" customWidth="1"/>
    <col min="4911" max="4912" width="15.5703125" style="1" customWidth="1"/>
    <col min="4913" max="4913" width="17" style="1" customWidth="1"/>
    <col min="4914" max="4914" width="15.5703125" style="1" customWidth="1"/>
    <col min="4915" max="4915" width="17.7109375" style="1" customWidth="1"/>
    <col min="4916" max="4916" width="18.42578125" style="1" customWidth="1"/>
    <col min="4917" max="4917" width="17.5703125" style="1" customWidth="1"/>
    <col min="4918" max="4919" width="16" style="1" customWidth="1"/>
    <col min="4920" max="4923" width="12.42578125" style="1" customWidth="1"/>
    <col min="4924" max="4924" width="17.7109375" style="1" customWidth="1"/>
    <col min="4925" max="4925" width="12.42578125" style="1" customWidth="1"/>
    <col min="4926" max="4926" width="13.7109375" style="1" customWidth="1"/>
    <col min="4927" max="4927" width="15.5703125" style="1" customWidth="1"/>
    <col min="4928" max="4931" width="13.7109375" style="1" customWidth="1"/>
    <col min="4932" max="4933" width="12.42578125" style="1" customWidth="1"/>
    <col min="4934" max="4934" width="14.85546875" style="1" customWidth="1"/>
    <col min="4935" max="4935" width="12.42578125" style="1" customWidth="1"/>
    <col min="4936" max="4937" width="13.42578125" style="1" customWidth="1"/>
    <col min="4938" max="4938" width="17" style="1" customWidth="1"/>
    <col min="4939" max="4940" width="12.42578125" style="1" customWidth="1"/>
    <col min="4941" max="4941" width="16.42578125" style="1" customWidth="1"/>
    <col min="4942" max="4942" width="12.42578125" style="1" customWidth="1"/>
    <col min="4943" max="4943" width="13.42578125" style="1" customWidth="1"/>
    <col min="4944" max="4944" width="12.42578125" style="1" customWidth="1"/>
    <col min="4945" max="4946" width="11.7109375" style="1" customWidth="1"/>
    <col min="4947" max="4947" width="11.42578125" style="1" customWidth="1"/>
    <col min="4948" max="4948" width="11.7109375" style="1" customWidth="1"/>
    <col min="4949" max="4949" width="11.42578125" style="1" customWidth="1"/>
    <col min="4950" max="4951" width="15.42578125" style="1" customWidth="1"/>
    <col min="4952" max="4952" width="16.140625" style="1" customWidth="1"/>
    <col min="4953" max="4953" width="16.5703125" style="1" customWidth="1"/>
    <col min="4954" max="4954" width="16.7109375" style="1" customWidth="1"/>
    <col min="4955" max="4955" width="15.42578125" style="1" customWidth="1"/>
    <col min="4956" max="4956" width="14.85546875" style="1" customWidth="1"/>
    <col min="4957" max="4957" width="17.140625" style="1" customWidth="1"/>
    <col min="4958" max="4958" width="16.7109375" style="1" customWidth="1"/>
    <col min="4959" max="4959" width="16.5703125" style="1" customWidth="1"/>
    <col min="4960" max="4960" width="16.28515625" style="1" customWidth="1"/>
    <col min="4961" max="4961" width="14.85546875" style="1" customWidth="1"/>
    <col min="4962" max="4962" width="16.140625" style="1" customWidth="1"/>
    <col min="4963" max="4963" width="16" style="1" customWidth="1"/>
    <col min="4964" max="4964" width="15.5703125" style="1" customWidth="1"/>
    <col min="4965" max="4965" width="16.28515625" style="1" customWidth="1"/>
    <col min="4966" max="4966" width="17.140625" style="1" customWidth="1"/>
    <col min="4967" max="4967" width="16.28515625" style="1" customWidth="1"/>
    <col min="4968" max="4968" width="15.7109375" style="1" customWidth="1"/>
    <col min="4969" max="4969" width="15.42578125" style="1" customWidth="1"/>
    <col min="4970" max="5072" width="9.140625" style="1"/>
    <col min="5073" max="5073" width="19.85546875" style="1" customWidth="1"/>
    <col min="5074" max="5074" width="22" style="1" customWidth="1"/>
    <col min="5075" max="5075" width="18.42578125" style="1" customWidth="1"/>
    <col min="5076" max="5077" width="16.42578125" style="1" customWidth="1"/>
    <col min="5078" max="5078" width="18.85546875" style="1" customWidth="1"/>
    <col min="5079" max="5080" width="15.5703125" style="1" customWidth="1"/>
    <col min="5081" max="5081" width="11.28515625" style="1" customWidth="1"/>
    <col min="5082" max="5082" width="12.7109375" style="1" customWidth="1"/>
    <col min="5083" max="5087" width="14.7109375" style="1" customWidth="1"/>
    <col min="5088" max="5091" width="13.85546875" style="1" customWidth="1"/>
    <col min="5092" max="5092" width="14.28515625" style="1" customWidth="1"/>
    <col min="5093" max="5093" width="13.85546875" style="1" customWidth="1"/>
    <col min="5094" max="5106" width="13.42578125" style="1" customWidth="1"/>
    <col min="5107" max="5107" width="16.85546875" style="1" customWidth="1"/>
    <col min="5108" max="5108" width="12.42578125" style="1" customWidth="1"/>
    <col min="5109" max="5109" width="13.5703125" style="1" customWidth="1"/>
    <col min="5110" max="5113" width="12.42578125" style="1" customWidth="1"/>
    <col min="5114" max="5115" width="13.140625" style="1" customWidth="1"/>
    <col min="5116" max="5150" width="14.42578125" style="1" customWidth="1"/>
    <col min="5151" max="5162" width="12.42578125" style="1" customWidth="1"/>
    <col min="5163" max="5163" width="17.5703125" style="1" customWidth="1"/>
    <col min="5164" max="5164" width="15.140625" style="1" customWidth="1"/>
    <col min="5165" max="5166" width="15.42578125" style="1" customWidth="1"/>
    <col min="5167" max="5168" width="15.5703125" style="1" customWidth="1"/>
    <col min="5169" max="5169" width="17" style="1" customWidth="1"/>
    <col min="5170" max="5170" width="15.5703125" style="1" customWidth="1"/>
    <col min="5171" max="5171" width="17.7109375" style="1" customWidth="1"/>
    <col min="5172" max="5172" width="18.42578125" style="1" customWidth="1"/>
    <col min="5173" max="5173" width="17.5703125" style="1" customWidth="1"/>
    <col min="5174" max="5175" width="16" style="1" customWidth="1"/>
    <col min="5176" max="5179" width="12.42578125" style="1" customWidth="1"/>
    <col min="5180" max="5180" width="17.7109375" style="1" customWidth="1"/>
    <col min="5181" max="5181" width="12.42578125" style="1" customWidth="1"/>
    <col min="5182" max="5182" width="13.7109375" style="1" customWidth="1"/>
    <col min="5183" max="5183" width="15.5703125" style="1" customWidth="1"/>
    <col min="5184" max="5187" width="13.7109375" style="1" customWidth="1"/>
    <col min="5188" max="5189" width="12.42578125" style="1" customWidth="1"/>
    <col min="5190" max="5190" width="14.85546875" style="1" customWidth="1"/>
    <col min="5191" max="5191" width="12.42578125" style="1" customWidth="1"/>
    <col min="5192" max="5193" width="13.42578125" style="1" customWidth="1"/>
    <col min="5194" max="5194" width="17" style="1" customWidth="1"/>
    <col min="5195" max="5196" width="12.42578125" style="1" customWidth="1"/>
    <col min="5197" max="5197" width="16.42578125" style="1" customWidth="1"/>
    <col min="5198" max="5198" width="12.42578125" style="1" customWidth="1"/>
    <col min="5199" max="5199" width="13.42578125" style="1" customWidth="1"/>
    <col min="5200" max="5200" width="12.42578125" style="1" customWidth="1"/>
    <col min="5201" max="5202" width="11.7109375" style="1" customWidth="1"/>
    <col min="5203" max="5203" width="11.42578125" style="1" customWidth="1"/>
    <col min="5204" max="5204" width="11.7109375" style="1" customWidth="1"/>
    <col min="5205" max="5205" width="11.42578125" style="1" customWidth="1"/>
    <col min="5206" max="5207" width="15.42578125" style="1" customWidth="1"/>
    <col min="5208" max="5208" width="16.140625" style="1" customWidth="1"/>
    <col min="5209" max="5209" width="16.5703125" style="1" customWidth="1"/>
    <col min="5210" max="5210" width="16.7109375" style="1" customWidth="1"/>
    <col min="5211" max="5211" width="15.42578125" style="1" customWidth="1"/>
    <col min="5212" max="5212" width="14.85546875" style="1" customWidth="1"/>
    <col min="5213" max="5213" width="17.140625" style="1" customWidth="1"/>
    <col min="5214" max="5214" width="16.7109375" style="1" customWidth="1"/>
    <col min="5215" max="5215" width="16.5703125" style="1" customWidth="1"/>
    <col min="5216" max="5216" width="16.28515625" style="1" customWidth="1"/>
    <col min="5217" max="5217" width="14.85546875" style="1" customWidth="1"/>
    <col min="5218" max="5218" width="16.140625" style="1" customWidth="1"/>
    <col min="5219" max="5219" width="16" style="1" customWidth="1"/>
    <col min="5220" max="5220" width="15.5703125" style="1" customWidth="1"/>
    <col min="5221" max="5221" width="16.28515625" style="1" customWidth="1"/>
    <col min="5222" max="5222" width="17.140625" style="1" customWidth="1"/>
    <col min="5223" max="5223" width="16.28515625" style="1" customWidth="1"/>
    <col min="5224" max="5224" width="15.7109375" style="1" customWidth="1"/>
    <col min="5225" max="5225" width="15.42578125" style="1" customWidth="1"/>
    <col min="5226" max="5328" width="9.140625" style="1"/>
    <col min="5329" max="5329" width="19.85546875" style="1" customWidth="1"/>
    <col min="5330" max="5330" width="22" style="1" customWidth="1"/>
    <col min="5331" max="5331" width="18.42578125" style="1" customWidth="1"/>
    <col min="5332" max="5333" width="16.42578125" style="1" customWidth="1"/>
    <col min="5334" max="5334" width="18.85546875" style="1" customWidth="1"/>
    <col min="5335" max="5336" width="15.5703125" style="1" customWidth="1"/>
    <col min="5337" max="5337" width="11.28515625" style="1" customWidth="1"/>
    <col min="5338" max="5338" width="12.7109375" style="1" customWidth="1"/>
    <col min="5339" max="5343" width="14.7109375" style="1" customWidth="1"/>
    <col min="5344" max="5347" width="13.85546875" style="1" customWidth="1"/>
    <col min="5348" max="5348" width="14.28515625" style="1" customWidth="1"/>
    <col min="5349" max="5349" width="13.85546875" style="1" customWidth="1"/>
    <col min="5350" max="5362" width="13.42578125" style="1" customWidth="1"/>
    <col min="5363" max="5363" width="16.85546875" style="1" customWidth="1"/>
    <col min="5364" max="5364" width="12.42578125" style="1" customWidth="1"/>
    <col min="5365" max="5365" width="13.5703125" style="1" customWidth="1"/>
    <col min="5366" max="5369" width="12.42578125" style="1" customWidth="1"/>
    <col min="5370" max="5371" width="13.140625" style="1" customWidth="1"/>
    <col min="5372" max="5406" width="14.42578125" style="1" customWidth="1"/>
    <col min="5407" max="5418" width="12.42578125" style="1" customWidth="1"/>
    <col min="5419" max="5419" width="17.5703125" style="1" customWidth="1"/>
    <col min="5420" max="5420" width="15.140625" style="1" customWidth="1"/>
    <col min="5421" max="5422" width="15.42578125" style="1" customWidth="1"/>
    <col min="5423" max="5424" width="15.5703125" style="1" customWidth="1"/>
    <col min="5425" max="5425" width="17" style="1" customWidth="1"/>
    <col min="5426" max="5426" width="15.5703125" style="1" customWidth="1"/>
    <col min="5427" max="5427" width="17.7109375" style="1" customWidth="1"/>
    <col min="5428" max="5428" width="18.42578125" style="1" customWidth="1"/>
    <col min="5429" max="5429" width="17.5703125" style="1" customWidth="1"/>
    <col min="5430" max="5431" width="16" style="1" customWidth="1"/>
    <col min="5432" max="5435" width="12.42578125" style="1" customWidth="1"/>
    <col min="5436" max="5436" width="17.7109375" style="1" customWidth="1"/>
    <col min="5437" max="5437" width="12.42578125" style="1" customWidth="1"/>
    <col min="5438" max="5438" width="13.7109375" style="1" customWidth="1"/>
    <col min="5439" max="5439" width="15.5703125" style="1" customWidth="1"/>
    <col min="5440" max="5443" width="13.7109375" style="1" customWidth="1"/>
    <col min="5444" max="5445" width="12.42578125" style="1" customWidth="1"/>
    <col min="5446" max="5446" width="14.85546875" style="1" customWidth="1"/>
    <col min="5447" max="5447" width="12.42578125" style="1" customWidth="1"/>
    <col min="5448" max="5449" width="13.42578125" style="1" customWidth="1"/>
    <col min="5450" max="5450" width="17" style="1" customWidth="1"/>
    <col min="5451" max="5452" width="12.42578125" style="1" customWidth="1"/>
    <col min="5453" max="5453" width="16.42578125" style="1" customWidth="1"/>
    <col min="5454" max="5454" width="12.42578125" style="1" customWidth="1"/>
    <col min="5455" max="5455" width="13.42578125" style="1" customWidth="1"/>
    <col min="5456" max="5456" width="12.42578125" style="1" customWidth="1"/>
    <col min="5457" max="5458" width="11.7109375" style="1" customWidth="1"/>
    <col min="5459" max="5459" width="11.42578125" style="1" customWidth="1"/>
    <col min="5460" max="5460" width="11.7109375" style="1" customWidth="1"/>
    <col min="5461" max="5461" width="11.42578125" style="1" customWidth="1"/>
    <col min="5462" max="5463" width="15.42578125" style="1" customWidth="1"/>
    <col min="5464" max="5464" width="16.140625" style="1" customWidth="1"/>
    <col min="5465" max="5465" width="16.5703125" style="1" customWidth="1"/>
    <col min="5466" max="5466" width="16.7109375" style="1" customWidth="1"/>
    <col min="5467" max="5467" width="15.42578125" style="1" customWidth="1"/>
    <col min="5468" max="5468" width="14.85546875" style="1" customWidth="1"/>
    <col min="5469" max="5469" width="17.140625" style="1" customWidth="1"/>
    <col min="5470" max="5470" width="16.7109375" style="1" customWidth="1"/>
    <col min="5471" max="5471" width="16.5703125" style="1" customWidth="1"/>
    <col min="5472" max="5472" width="16.28515625" style="1" customWidth="1"/>
    <col min="5473" max="5473" width="14.85546875" style="1" customWidth="1"/>
    <col min="5474" max="5474" width="16.140625" style="1" customWidth="1"/>
    <col min="5475" max="5475" width="16" style="1" customWidth="1"/>
    <col min="5476" max="5476" width="15.5703125" style="1" customWidth="1"/>
    <col min="5477" max="5477" width="16.28515625" style="1" customWidth="1"/>
    <col min="5478" max="5478" width="17.140625" style="1" customWidth="1"/>
    <col min="5479" max="5479" width="16.28515625" style="1" customWidth="1"/>
    <col min="5480" max="5480" width="15.7109375" style="1" customWidth="1"/>
    <col min="5481" max="5481" width="15.42578125" style="1" customWidth="1"/>
    <col min="5482" max="5584" width="9.140625" style="1"/>
    <col min="5585" max="5585" width="19.85546875" style="1" customWidth="1"/>
    <col min="5586" max="5586" width="22" style="1" customWidth="1"/>
    <col min="5587" max="5587" width="18.42578125" style="1" customWidth="1"/>
    <col min="5588" max="5589" width="16.42578125" style="1" customWidth="1"/>
    <col min="5590" max="5590" width="18.85546875" style="1" customWidth="1"/>
    <col min="5591" max="5592" width="15.5703125" style="1" customWidth="1"/>
    <col min="5593" max="5593" width="11.28515625" style="1" customWidth="1"/>
    <col min="5594" max="5594" width="12.7109375" style="1" customWidth="1"/>
    <col min="5595" max="5599" width="14.7109375" style="1" customWidth="1"/>
    <col min="5600" max="5603" width="13.85546875" style="1" customWidth="1"/>
    <col min="5604" max="5604" width="14.28515625" style="1" customWidth="1"/>
    <col min="5605" max="5605" width="13.85546875" style="1" customWidth="1"/>
    <col min="5606" max="5618" width="13.42578125" style="1" customWidth="1"/>
    <col min="5619" max="5619" width="16.85546875" style="1" customWidth="1"/>
    <col min="5620" max="5620" width="12.42578125" style="1" customWidth="1"/>
    <col min="5621" max="5621" width="13.5703125" style="1" customWidth="1"/>
    <col min="5622" max="5625" width="12.42578125" style="1" customWidth="1"/>
    <col min="5626" max="5627" width="13.140625" style="1" customWidth="1"/>
    <col min="5628" max="5662" width="14.42578125" style="1" customWidth="1"/>
    <col min="5663" max="5674" width="12.42578125" style="1" customWidth="1"/>
    <col min="5675" max="5675" width="17.5703125" style="1" customWidth="1"/>
    <col min="5676" max="5676" width="15.140625" style="1" customWidth="1"/>
    <col min="5677" max="5678" width="15.42578125" style="1" customWidth="1"/>
    <col min="5679" max="5680" width="15.5703125" style="1" customWidth="1"/>
    <col min="5681" max="5681" width="17" style="1" customWidth="1"/>
    <col min="5682" max="5682" width="15.5703125" style="1" customWidth="1"/>
    <col min="5683" max="5683" width="17.7109375" style="1" customWidth="1"/>
    <col min="5684" max="5684" width="18.42578125" style="1" customWidth="1"/>
    <col min="5685" max="5685" width="17.5703125" style="1" customWidth="1"/>
    <col min="5686" max="5687" width="16" style="1" customWidth="1"/>
    <col min="5688" max="5691" width="12.42578125" style="1" customWidth="1"/>
    <col min="5692" max="5692" width="17.7109375" style="1" customWidth="1"/>
    <col min="5693" max="5693" width="12.42578125" style="1" customWidth="1"/>
    <col min="5694" max="5694" width="13.7109375" style="1" customWidth="1"/>
    <col min="5695" max="5695" width="15.5703125" style="1" customWidth="1"/>
    <col min="5696" max="5699" width="13.7109375" style="1" customWidth="1"/>
    <col min="5700" max="5701" width="12.42578125" style="1" customWidth="1"/>
    <col min="5702" max="5702" width="14.85546875" style="1" customWidth="1"/>
    <col min="5703" max="5703" width="12.42578125" style="1" customWidth="1"/>
    <col min="5704" max="5705" width="13.42578125" style="1" customWidth="1"/>
    <col min="5706" max="5706" width="17" style="1" customWidth="1"/>
    <col min="5707" max="5708" width="12.42578125" style="1" customWidth="1"/>
    <col min="5709" max="5709" width="16.42578125" style="1" customWidth="1"/>
    <col min="5710" max="5710" width="12.42578125" style="1" customWidth="1"/>
    <col min="5711" max="5711" width="13.42578125" style="1" customWidth="1"/>
    <col min="5712" max="5712" width="12.42578125" style="1" customWidth="1"/>
    <col min="5713" max="5714" width="11.7109375" style="1" customWidth="1"/>
    <col min="5715" max="5715" width="11.42578125" style="1" customWidth="1"/>
    <col min="5716" max="5716" width="11.7109375" style="1" customWidth="1"/>
    <col min="5717" max="5717" width="11.42578125" style="1" customWidth="1"/>
    <col min="5718" max="5719" width="15.42578125" style="1" customWidth="1"/>
    <col min="5720" max="5720" width="16.140625" style="1" customWidth="1"/>
    <col min="5721" max="5721" width="16.5703125" style="1" customWidth="1"/>
    <col min="5722" max="5722" width="16.7109375" style="1" customWidth="1"/>
    <col min="5723" max="5723" width="15.42578125" style="1" customWidth="1"/>
    <col min="5724" max="5724" width="14.85546875" style="1" customWidth="1"/>
    <col min="5725" max="5725" width="17.140625" style="1" customWidth="1"/>
    <col min="5726" max="5726" width="16.7109375" style="1" customWidth="1"/>
    <col min="5727" max="5727" width="16.5703125" style="1" customWidth="1"/>
    <col min="5728" max="5728" width="16.28515625" style="1" customWidth="1"/>
    <col min="5729" max="5729" width="14.85546875" style="1" customWidth="1"/>
    <col min="5730" max="5730" width="16.140625" style="1" customWidth="1"/>
    <col min="5731" max="5731" width="16" style="1" customWidth="1"/>
    <col min="5732" max="5732" width="15.5703125" style="1" customWidth="1"/>
    <col min="5733" max="5733" width="16.28515625" style="1" customWidth="1"/>
    <col min="5734" max="5734" width="17.140625" style="1" customWidth="1"/>
    <col min="5735" max="5735" width="16.28515625" style="1" customWidth="1"/>
    <col min="5736" max="5736" width="15.7109375" style="1" customWidth="1"/>
    <col min="5737" max="5737" width="15.42578125" style="1" customWidth="1"/>
    <col min="5738" max="5840" width="9.140625" style="1"/>
    <col min="5841" max="5841" width="19.85546875" style="1" customWidth="1"/>
    <col min="5842" max="5842" width="22" style="1" customWidth="1"/>
    <col min="5843" max="5843" width="18.42578125" style="1" customWidth="1"/>
    <col min="5844" max="5845" width="16.42578125" style="1" customWidth="1"/>
    <col min="5846" max="5846" width="18.85546875" style="1" customWidth="1"/>
    <col min="5847" max="5848" width="15.5703125" style="1" customWidth="1"/>
    <col min="5849" max="5849" width="11.28515625" style="1" customWidth="1"/>
    <col min="5850" max="5850" width="12.7109375" style="1" customWidth="1"/>
    <col min="5851" max="5855" width="14.7109375" style="1" customWidth="1"/>
    <col min="5856" max="5859" width="13.85546875" style="1" customWidth="1"/>
    <col min="5860" max="5860" width="14.28515625" style="1" customWidth="1"/>
    <col min="5861" max="5861" width="13.85546875" style="1" customWidth="1"/>
    <col min="5862" max="5874" width="13.42578125" style="1" customWidth="1"/>
    <col min="5875" max="5875" width="16.85546875" style="1" customWidth="1"/>
    <col min="5876" max="5876" width="12.42578125" style="1" customWidth="1"/>
    <col min="5877" max="5877" width="13.5703125" style="1" customWidth="1"/>
    <col min="5878" max="5881" width="12.42578125" style="1" customWidth="1"/>
    <col min="5882" max="5883" width="13.140625" style="1" customWidth="1"/>
    <col min="5884" max="5918" width="14.42578125" style="1" customWidth="1"/>
    <col min="5919" max="5930" width="12.42578125" style="1" customWidth="1"/>
    <col min="5931" max="5931" width="17.5703125" style="1" customWidth="1"/>
    <col min="5932" max="5932" width="15.140625" style="1" customWidth="1"/>
    <col min="5933" max="5934" width="15.42578125" style="1" customWidth="1"/>
    <col min="5935" max="5936" width="15.5703125" style="1" customWidth="1"/>
    <col min="5937" max="5937" width="17" style="1" customWidth="1"/>
    <col min="5938" max="5938" width="15.5703125" style="1" customWidth="1"/>
    <col min="5939" max="5939" width="17.7109375" style="1" customWidth="1"/>
    <col min="5940" max="5940" width="18.42578125" style="1" customWidth="1"/>
    <col min="5941" max="5941" width="17.5703125" style="1" customWidth="1"/>
    <col min="5942" max="5943" width="16" style="1" customWidth="1"/>
    <col min="5944" max="5947" width="12.42578125" style="1" customWidth="1"/>
    <col min="5948" max="5948" width="17.7109375" style="1" customWidth="1"/>
    <col min="5949" max="5949" width="12.42578125" style="1" customWidth="1"/>
    <col min="5950" max="5950" width="13.7109375" style="1" customWidth="1"/>
    <col min="5951" max="5951" width="15.5703125" style="1" customWidth="1"/>
    <col min="5952" max="5955" width="13.7109375" style="1" customWidth="1"/>
    <col min="5956" max="5957" width="12.42578125" style="1" customWidth="1"/>
    <col min="5958" max="5958" width="14.85546875" style="1" customWidth="1"/>
    <col min="5959" max="5959" width="12.42578125" style="1" customWidth="1"/>
    <col min="5960" max="5961" width="13.42578125" style="1" customWidth="1"/>
    <col min="5962" max="5962" width="17" style="1" customWidth="1"/>
    <col min="5963" max="5964" width="12.42578125" style="1" customWidth="1"/>
    <col min="5965" max="5965" width="16.42578125" style="1" customWidth="1"/>
    <col min="5966" max="5966" width="12.42578125" style="1" customWidth="1"/>
    <col min="5967" max="5967" width="13.42578125" style="1" customWidth="1"/>
    <col min="5968" max="5968" width="12.42578125" style="1" customWidth="1"/>
    <col min="5969" max="5970" width="11.7109375" style="1" customWidth="1"/>
    <col min="5971" max="5971" width="11.42578125" style="1" customWidth="1"/>
    <col min="5972" max="5972" width="11.7109375" style="1" customWidth="1"/>
    <col min="5973" max="5973" width="11.42578125" style="1" customWidth="1"/>
    <col min="5974" max="5975" width="15.42578125" style="1" customWidth="1"/>
    <col min="5976" max="5976" width="16.140625" style="1" customWidth="1"/>
    <col min="5977" max="5977" width="16.5703125" style="1" customWidth="1"/>
    <col min="5978" max="5978" width="16.7109375" style="1" customWidth="1"/>
    <col min="5979" max="5979" width="15.42578125" style="1" customWidth="1"/>
    <col min="5980" max="5980" width="14.85546875" style="1" customWidth="1"/>
    <col min="5981" max="5981" width="17.140625" style="1" customWidth="1"/>
    <col min="5982" max="5982" width="16.7109375" style="1" customWidth="1"/>
    <col min="5983" max="5983" width="16.5703125" style="1" customWidth="1"/>
    <col min="5984" max="5984" width="16.28515625" style="1" customWidth="1"/>
    <col min="5985" max="5985" width="14.85546875" style="1" customWidth="1"/>
    <col min="5986" max="5986" width="16.140625" style="1" customWidth="1"/>
    <col min="5987" max="5987" width="16" style="1" customWidth="1"/>
    <col min="5988" max="5988" width="15.5703125" style="1" customWidth="1"/>
    <col min="5989" max="5989" width="16.28515625" style="1" customWidth="1"/>
    <col min="5990" max="5990" width="17.140625" style="1" customWidth="1"/>
    <col min="5991" max="5991" width="16.28515625" style="1" customWidth="1"/>
    <col min="5992" max="5992" width="15.7109375" style="1" customWidth="1"/>
    <col min="5993" max="5993" width="15.42578125" style="1" customWidth="1"/>
    <col min="5994" max="6096" width="9.140625" style="1"/>
    <col min="6097" max="6097" width="19.85546875" style="1" customWidth="1"/>
    <col min="6098" max="6098" width="22" style="1" customWidth="1"/>
    <col min="6099" max="6099" width="18.42578125" style="1" customWidth="1"/>
    <col min="6100" max="6101" width="16.42578125" style="1" customWidth="1"/>
    <col min="6102" max="6102" width="18.85546875" style="1" customWidth="1"/>
    <col min="6103" max="6104" width="15.5703125" style="1" customWidth="1"/>
    <col min="6105" max="6105" width="11.28515625" style="1" customWidth="1"/>
    <col min="6106" max="6106" width="12.7109375" style="1" customWidth="1"/>
    <col min="6107" max="6111" width="14.7109375" style="1" customWidth="1"/>
    <col min="6112" max="6115" width="13.85546875" style="1" customWidth="1"/>
    <col min="6116" max="6116" width="14.28515625" style="1" customWidth="1"/>
    <col min="6117" max="6117" width="13.85546875" style="1" customWidth="1"/>
    <col min="6118" max="6130" width="13.42578125" style="1" customWidth="1"/>
    <col min="6131" max="6131" width="16.85546875" style="1" customWidth="1"/>
    <col min="6132" max="6132" width="12.42578125" style="1" customWidth="1"/>
    <col min="6133" max="6133" width="13.5703125" style="1" customWidth="1"/>
    <col min="6134" max="6137" width="12.42578125" style="1" customWidth="1"/>
    <col min="6138" max="6139" width="13.140625" style="1" customWidth="1"/>
    <col min="6140" max="6174" width="14.42578125" style="1" customWidth="1"/>
    <col min="6175" max="6186" width="12.42578125" style="1" customWidth="1"/>
    <col min="6187" max="6187" width="17.5703125" style="1" customWidth="1"/>
    <col min="6188" max="6188" width="15.140625" style="1" customWidth="1"/>
    <col min="6189" max="6190" width="15.42578125" style="1" customWidth="1"/>
    <col min="6191" max="6192" width="15.5703125" style="1" customWidth="1"/>
    <col min="6193" max="6193" width="17" style="1" customWidth="1"/>
    <col min="6194" max="6194" width="15.5703125" style="1" customWidth="1"/>
    <col min="6195" max="6195" width="17.7109375" style="1" customWidth="1"/>
    <col min="6196" max="6196" width="18.42578125" style="1" customWidth="1"/>
    <col min="6197" max="6197" width="17.5703125" style="1" customWidth="1"/>
    <col min="6198" max="6199" width="16" style="1" customWidth="1"/>
    <col min="6200" max="6203" width="12.42578125" style="1" customWidth="1"/>
    <col min="6204" max="6204" width="17.7109375" style="1" customWidth="1"/>
    <col min="6205" max="6205" width="12.42578125" style="1" customWidth="1"/>
    <col min="6206" max="6206" width="13.7109375" style="1" customWidth="1"/>
    <col min="6207" max="6207" width="15.5703125" style="1" customWidth="1"/>
    <col min="6208" max="6211" width="13.7109375" style="1" customWidth="1"/>
    <col min="6212" max="6213" width="12.42578125" style="1" customWidth="1"/>
    <col min="6214" max="6214" width="14.85546875" style="1" customWidth="1"/>
    <col min="6215" max="6215" width="12.42578125" style="1" customWidth="1"/>
    <col min="6216" max="6217" width="13.42578125" style="1" customWidth="1"/>
    <col min="6218" max="6218" width="17" style="1" customWidth="1"/>
    <col min="6219" max="6220" width="12.42578125" style="1" customWidth="1"/>
    <col min="6221" max="6221" width="16.42578125" style="1" customWidth="1"/>
    <col min="6222" max="6222" width="12.42578125" style="1" customWidth="1"/>
    <col min="6223" max="6223" width="13.42578125" style="1" customWidth="1"/>
    <col min="6224" max="6224" width="12.42578125" style="1" customWidth="1"/>
    <col min="6225" max="6226" width="11.7109375" style="1" customWidth="1"/>
    <col min="6227" max="6227" width="11.42578125" style="1" customWidth="1"/>
    <col min="6228" max="6228" width="11.7109375" style="1" customWidth="1"/>
    <col min="6229" max="6229" width="11.42578125" style="1" customWidth="1"/>
    <col min="6230" max="6231" width="15.42578125" style="1" customWidth="1"/>
    <col min="6232" max="6232" width="16.140625" style="1" customWidth="1"/>
    <col min="6233" max="6233" width="16.5703125" style="1" customWidth="1"/>
    <col min="6234" max="6234" width="16.7109375" style="1" customWidth="1"/>
    <col min="6235" max="6235" width="15.42578125" style="1" customWidth="1"/>
    <col min="6236" max="6236" width="14.85546875" style="1" customWidth="1"/>
    <col min="6237" max="6237" width="17.140625" style="1" customWidth="1"/>
    <col min="6238" max="6238" width="16.7109375" style="1" customWidth="1"/>
    <col min="6239" max="6239" width="16.5703125" style="1" customWidth="1"/>
    <col min="6240" max="6240" width="16.28515625" style="1" customWidth="1"/>
    <col min="6241" max="6241" width="14.85546875" style="1" customWidth="1"/>
    <col min="6242" max="6242" width="16.140625" style="1" customWidth="1"/>
    <col min="6243" max="6243" width="16" style="1" customWidth="1"/>
    <col min="6244" max="6244" width="15.5703125" style="1" customWidth="1"/>
    <col min="6245" max="6245" width="16.28515625" style="1" customWidth="1"/>
    <col min="6246" max="6246" width="17.140625" style="1" customWidth="1"/>
    <col min="6247" max="6247" width="16.28515625" style="1" customWidth="1"/>
    <col min="6248" max="6248" width="15.7109375" style="1" customWidth="1"/>
    <col min="6249" max="6249" width="15.42578125" style="1" customWidth="1"/>
    <col min="6250" max="6352" width="9.140625" style="1"/>
    <col min="6353" max="6353" width="19.85546875" style="1" customWidth="1"/>
    <col min="6354" max="6354" width="22" style="1" customWidth="1"/>
    <col min="6355" max="6355" width="18.42578125" style="1" customWidth="1"/>
    <col min="6356" max="6357" width="16.42578125" style="1" customWidth="1"/>
    <col min="6358" max="6358" width="18.85546875" style="1" customWidth="1"/>
    <col min="6359" max="6360" width="15.5703125" style="1" customWidth="1"/>
    <col min="6361" max="6361" width="11.28515625" style="1" customWidth="1"/>
    <col min="6362" max="6362" width="12.7109375" style="1" customWidth="1"/>
    <col min="6363" max="6367" width="14.7109375" style="1" customWidth="1"/>
    <col min="6368" max="6371" width="13.85546875" style="1" customWidth="1"/>
    <col min="6372" max="6372" width="14.28515625" style="1" customWidth="1"/>
    <col min="6373" max="6373" width="13.85546875" style="1" customWidth="1"/>
    <col min="6374" max="6386" width="13.42578125" style="1" customWidth="1"/>
    <col min="6387" max="6387" width="16.85546875" style="1" customWidth="1"/>
    <col min="6388" max="6388" width="12.42578125" style="1" customWidth="1"/>
    <col min="6389" max="6389" width="13.5703125" style="1" customWidth="1"/>
    <col min="6390" max="6393" width="12.42578125" style="1" customWidth="1"/>
    <col min="6394" max="6395" width="13.140625" style="1" customWidth="1"/>
    <col min="6396" max="6430" width="14.42578125" style="1" customWidth="1"/>
    <col min="6431" max="6442" width="12.42578125" style="1" customWidth="1"/>
    <col min="6443" max="6443" width="17.5703125" style="1" customWidth="1"/>
    <col min="6444" max="6444" width="15.140625" style="1" customWidth="1"/>
    <col min="6445" max="6446" width="15.42578125" style="1" customWidth="1"/>
    <col min="6447" max="6448" width="15.5703125" style="1" customWidth="1"/>
    <col min="6449" max="6449" width="17" style="1" customWidth="1"/>
    <col min="6450" max="6450" width="15.5703125" style="1" customWidth="1"/>
    <col min="6451" max="6451" width="17.7109375" style="1" customWidth="1"/>
    <col min="6452" max="6452" width="18.42578125" style="1" customWidth="1"/>
    <col min="6453" max="6453" width="17.5703125" style="1" customWidth="1"/>
    <col min="6454" max="6455" width="16" style="1" customWidth="1"/>
    <col min="6456" max="6459" width="12.42578125" style="1" customWidth="1"/>
    <col min="6460" max="6460" width="17.7109375" style="1" customWidth="1"/>
    <col min="6461" max="6461" width="12.42578125" style="1" customWidth="1"/>
    <col min="6462" max="6462" width="13.7109375" style="1" customWidth="1"/>
    <col min="6463" max="6463" width="15.5703125" style="1" customWidth="1"/>
    <col min="6464" max="6467" width="13.7109375" style="1" customWidth="1"/>
    <col min="6468" max="6469" width="12.42578125" style="1" customWidth="1"/>
    <col min="6470" max="6470" width="14.85546875" style="1" customWidth="1"/>
    <col min="6471" max="6471" width="12.42578125" style="1" customWidth="1"/>
    <col min="6472" max="6473" width="13.42578125" style="1" customWidth="1"/>
    <col min="6474" max="6474" width="17" style="1" customWidth="1"/>
    <col min="6475" max="6476" width="12.42578125" style="1" customWidth="1"/>
    <col min="6477" max="6477" width="16.42578125" style="1" customWidth="1"/>
    <col min="6478" max="6478" width="12.42578125" style="1" customWidth="1"/>
    <col min="6479" max="6479" width="13.42578125" style="1" customWidth="1"/>
    <col min="6480" max="6480" width="12.42578125" style="1" customWidth="1"/>
    <col min="6481" max="6482" width="11.7109375" style="1" customWidth="1"/>
    <col min="6483" max="6483" width="11.42578125" style="1" customWidth="1"/>
    <col min="6484" max="6484" width="11.7109375" style="1" customWidth="1"/>
    <col min="6485" max="6485" width="11.42578125" style="1" customWidth="1"/>
    <col min="6486" max="6487" width="15.42578125" style="1" customWidth="1"/>
    <col min="6488" max="6488" width="16.140625" style="1" customWidth="1"/>
    <col min="6489" max="6489" width="16.5703125" style="1" customWidth="1"/>
    <col min="6490" max="6490" width="16.7109375" style="1" customWidth="1"/>
    <col min="6491" max="6491" width="15.42578125" style="1" customWidth="1"/>
    <col min="6492" max="6492" width="14.85546875" style="1" customWidth="1"/>
    <col min="6493" max="6493" width="17.140625" style="1" customWidth="1"/>
    <col min="6494" max="6494" width="16.7109375" style="1" customWidth="1"/>
    <col min="6495" max="6495" width="16.5703125" style="1" customWidth="1"/>
    <col min="6496" max="6496" width="16.28515625" style="1" customWidth="1"/>
    <col min="6497" max="6497" width="14.85546875" style="1" customWidth="1"/>
    <col min="6498" max="6498" width="16.140625" style="1" customWidth="1"/>
    <col min="6499" max="6499" width="16" style="1" customWidth="1"/>
    <col min="6500" max="6500" width="15.5703125" style="1" customWidth="1"/>
    <col min="6501" max="6501" width="16.28515625" style="1" customWidth="1"/>
    <col min="6502" max="6502" width="17.140625" style="1" customWidth="1"/>
    <col min="6503" max="6503" width="16.28515625" style="1" customWidth="1"/>
    <col min="6504" max="6504" width="15.7109375" style="1" customWidth="1"/>
    <col min="6505" max="6505" width="15.42578125" style="1" customWidth="1"/>
    <col min="6506" max="6608" width="9.140625" style="1"/>
    <col min="6609" max="6609" width="19.85546875" style="1" customWidth="1"/>
    <col min="6610" max="6610" width="22" style="1" customWidth="1"/>
    <col min="6611" max="6611" width="18.42578125" style="1" customWidth="1"/>
    <col min="6612" max="6613" width="16.42578125" style="1" customWidth="1"/>
    <col min="6614" max="6614" width="18.85546875" style="1" customWidth="1"/>
    <col min="6615" max="6616" width="15.5703125" style="1" customWidth="1"/>
    <col min="6617" max="6617" width="11.28515625" style="1" customWidth="1"/>
    <col min="6618" max="6618" width="12.7109375" style="1" customWidth="1"/>
    <col min="6619" max="6623" width="14.7109375" style="1" customWidth="1"/>
    <col min="6624" max="6627" width="13.85546875" style="1" customWidth="1"/>
    <col min="6628" max="6628" width="14.28515625" style="1" customWidth="1"/>
    <col min="6629" max="6629" width="13.85546875" style="1" customWidth="1"/>
    <col min="6630" max="6642" width="13.42578125" style="1" customWidth="1"/>
    <col min="6643" max="6643" width="16.85546875" style="1" customWidth="1"/>
    <col min="6644" max="6644" width="12.42578125" style="1" customWidth="1"/>
    <col min="6645" max="6645" width="13.5703125" style="1" customWidth="1"/>
    <col min="6646" max="6649" width="12.42578125" style="1" customWidth="1"/>
    <col min="6650" max="6651" width="13.140625" style="1" customWidth="1"/>
    <col min="6652" max="6686" width="14.42578125" style="1" customWidth="1"/>
    <col min="6687" max="6698" width="12.42578125" style="1" customWidth="1"/>
    <col min="6699" max="6699" width="17.5703125" style="1" customWidth="1"/>
    <col min="6700" max="6700" width="15.140625" style="1" customWidth="1"/>
    <col min="6701" max="6702" width="15.42578125" style="1" customWidth="1"/>
    <col min="6703" max="6704" width="15.5703125" style="1" customWidth="1"/>
    <col min="6705" max="6705" width="17" style="1" customWidth="1"/>
    <col min="6706" max="6706" width="15.5703125" style="1" customWidth="1"/>
    <col min="6707" max="6707" width="17.7109375" style="1" customWidth="1"/>
    <col min="6708" max="6708" width="18.42578125" style="1" customWidth="1"/>
    <col min="6709" max="6709" width="17.5703125" style="1" customWidth="1"/>
    <col min="6710" max="6711" width="16" style="1" customWidth="1"/>
    <col min="6712" max="6715" width="12.42578125" style="1" customWidth="1"/>
    <col min="6716" max="6716" width="17.7109375" style="1" customWidth="1"/>
    <col min="6717" max="6717" width="12.42578125" style="1" customWidth="1"/>
    <col min="6718" max="6718" width="13.7109375" style="1" customWidth="1"/>
    <col min="6719" max="6719" width="15.5703125" style="1" customWidth="1"/>
    <col min="6720" max="6723" width="13.7109375" style="1" customWidth="1"/>
    <col min="6724" max="6725" width="12.42578125" style="1" customWidth="1"/>
    <col min="6726" max="6726" width="14.85546875" style="1" customWidth="1"/>
    <col min="6727" max="6727" width="12.42578125" style="1" customWidth="1"/>
    <col min="6728" max="6729" width="13.42578125" style="1" customWidth="1"/>
    <col min="6730" max="6730" width="17" style="1" customWidth="1"/>
    <col min="6731" max="6732" width="12.42578125" style="1" customWidth="1"/>
    <col min="6733" max="6733" width="16.42578125" style="1" customWidth="1"/>
    <col min="6734" max="6734" width="12.42578125" style="1" customWidth="1"/>
    <col min="6735" max="6735" width="13.42578125" style="1" customWidth="1"/>
    <col min="6736" max="6736" width="12.42578125" style="1" customWidth="1"/>
    <col min="6737" max="6738" width="11.7109375" style="1" customWidth="1"/>
    <col min="6739" max="6739" width="11.42578125" style="1" customWidth="1"/>
    <col min="6740" max="6740" width="11.7109375" style="1" customWidth="1"/>
    <col min="6741" max="6741" width="11.42578125" style="1" customWidth="1"/>
    <col min="6742" max="6743" width="15.42578125" style="1" customWidth="1"/>
    <col min="6744" max="6744" width="16.140625" style="1" customWidth="1"/>
    <col min="6745" max="6745" width="16.5703125" style="1" customWidth="1"/>
    <col min="6746" max="6746" width="16.7109375" style="1" customWidth="1"/>
    <col min="6747" max="6747" width="15.42578125" style="1" customWidth="1"/>
    <col min="6748" max="6748" width="14.85546875" style="1" customWidth="1"/>
    <col min="6749" max="6749" width="17.140625" style="1" customWidth="1"/>
    <col min="6750" max="6750" width="16.7109375" style="1" customWidth="1"/>
    <col min="6751" max="6751" width="16.5703125" style="1" customWidth="1"/>
    <col min="6752" max="6752" width="16.28515625" style="1" customWidth="1"/>
    <col min="6753" max="6753" width="14.85546875" style="1" customWidth="1"/>
    <col min="6754" max="6754" width="16.140625" style="1" customWidth="1"/>
    <col min="6755" max="6755" width="16" style="1" customWidth="1"/>
    <col min="6756" max="6756" width="15.5703125" style="1" customWidth="1"/>
    <col min="6757" max="6757" width="16.28515625" style="1" customWidth="1"/>
    <col min="6758" max="6758" width="17.140625" style="1" customWidth="1"/>
    <col min="6759" max="6759" width="16.28515625" style="1" customWidth="1"/>
    <col min="6760" max="6760" width="15.7109375" style="1" customWidth="1"/>
    <col min="6761" max="6761" width="15.42578125" style="1" customWidth="1"/>
    <col min="6762" max="6864" width="9.140625" style="1"/>
    <col min="6865" max="6865" width="19.85546875" style="1" customWidth="1"/>
    <col min="6866" max="6866" width="22" style="1" customWidth="1"/>
    <col min="6867" max="6867" width="18.42578125" style="1" customWidth="1"/>
    <col min="6868" max="6869" width="16.42578125" style="1" customWidth="1"/>
    <col min="6870" max="6870" width="18.85546875" style="1" customWidth="1"/>
    <col min="6871" max="6872" width="15.5703125" style="1" customWidth="1"/>
    <col min="6873" max="6873" width="11.28515625" style="1" customWidth="1"/>
    <col min="6874" max="6874" width="12.7109375" style="1" customWidth="1"/>
    <col min="6875" max="6879" width="14.7109375" style="1" customWidth="1"/>
    <col min="6880" max="6883" width="13.85546875" style="1" customWidth="1"/>
    <col min="6884" max="6884" width="14.28515625" style="1" customWidth="1"/>
    <col min="6885" max="6885" width="13.85546875" style="1" customWidth="1"/>
    <col min="6886" max="6898" width="13.42578125" style="1" customWidth="1"/>
    <col min="6899" max="6899" width="16.85546875" style="1" customWidth="1"/>
    <col min="6900" max="6900" width="12.42578125" style="1" customWidth="1"/>
    <col min="6901" max="6901" width="13.5703125" style="1" customWidth="1"/>
    <col min="6902" max="6905" width="12.42578125" style="1" customWidth="1"/>
    <col min="6906" max="6907" width="13.140625" style="1" customWidth="1"/>
    <col min="6908" max="6942" width="14.42578125" style="1" customWidth="1"/>
    <col min="6943" max="6954" width="12.42578125" style="1" customWidth="1"/>
    <col min="6955" max="6955" width="17.5703125" style="1" customWidth="1"/>
    <col min="6956" max="6956" width="15.140625" style="1" customWidth="1"/>
    <col min="6957" max="6958" width="15.42578125" style="1" customWidth="1"/>
    <col min="6959" max="6960" width="15.5703125" style="1" customWidth="1"/>
    <col min="6961" max="6961" width="17" style="1" customWidth="1"/>
    <col min="6962" max="6962" width="15.5703125" style="1" customWidth="1"/>
    <col min="6963" max="6963" width="17.7109375" style="1" customWidth="1"/>
    <col min="6964" max="6964" width="18.42578125" style="1" customWidth="1"/>
    <col min="6965" max="6965" width="17.5703125" style="1" customWidth="1"/>
    <col min="6966" max="6967" width="16" style="1" customWidth="1"/>
    <col min="6968" max="6971" width="12.42578125" style="1" customWidth="1"/>
    <col min="6972" max="6972" width="17.7109375" style="1" customWidth="1"/>
    <col min="6973" max="6973" width="12.42578125" style="1" customWidth="1"/>
    <col min="6974" max="6974" width="13.7109375" style="1" customWidth="1"/>
    <col min="6975" max="6975" width="15.5703125" style="1" customWidth="1"/>
    <col min="6976" max="6979" width="13.7109375" style="1" customWidth="1"/>
    <col min="6980" max="6981" width="12.42578125" style="1" customWidth="1"/>
    <col min="6982" max="6982" width="14.85546875" style="1" customWidth="1"/>
    <col min="6983" max="6983" width="12.42578125" style="1" customWidth="1"/>
    <col min="6984" max="6985" width="13.42578125" style="1" customWidth="1"/>
    <col min="6986" max="6986" width="17" style="1" customWidth="1"/>
    <col min="6987" max="6988" width="12.42578125" style="1" customWidth="1"/>
    <col min="6989" max="6989" width="16.42578125" style="1" customWidth="1"/>
    <col min="6990" max="6990" width="12.42578125" style="1" customWidth="1"/>
    <col min="6991" max="6991" width="13.42578125" style="1" customWidth="1"/>
    <col min="6992" max="6992" width="12.42578125" style="1" customWidth="1"/>
    <col min="6993" max="6994" width="11.7109375" style="1" customWidth="1"/>
    <col min="6995" max="6995" width="11.42578125" style="1" customWidth="1"/>
    <col min="6996" max="6996" width="11.7109375" style="1" customWidth="1"/>
    <col min="6997" max="6997" width="11.42578125" style="1" customWidth="1"/>
    <col min="6998" max="6999" width="15.42578125" style="1" customWidth="1"/>
    <col min="7000" max="7000" width="16.140625" style="1" customWidth="1"/>
    <col min="7001" max="7001" width="16.5703125" style="1" customWidth="1"/>
    <col min="7002" max="7002" width="16.7109375" style="1" customWidth="1"/>
    <col min="7003" max="7003" width="15.42578125" style="1" customWidth="1"/>
    <col min="7004" max="7004" width="14.85546875" style="1" customWidth="1"/>
    <col min="7005" max="7005" width="17.140625" style="1" customWidth="1"/>
    <col min="7006" max="7006" width="16.7109375" style="1" customWidth="1"/>
    <col min="7007" max="7007" width="16.5703125" style="1" customWidth="1"/>
    <col min="7008" max="7008" width="16.28515625" style="1" customWidth="1"/>
    <col min="7009" max="7009" width="14.85546875" style="1" customWidth="1"/>
    <col min="7010" max="7010" width="16.140625" style="1" customWidth="1"/>
    <col min="7011" max="7011" width="16" style="1" customWidth="1"/>
    <col min="7012" max="7012" width="15.5703125" style="1" customWidth="1"/>
    <col min="7013" max="7013" width="16.28515625" style="1" customWidth="1"/>
    <col min="7014" max="7014" width="17.140625" style="1" customWidth="1"/>
    <col min="7015" max="7015" width="16.28515625" style="1" customWidth="1"/>
    <col min="7016" max="7016" width="15.7109375" style="1" customWidth="1"/>
    <col min="7017" max="7017" width="15.42578125" style="1" customWidth="1"/>
    <col min="7018" max="7120" width="9.140625" style="1"/>
    <col min="7121" max="7121" width="19.85546875" style="1" customWidth="1"/>
    <col min="7122" max="7122" width="22" style="1" customWidth="1"/>
    <col min="7123" max="7123" width="18.42578125" style="1" customWidth="1"/>
    <col min="7124" max="7125" width="16.42578125" style="1" customWidth="1"/>
    <col min="7126" max="7126" width="18.85546875" style="1" customWidth="1"/>
    <col min="7127" max="7128" width="15.5703125" style="1" customWidth="1"/>
    <col min="7129" max="7129" width="11.28515625" style="1" customWidth="1"/>
    <col min="7130" max="7130" width="12.7109375" style="1" customWidth="1"/>
    <col min="7131" max="7135" width="14.7109375" style="1" customWidth="1"/>
    <col min="7136" max="7139" width="13.85546875" style="1" customWidth="1"/>
    <col min="7140" max="7140" width="14.28515625" style="1" customWidth="1"/>
    <col min="7141" max="7141" width="13.85546875" style="1" customWidth="1"/>
    <col min="7142" max="7154" width="13.42578125" style="1" customWidth="1"/>
    <col min="7155" max="7155" width="16.85546875" style="1" customWidth="1"/>
    <col min="7156" max="7156" width="12.42578125" style="1" customWidth="1"/>
    <col min="7157" max="7157" width="13.5703125" style="1" customWidth="1"/>
    <col min="7158" max="7161" width="12.42578125" style="1" customWidth="1"/>
    <col min="7162" max="7163" width="13.140625" style="1" customWidth="1"/>
    <col min="7164" max="7198" width="14.42578125" style="1" customWidth="1"/>
    <col min="7199" max="7210" width="12.42578125" style="1" customWidth="1"/>
    <col min="7211" max="7211" width="17.5703125" style="1" customWidth="1"/>
    <col min="7212" max="7212" width="15.140625" style="1" customWidth="1"/>
    <col min="7213" max="7214" width="15.42578125" style="1" customWidth="1"/>
    <col min="7215" max="7216" width="15.5703125" style="1" customWidth="1"/>
    <col min="7217" max="7217" width="17" style="1" customWidth="1"/>
    <col min="7218" max="7218" width="15.5703125" style="1" customWidth="1"/>
    <col min="7219" max="7219" width="17.7109375" style="1" customWidth="1"/>
    <col min="7220" max="7220" width="18.42578125" style="1" customWidth="1"/>
    <col min="7221" max="7221" width="17.5703125" style="1" customWidth="1"/>
    <col min="7222" max="7223" width="16" style="1" customWidth="1"/>
    <col min="7224" max="7227" width="12.42578125" style="1" customWidth="1"/>
    <col min="7228" max="7228" width="17.7109375" style="1" customWidth="1"/>
    <col min="7229" max="7229" width="12.42578125" style="1" customWidth="1"/>
    <col min="7230" max="7230" width="13.7109375" style="1" customWidth="1"/>
    <col min="7231" max="7231" width="15.5703125" style="1" customWidth="1"/>
    <col min="7232" max="7235" width="13.7109375" style="1" customWidth="1"/>
    <col min="7236" max="7237" width="12.42578125" style="1" customWidth="1"/>
    <col min="7238" max="7238" width="14.85546875" style="1" customWidth="1"/>
    <col min="7239" max="7239" width="12.42578125" style="1" customWidth="1"/>
    <col min="7240" max="7241" width="13.42578125" style="1" customWidth="1"/>
    <col min="7242" max="7242" width="17" style="1" customWidth="1"/>
    <col min="7243" max="7244" width="12.42578125" style="1" customWidth="1"/>
    <col min="7245" max="7245" width="16.42578125" style="1" customWidth="1"/>
    <col min="7246" max="7246" width="12.42578125" style="1" customWidth="1"/>
    <col min="7247" max="7247" width="13.42578125" style="1" customWidth="1"/>
    <col min="7248" max="7248" width="12.42578125" style="1" customWidth="1"/>
    <col min="7249" max="7250" width="11.7109375" style="1" customWidth="1"/>
    <col min="7251" max="7251" width="11.42578125" style="1" customWidth="1"/>
    <col min="7252" max="7252" width="11.7109375" style="1" customWidth="1"/>
    <col min="7253" max="7253" width="11.42578125" style="1" customWidth="1"/>
    <col min="7254" max="7255" width="15.42578125" style="1" customWidth="1"/>
    <col min="7256" max="7256" width="16.140625" style="1" customWidth="1"/>
    <col min="7257" max="7257" width="16.5703125" style="1" customWidth="1"/>
    <col min="7258" max="7258" width="16.7109375" style="1" customWidth="1"/>
    <col min="7259" max="7259" width="15.42578125" style="1" customWidth="1"/>
    <col min="7260" max="7260" width="14.85546875" style="1" customWidth="1"/>
    <col min="7261" max="7261" width="17.140625" style="1" customWidth="1"/>
    <col min="7262" max="7262" width="16.7109375" style="1" customWidth="1"/>
    <col min="7263" max="7263" width="16.5703125" style="1" customWidth="1"/>
    <col min="7264" max="7264" width="16.28515625" style="1" customWidth="1"/>
    <col min="7265" max="7265" width="14.85546875" style="1" customWidth="1"/>
    <col min="7266" max="7266" width="16.140625" style="1" customWidth="1"/>
    <col min="7267" max="7267" width="16" style="1" customWidth="1"/>
    <col min="7268" max="7268" width="15.5703125" style="1" customWidth="1"/>
    <col min="7269" max="7269" width="16.28515625" style="1" customWidth="1"/>
    <col min="7270" max="7270" width="17.140625" style="1" customWidth="1"/>
    <col min="7271" max="7271" width="16.28515625" style="1" customWidth="1"/>
    <col min="7272" max="7272" width="15.7109375" style="1" customWidth="1"/>
    <col min="7273" max="7273" width="15.42578125" style="1" customWidth="1"/>
    <col min="7274" max="7376" width="9.140625" style="1"/>
    <col min="7377" max="7377" width="19.85546875" style="1" customWidth="1"/>
    <col min="7378" max="7378" width="22" style="1" customWidth="1"/>
    <col min="7379" max="7379" width="18.42578125" style="1" customWidth="1"/>
    <col min="7380" max="7381" width="16.42578125" style="1" customWidth="1"/>
    <col min="7382" max="7382" width="18.85546875" style="1" customWidth="1"/>
    <col min="7383" max="7384" width="15.5703125" style="1" customWidth="1"/>
    <col min="7385" max="7385" width="11.28515625" style="1" customWidth="1"/>
    <col min="7386" max="7386" width="12.7109375" style="1" customWidth="1"/>
    <col min="7387" max="7391" width="14.7109375" style="1" customWidth="1"/>
    <col min="7392" max="7395" width="13.85546875" style="1" customWidth="1"/>
    <col min="7396" max="7396" width="14.28515625" style="1" customWidth="1"/>
    <col min="7397" max="7397" width="13.85546875" style="1" customWidth="1"/>
    <col min="7398" max="7410" width="13.42578125" style="1" customWidth="1"/>
    <col min="7411" max="7411" width="16.85546875" style="1" customWidth="1"/>
    <col min="7412" max="7412" width="12.42578125" style="1" customWidth="1"/>
    <col min="7413" max="7413" width="13.5703125" style="1" customWidth="1"/>
    <col min="7414" max="7417" width="12.42578125" style="1" customWidth="1"/>
    <col min="7418" max="7419" width="13.140625" style="1" customWidth="1"/>
    <col min="7420" max="7454" width="14.42578125" style="1" customWidth="1"/>
    <col min="7455" max="7466" width="12.42578125" style="1" customWidth="1"/>
    <col min="7467" max="7467" width="17.5703125" style="1" customWidth="1"/>
    <col min="7468" max="7468" width="15.140625" style="1" customWidth="1"/>
    <col min="7469" max="7470" width="15.42578125" style="1" customWidth="1"/>
    <col min="7471" max="7472" width="15.5703125" style="1" customWidth="1"/>
    <col min="7473" max="7473" width="17" style="1" customWidth="1"/>
    <col min="7474" max="7474" width="15.5703125" style="1" customWidth="1"/>
    <col min="7475" max="7475" width="17.7109375" style="1" customWidth="1"/>
    <col min="7476" max="7476" width="18.42578125" style="1" customWidth="1"/>
    <col min="7477" max="7477" width="17.5703125" style="1" customWidth="1"/>
    <col min="7478" max="7479" width="16" style="1" customWidth="1"/>
    <col min="7480" max="7483" width="12.42578125" style="1" customWidth="1"/>
    <col min="7484" max="7484" width="17.7109375" style="1" customWidth="1"/>
    <col min="7485" max="7485" width="12.42578125" style="1" customWidth="1"/>
    <col min="7486" max="7486" width="13.7109375" style="1" customWidth="1"/>
    <col min="7487" max="7487" width="15.5703125" style="1" customWidth="1"/>
    <col min="7488" max="7491" width="13.7109375" style="1" customWidth="1"/>
    <col min="7492" max="7493" width="12.42578125" style="1" customWidth="1"/>
    <col min="7494" max="7494" width="14.85546875" style="1" customWidth="1"/>
    <col min="7495" max="7495" width="12.42578125" style="1" customWidth="1"/>
    <col min="7496" max="7497" width="13.42578125" style="1" customWidth="1"/>
    <col min="7498" max="7498" width="17" style="1" customWidth="1"/>
    <col min="7499" max="7500" width="12.42578125" style="1" customWidth="1"/>
    <col min="7501" max="7501" width="16.42578125" style="1" customWidth="1"/>
    <col min="7502" max="7502" width="12.42578125" style="1" customWidth="1"/>
    <col min="7503" max="7503" width="13.42578125" style="1" customWidth="1"/>
    <col min="7504" max="7504" width="12.42578125" style="1" customWidth="1"/>
    <col min="7505" max="7506" width="11.7109375" style="1" customWidth="1"/>
    <col min="7507" max="7507" width="11.42578125" style="1" customWidth="1"/>
    <col min="7508" max="7508" width="11.7109375" style="1" customWidth="1"/>
    <col min="7509" max="7509" width="11.42578125" style="1" customWidth="1"/>
    <col min="7510" max="7511" width="15.42578125" style="1" customWidth="1"/>
    <col min="7512" max="7512" width="16.140625" style="1" customWidth="1"/>
    <col min="7513" max="7513" width="16.5703125" style="1" customWidth="1"/>
    <col min="7514" max="7514" width="16.7109375" style="1" customWidth="1"/>
    <col min="7515" max="7515" width="15.42578125" style="1" customWidth="1"/>
    <col min="7516" max="7516" width="14.85546875" style="1" customWidth="1"/>
    <col min="7517" max="7517" width="17.140625" style="1" customWidth="1"/>
    <col min="7518" max="7518" width="16.7109375" style="1" customWidth="1"/>
    <col min="7519" max="7519" width="16.5703125" style="1" customWidth="1"/>
    <col min="7520" max="7520" width="16.28515625" style="1" customWidth="1"/>
    <col min="7521" max="7521" width="14.85546875" style="1" customWidth="1"/>
    <col min="7522" max="7522" width="16.140625" style="1" customWidth="1"/>
    <col min="7523" max="7523" width="16" style="1" customWidth="1"/>
    <col min="7524" max="7524" width="15.5703125" style="1" customWidth="1"/>
    <col min="7525" max="7525" width="16.28515625" style="1" customWidth="1"/>
    <col min="7526" max="7526" width="17.140625" style="1" customWidth="1"/>
    <col min="7527" max="7527" width="16.28515625" style="1" customWidth="1"/>
    <col min="7528" max="7528" width="15.7109375" style="1" customWidth="1"/>
    <col min="7529" max="7529" width="15.42578125" style="1" customWidth="1"/>
    <col min="7530" max="7632" width="9.140625" style="1"/>
    <col min="7633" max="7633" width="19.85546875" style="1" customWidth="1"/>
    <col min="7634" max="7634" width="22" style="1" customWidth="1"/>
    <col min="7635" max="7635" width="18.42578125" style="1" customWidth="1"/>
    <col min="7636" max="7637" width="16.42578125" style="1" customWidth="1"/>
    <col min="7638" max="7638" width="18.85546875" style="1" customWidth="1"/>
    <col min="7639" max="7640" width="15.5703125" style="1" customWidth="1"/>
    <col min="7641" max="7641" width="11.28515625" style="1" customWidth="1"/>
    <col min="7642" max="7642" width="12.7109375" style="1" customWidth="1"/>
    <col min="7643" max="7647" width="14.7109375" style="1" customWidth="1"/>
    <col min="7648" max="7651" width="13.85546875" style="1" customWidth="1"/>
    <col min="7652" max="7652" width="14.28515625" style="1" customWidth="1"/>
    <col min="7653" max="7653" width="13.85546875" style="1" customWidth="1"/>
    <col min="7654" max="7666" width="13.42578125" style="1" customWidth="1"/>
    <col min="7667" max="7667" width="16.85546875" style="1" customWidth="1"/>
    <col min="7668" max="7668" width="12.42578125" style="1" customWidth="1"/>
    <col min="7669" max="7669" width="13.5703125" style="1" customWidth="1"/>
    <col min="7670" max="7673" width="12.42578125" style="1" customWidth="1"/>
    <col min="7674" max="7675" width="13.140625" style="1" customWidth="1"/>
    <col min="7676" max="7710" width="14.42578125" style="1" customWidth="1"/>
    <col min="7711" max="7722" width="12.42578125" style="1" customWidth="1"/>
    <col min="7723" max="7723" width="17.5703125" style="1" customWidth="1"/>
    <col min="7724" max="7724" width="15.140625" style="1" customWidth="1"/>
    <col min="7725" max="7726" width="15.42578125" style="1" customWidth="1"/>
    <col min="7727" max="7728" width="15.5703125" style="1" customWidth="1"/>
    <col min="7729" max="7729" width="17" style="1" customWidth="1"/>
    <col min="7730" max="7730" width="15.5703125" style="1" customWidth="1"/>
    <col min="7731" max="7731" width="17.7109375" style="1" customWidth="1"/>
    <col min="7732" max="7732" width="18.42578125" style="1" customWidth="1"/>
    <col min="7733" max="7733" width="17.5703125" style="1" customWidth="1"/>
    <col min="7734" max="7735" width="16" style="1" customWidth="1"/>
    <col min="7736" max="7739" width="12.42578125" style="1" customWidth="1"/>
    <col min="7740" max="7740" width="17.7109375" style="1" customWidth="1"/>
    <col min="7741" max="7741" width="12.42578125" style="1" customWidth="1"/>
    <col min="7742" max="7742" width="13.7109375" style="1" customWidth="1"/>
    <col min="7743" max="7743" width="15.5703125" style="1" customWidth="1"/>
    <col min="7744" max="7747" width="13.7109375" style="1" customWidth="1"/>
    <col min="7748" max="7749" width="12.42578125" style="1" customWidth="1"/>
    <col min="7750" max="7750" width="14.85546875" style="1" customWidth="1"/>
    <col min="7751" max="7751" width="12.42578125" style="1" customWidth="1"/>
    <col min="7752" max="7753" width="13.42578125" style="1" customWidth="1"/>
    <col min="7754" max="7754" width="17" style="1" customWidth="1"/>
    <col min="7755" max="7756" width="12.42578125" style="1" customWidth="1"/>
    <col min="7757" max="7757" width="16.42578125" style="1" customWidth="1"/>
    <col min="7758" max="7758" width="12.42578125" style="1" customWidth="1"/>
    <col min="7759" max="7759" width="13.42578125" style="1" customWidth="1"/>
    <col min="7760" max="7760" width="12.42578125" style="1" customWidth="1"/>
    <col min="7761" max="7762" width="11.7109375" style="1" customWidth="1"/>
    <col min="7763" max="7763" width="11.42578125" style="1" customWidth="1"/>
    <col min="7764" max="7764" width="11.7109375" style="1" customWidth="1"/>
    <col min="7765" max="7765" width="11.42578125" style="1" customWidth="1"/>
    <col min="7766" max="7767" width="15.42578125" style="1" customWidth="1"/>
    <col min="7768" max="7768" width="16.140625" style="1" customWidth="1"/>
    <col min="7769" max="7769" width="16.5703125" style="1" customWidth="1"/>
    <col min="7770" max="7770" width="16.7109375" style="1" customWidth="1"/>
    <col min="7771" max="7771" width="15.42578125" style="1" customWidth="1"/>
    <col min="7772" max="7772" width="14.85546875" style="1" customWidth="1"/>
    <col min="7773" max="7773" width="17.140625" style="1" customWidth="1"/>
    <col min="7774" max="7774" width="16.7109375" style="1" customWidth="1"/>
    <col min="7775" max="7775" width="16.5703125" style="1" customWidth="1"/>
    <col min="7776" max="7776" width="16.28515625" style="1" customWidth="1"/>
    <col min="7777" max="7777" width="14.85546875" style="1" customWidth="1"/>
    <col min="7778" max="7778" width="16.140625" style="1" customWidth="1"/>
    <col min="7779" max="7779" width="16" style="1" customWidth="1"/>
    <col min="7780" max="7780" width="15.5703125" style="1" customWidth="1"/>
    <col min="7781" max="7781" width="16.28515625" style="1" customWidth="1"/>
    <col min="7782" max="7782" width="17.140625" style="1" customWidth="1"/>
    <col min="7783" max="7783" width="16.28515625" style="1" customWidth="1"/>
    <col min="7784" max="7784" width="15.7109375" style="1" customWidth="1"/>
    <col min="7785" max="7785" width="15.42578125" style="1" customWidth="1"/>
    <col min="7786" max="7888" width="9.140625" style="1"/>
    <col min="7889" max="7889" width="19.85546875" style="1" customWidth="1"/>
    <col min="7890" max="7890" width="22" style="1" customWidth="1"/>
    <col min="7891" max="7891" width="18.42578125" style="1" customWidth="1"/>
    <col min="7892" max="7893" width="16.42578125" style="1" customWidth="1"/>
    <col min="7894" max="7894" width="18.85546875" style="1" customWidth="1"/>
    <col min="7895" max="7896" width="15.5703125" style="1" customWidth="1"/>
    <col min="7897" max="7897" width="11.28515625" style="1" customWidth="1"/>
    <col min="7898" max="7898" width="12.7109375" style="1" customWidth="1"/>
    <col min="7899" max="7903" width="14.7109375" style="1" customWidth="1"/>
    <col min="7904" max="7907" width="13.85546875" style="1" customWidth="1"/>
    <col min="7908" max="7908" width="14.28515625" style="1" customWidth="1"/>
    <col min="7909" max="7909" width="13.85546875" style="1" customWidth="1"/>
    <col min="7910" max="7922" width="13.42578125" style="1" customWidth="1"/>
    <col min="7923" max="7923" width="16.85546875" style="1" customWidth="1"/>
    <col min="7924" max="7924" width="12.42578125" style="1" customWidth="1"/>
    <col min="7925" max="7925" width="13.5703125" style="1" customWidth="1"/>
    <col min="7926" max="7929" width="12.42578125" style="1" customWidth="1"/>
    <col min="7930" max="7931" width="13.140625" style="1" customWidth="1"/>
    <col min="7932" max="7966" width="14.42578125" style="1" customWidth="1"/>
    <col min="7967" max="7978" width="12.42578125" style="1" customWidth="1"/>
    <col min="7979" max="7979" width="17.5703125" style="1" customWidth="1"/>
    <col min="7980" max="7980" width="15.140625" style="1" customWidth="1"/>
    <col min="7981" max="7982" width="15.42578125" style="1" customWidth="1"/>
    <col min="7983" max="7984" width="15.5703125" style="1" customWidth="1"/>
    <col min="7985" max="7985" width="17" style="1" customWidth="1"/>
    <col min="7986" max="7986" width="15.5703125" style="1" customWidth="1"/>
    <col min="7987" max="7987" width="17.7109375" style="1" customWidth="1"/>
    <col min="7988" max="7988" width="18.42578125" style="1" customWidth="1"/>
    <col min="7989" max="7989" width="17.5703125" style="1" customWidth="1"/>
    <col min="7990" max="7991" width="16" style="1" customWidth="1"/>
    <col min="7992" max="7995" width="12.42578125" style="1" customWidth="1"/>
    <col min="7996" max="7996" width="17.7109375" style="1" customWidth="1"/>
    <col min="7997" max="7997" width="12.42578125" style="1" customWidth="1"/>
    <col min="7998" max="7998" width="13.7109375" style="1" customWidth="1"/>
    <col min="7999" max="7999" width="15.5703125" style="1" customWidth="1"/>
    <col min="8000" max="8003" width="13.7109375" style="1" customWidth="1"/>
    <col min="8004" max="8005" width="12.42578125" style="1" customWidth="1"/>
    <col min="8006" max="8006" width="14.85546875" style="1" customWidth="1"/>
    <col min="8007" max="8007" width="12.42578125" style="1" customWidth="1"/>
    <col min="8008" max="8009" width="13.42578125" style="1" customWidth="1"/>
    <col min="8010" max="8010" width="17" style="1" customWidth="1"/>
    <col min="8011" max="8012" width="12.42578125" style="1" customWidth="1"/>
    <col min="8013" max="8013" width="16.42578125" style="1" customWidth="1"/>
    <col min="8014" max="8014" width="12.42578125" style="1" customWidth="1"/>
    <col min="8015" max="8015" width="13.42578125" style="1" customWidth="1"/>
    <col min="8016" max="8016" width="12.42578125" style="1" customWidth="1"/>
    <col min="8017" max="8018" width="11.7109375" style="1" customWidth="1"/>
    <col min="8019" max="8019" width="11.42578125" style="1" customWidth="1"/>
    <col min="8020" max="8020" width="11.7109375" style="1" customWidth="1"/>
    <col min="8021" max="8021" width="11.42578125" style="1" customWidth="1"/>
    <col min="8022" max="8023" width="15.42578125" style="1" customWidth="1"/>
    <col min="8024" max="8024" width="16.140625" style="1" customWidth="1"/>
    <col min="8025" max="8025" width="16.5703125" style="1" customWidth="1"/>
    <col min="8026" max="8026" width="16.7109375" style="1" customWidth="1"/>
    <col min="8027" max="8027" width="15.42578125" style="1" customWidth="1"/>
    <col min="8028" max="8028" width="14.85546875" style="1" customWidth="1"/>
    <col min="8029" max="8029" width="17.140625" style="1" customWidth="1"/>
    <col min="8030" max="8030" width="16.7109375" style="1" customWidth="1"/>
    <col min="8031" max="8031" width="16.5703125" style="1" customWidth="1"/>
    <col min="8032" max="8032" width="16.28515625" style="1" customWidth="1"/>
    <col min="8033" max="8033" width="14.85546875" style="1" customWidth="1"/>
    <col min="8034" max="8034" width="16.140625" style="1" customWidth="1"/>
    <col min="8035" max="8035" width="16" style="1" customWidth="1"/>
    <col min="8036" max="8036" width="15.5703125" style="1" customWidth="1"/>
    <col min="8037" max="8037" width="16.28515625" style="1" customWidth="1"/>
    <col min="8038" max="8038" width="17.140625" style="1" customWidth="1"/>
    <col min="8039" max="8039" width="16.28515625" style="1" customWidth="1"/>
    <col min="8040" max="8040" width="15.7109375" style="1" customWidth="1"/>
    <col min="8041" max="8041" width="15.42578125" style="1" customWidth="1"/>
    <col min="8042" max="8144" width="9.140625" style="1"/>
    <col min="8145" max="8145" width="19.85546875" style="1" customWidth="1"/>
    <col min="8146" max="8146" width="22" style="1" customWidth="1"/>
    <col min="8147" max="8147" width="18.42578125" style="1" customWidth="1"/>
    <col min="8148" max="8149" width="16.42578125" style="1" customWidth="1"/>
    <col min="8150" max="8150" width="18.85546875" style="1" customWidth="1"/>
    <col min="8151" max="8152" width="15.5703125" style="1" customWidth="1"/>
    <col min="8153" max="8153" width="11.28515625" style="1" customWidth="1"/>
    <col min="8154" max="8154" width="12.7109375" style="1" customWidth="1"/>
    <col min="8155" max="8159" width="14.7109375" style="1" customWidth="1"/>
    <col min="8160" max="8163" width="13.85546875" style="1" customWidth="1"/>
    <col min="8164" max="8164" width="14.28515625" style="1" customWidth="1"/>
    <col min="8165" max="8165" width="13.85546875" style="1" customWidth="1"/>
    <col min="8166" max="8178" width="13.42578125" style="1" customWidth="1"/>
    <col min="8179" max="8179" width="16.85546875" style="1" customWidth="1"/>
    <col min="8180" max="8180" width="12.42578125" style="1" customWidth="1"/>
    <col min="8181" max="8181" width="13.5703125" style="1" customWidth="1"/>
    <col min="8182" max="8185" width="12.42578125" style="1" customWidth="1"/>
    <col min="8186" max="8187" width="13.140625" style="1" customWidth="1"/>
    <col min="8188" max="8222" width="14.42578125" style="1" customWidth="1"/>
    <col min="8223" max="8234" width="12.42578125" style="1" customWidth="1"/>
    <col min="8235" max="8235" width="17.5703125" style="1" customWidth="1"/>
    <col min="8236" max="8236" width="15.140625" style="1" customWidth="1"/>
    <col min="8237" max="8238" width="15.42578125" style="1" customWidth="1"/>
    <col min="8239" max="8240" width="15.5703125" style="1" customWidth="1"/>
    <col min="8241" max="8241" width="17" style="1" customWidth="1"/>
    <col min="8242" max="8242" width="15.5703125" style="1" customWidth="1"/>
    <col min="8243" max="8243" width="17.7109375" style="1" customWidth="1"/>
    <col min="8244" max="8244" width="18.42578125" style="1" customWidth="1"/>
    <col min="8245" max="8245" width="17.5703125" style="1" customWidth="1"/>
    <col min="8246" max="8247" width="16" style="1" customWidth="1"/>
    <col min="8248" max="8251" width="12.42578125" style="1" customWidth="1"/>
    <col min="8252" max="8252" width="17.7109375" style="1" customWidth="1"/>
    <col min="8253" max="8253" width="12.42578125" style="1" customWidth="1"/>
    <col min="8254" max="8254" width="13.7109375" style="1" customWidth="1"/>
    <col min="8255" max="8255" width="15.5703125" style="1" customWidth="1"/>
    <col min="8256" max="8259" width="13.7109375" style="1" customWidth="1"/>
    <col min="8260" max="8261" width="12.42578125" style="1" customWidth="1"/>
    <col min="8262" max="8262" width="14.85546875" style="1" customWidth="1"/>
    <col min="8263" max="8263" width="12.42578125" style="1" customWidth="1"/>
    <col min="8264" max="8265" width="13.42578125" style="1" customWidth="1"/>
    <col min="8266" max="8266" width="17" style="1" customWidth="1"/>
    <col min="8267" max="8268" width="12.42578125" style="1" customWidth="1"/>
    <col min="8269" max="8269" width="16.42578125" style="1" customWidth="1"/>
    <col min="8270" max="8270" width="12.42578125" style="1" customWidth="1"/>
    <col min="8271" max="8271" width="13.42578125" style="1" customWidth="1"/>
    <col min="8272" max="8272" width="12.42578125" style="1" customWidth="1"/>
    <col min="8273" max="8274" width="11.7109375" style="1" customWidth="1"/>
    <col min="8275" max="8275" width="11.42578125" style="1" customWidth="1"/>
    <col min="8276" max="8276" width="11.7109375" style="1" customWidth="1"/>
    <col min="8277" max="8277" width="11.42578125" style="1" customWidth="1"/>
    <col min="8278" max="8279" width="15.42578125" style="1" customWidth="1"/>
    <col min="8280" max="8280" width="16.140625" style="1" customWidth="1"/>
    <col min="8281" max="8281" width="16.5703125" style="1" customWidth="1"/>
    <col min="8282" max="8282" width="16.7109375" style="1" customWidth="1"/>
    <col min="8283" max="8283" width="15.42578125" style="1" customWidth="1"/>
    <col min="8284" max="8284" width="14.85546875" style="1" customWidth="1"/>
    <col min="8285" max="8285" width="17.140625" style="1" customWidth="1"/>
    <col min="8286" max="8286" width="16.7109375" style="1" customWidth="1"/>
    <col min="8287" max="8287" width="16.5703125" style="1" customWidth="1"/>
    <col min="8288" max="8288" width="16.28515625" style="1" customWidth="1"/>
    <col min="8289" max="8289" width="14.85546875" style="1" customWidth="1"/>
    <col min="8290" max="8290" width="16.140625" style="1" customWidth="1"/>
    <col min="8291" max="8291" width="16" style="1" customWidth="1"/>
    <col min="8292" max="8292" width="15.5703125" style="1" customWidth="1"/>
    <col min="8293" max="8293" width="16.28515625" style="1" customWidth="1"/>
    <col min="8294" max="8294" width="17.140625" style="1" customWidth="1"/>
    <col min="8295" max="8295" width="16.28515625" style="1" customWidth="1"/>
    <col min="8296" max="8296" width="15.7109375" style="1" customWidth="1"/>
    <col min="8297" max="8297" width="15.42578125" style="1" customWidth="1"/>
    <col min="8298" max="8400" width="9.140625" style="1"/>
    <col min="8401" max="8401" width="19.85546875" style="1" customWidth="1"/>
    <col min="8402" max="8402" width="22" style="1" customWidth="1"/>
    <col min="8403" max="8403" width="18.42578125" style="1" customWidth="1"/>
    <col min="8404" max="8405" width="16.42578125" style="1" customWidth="1"/>
    <col min="8406" max="8406" width="18.85546875" style="1" customWidth="1"/>
    <col min="8407" max="8408" width="15.5703125" style="1" customWidth="1"/>
    <col min="8409" max="8409" width="11.28515625" style="1" customWidth="1"/>
    <col min="8410" max="8410" width="12.7109375" style="1" customWidth="1"/>
    <col min="8411" max="8415" width="14.7109375" style="1" customWidth="1"/>
    <col min="8416" max="8419" width="13.85546875" style="1" customWidth="1"/>
    <col min="8420" max="8420" width="14.28515625" style="1" customWidth="1"/>
    <col min="8421" max="8421" width="13.85546875" style="1" customWidth="1"/>
    <col min="8422" max="8434" width="13.42578125" style="1" customWidth="1"/>
    <col min="8435" max="8435" width="16.85546875" style="1" customWidth="1"/>
    <col min="8436" max="8436" width="12.42578125" style="1" customWidth="1"/>
    <col min="8437" max="8437" width="13.5703125" style="1" customWidth="1"/>
    <col min="8438" max="8441" width="12.42578125" style="1" customWidth="1"/>
    <col min="8442" max="8443" width="13.140625" style="1" customWidth="1"/>
    <col min="8444" max="8478" width="14.42578125" style="1" customWidth="1"/>
    <col min="8479" max="8490" width="12.42578125" style="1" customWidth="1"/>
    <col min="8491" max="8491" width="17.5703125" style="1" customWidth="1"/>
    <col min="8492" max="8492" width="15.140625" style="1" customWidth="1"/>
    <col min="8493" max="8494" width="15.42578125" style="1" customWidth="1"/>
    <col min="8495" max="8496" width="15.5703125" style="1" customWidth="1"/>
    <col min="8497" max="8497" width="17" style="1" customWidth="1"/>
    <col min="8498" max="8498" width="15.5703125" style="1" customWidth="1"/>
    <col min="8499" max="8499" width="17.7109375" style="1" customWidth="1"/>
    <col min="8500" max="8500" width="18.42578125" style="1" customWidth="1"/>
    <col min="8501" max="8501" width="17.5703125" style="1" customWidth="1"/>
    <col min="8502" max="8503" width="16" style="1" customWidth="1"/>
    <col min="8504" max="8507" width="12.42578125" style="1" customWidth="1"/>
    <col min="8508" max="8508" width="17.7109375" style="1" customWidth="1"/>
    <col min="8509" max="8509" width="12.42578125" style="1" customWidth="1"/>
    <col min="8510" max="8510" width="13.7109375" style="1" customWidth="1"/>
    <col min="8511" max="8511" width="15.5703125" style="1" customWidth="1"/>
    <col min="8512" max="8515" width="13.7109375" style="1" customWidth="1"/>
    <col min="8516" max="8517" width="12.42578125" style="1" customWidth="1"/>
    <col min="8518" max="8518" width="14.85546875" style="1" customWidth="1"/>
    <col min="8519" max="8519" width="12.42578125" style="1" customWidth="1"/>
    <col min="8520" max="8521" width="13.42578125" style="1" customWidth="1"/>
    <col min="8522" max="8522" width="17" style="1" customWidth="1"/>
    <col min="8523" max="8524" width="12.42578125" style="1" customWidth="1"/>
    <col min="8525" max="8525" width="16.42578125" style="1" customWidth="1"/>
    <col min="8526" max="8526" width="12.42578125" style="1" customWidth="1"/>
    <col min="8527" max="8527" width="13.42578125" style="1" customWidth="1"/>
    <col min="8528" max="8528" width="12.42578125" style="1" customWidth="1"/>
    <col min="8529" max="8530" width="11.7109375" style="1" customWidth="1"/>
    <col min="8531" max="8531" width="11.42578125" style="1" customWidth="1"/>
    <col min="8532" max="8532" width="11.7109375" style="1" customWidth="1"/>
    <col min="8533" max="8533" width="11.42578125" style="1" customWidth="1"/>
    <col min="8534" max="8535" width="15.42578125" style="1" customWidth="1"/>
    <col min="8536" max="8536" width="16.140625" style="1" customWidth="1"/>
    <col min="8537" max="8537" width="16.5703125" style="1" customWidth="1"/>
    <col min="8538" max="8538" width="16.7109375" style="1" customWidth="1"/>
    <col min="8539" max="8539" width="15.42578125" style="1" customWidth="1"/>
    <col min="8540" max="8540" width="14.85546875" style="1" customWidth="1"/>
    <col min="8541" max="8541" width="17.140625" style="1" customWidth="1"/>
    <col min="8542" max="8542" width="16.7109375" style="1" customWidth="1"/>
    <col min="8543" max="8543" width="16.5703125" style="1" customWidth="1"/>
    <col min="8544" max="8544" width="16.28515625" style="1" customWidth="1"/>
    <col min="8545" max="8545" width="14.85546875" style="1" customWidth="1"/>
    <col min="8546" max="8546" width="16.140625" style="1" customWidth="1"/>
    <col min="8547" max="8547" width="16" style="1" customWidth="1"/>
    <col min="8548" max="8548" width="15.5703125" style="1" customWidth="1"/>
    <col min="8549" max="8549" width="16.28515625" style="1" customWidth="1"/>
    <col min="8550" max="8550" width="17.140625" style="1" customWidth="1"/>
    <col min="8551" max="8551" width="16.28515625" style="1" customWidth="1"/>
    <col min="8552" max="8552" width="15.7109375" style="1" customWidth="1"/>
    <col min="8553" max="8553" width="15.42578125" style="1" customWidth="1"/>
    <col min="8554" max="8656" width="9.140625" style="1"/>
    <col min="8657" max="8657" width="19.85546875" style="1" customWidth="1"/>
    <col min="8658" max="8658" width="22" style="1" customWidth="1"/>
    <col min="8659" max="8659" width="18.42578125" style="1" customWidth="1"/>
    <col min="8660" max="8661" width="16.42578125" style="1" customWidth="1"/>
    <col min="8662" max="8662" width="18.85546875" style="1" customWidth="1"/>
    <col min="8663" max="8664" width="15.5703125" style="1" customWidth="1"/>
    <col min="8665" max="8665" width="11.28515625" style="1" customWidth="1"/>
    <col min="8666" max="8666" width="12.7109375" style="1" customWidth="1"/>
    <col min="8667" max="8671" width="14.7109375" style="1" customWidth="1"/>
    <col min="8672" max="8675" width="13.85546875" style="1" customWidth="1"/>
    <col min="8676" max="8676" width="14.28515625" style="1" customWidth="1"/>
    <col min="8677" max="8677" width="13.85546875" style="1" customWidth="1"/>
    <col min="8678" max="8690" width="13.42578125" style="1" customWidth="1"/>
    <col min="8691" max="8691" width="16.85546875" style="1" customWidth="1"/>
    <col min="8692" max="8692" width="12.42578125" style="1" customWidth="1"/>
    <col min="8693" max="8693" width="13.5703125" style="1" customWidth="1"/>
    <col min="8694" max="8697" width="12.42578125" style="1" customWidth="1"/>
    <col min="8698" max="8699" width="13.140625" style="1" customWidth="1"/>
    <col min="8700" max="8734" width="14.42578125" style="1" customWidth="1"/>
    <col min="8735" max="8746" width="12.42578125" style="1" customWidth="1"/>
    <col min="8747" max="8747" width="17.5703125" style="1" customWidth="1"/>
    <col min="8748" max="8748" width="15.140625" style="1" customWidth="1"/>
    <col min="8749" max="8750" width="15.42578125" style="1" customWidth="1"/>
    <col min="8751" max="8752" width="15.5703125" style="1" customWidth="1"/>
    <col min="8753" max="8753" width="17" style="1" customWidth="1"/>
    <col min="8754" max="8754" width="15.5703125" style="1" customWidth="1"/>
    <col min="8755" max="8755" width="17.7109375" style="1" customWidth="1"/>
    <col min="8756" max="8756" width="18.42578125" style="1" customWidth="1"/>
    <col min="8757" max="8757" width="17.5703125" style="1" customWidth="1"/>
    <col min="8758" max="8759" width="16" style="1" customWidth="1"/>
    <col min="8760" max="8763" width="12.42578125" style="1" customWidth="1"/>
    <col min="8764" max="8764" width="17.7109375" style="1" customWidth="1"/>
    <col min="8765" max="8765" width="12.42578125" style="1" customWidth="1"/>
    <col min="8766" max="8766" width="13.7109375" style="1" customWidth="1"/>
    <col min="8767" max="8767" width="15.5703125" style="1" customWidth="1"/>
    <col min="8768" max="8771" width="13.7109375" style="1" customWidth="1"/>
    <col min="8772" max="8773" width="12.42578125" style="1" customWidth="1"/>
    <col min="8774" max="8774" width="14.85546875" style="1" customWidth="1"/>
    <col min="8775" max="8775" width="12.42578125" style="1" customWidth="1"/>
    <col min="8776" max="8777" width="13.42578125" style="1" customWidth="1"/>
    <col min="8778" max="8778" width="17" style="1" customWidth="1"/>
    <col min="8779" max="8780" width="12.42578125" style="1" customWidth="1"/>
    <col min="8781" max="8781" width="16.42578125" style="1" customWidth="1"/>
    <col min="8782" max="8782" width="12.42578125" style="1" customWidth="1"/>
    <col min="8783" max="8783" width="13.42578125" style="1" customWidth="1"/>
    <col min="8784" max="8784" width="12.42578125" style="1" customWidth="1"/>
    <col min="8785" max="8786" width="11.7109375" style="1" customWidth="1"/>
    <col min="8787" max="8787" width="11.42578125" style="1" customWidth="1"/>
    <col min="8788" max="8788" width="11.7109375" style="1" customWidth="1"/>
    <col min="8789" max="8789" width="11.42578125" style="1" customWidth="1"/>
    <col min="8790" max="8791" width="15.42578125" style="1" customWidth="1"/>
    <col min="8792" max="8792" width="16.140625" style="1" customWidth="1"/>
    <col min="8793" max="8793" width="16.5703125" style="1" customWidth="1"/>
    <col min="8794" max="8794" width="16.7109375" style="1" customWidth="1"/>
    <col min="8795" max="8795" width="15.42578125" style="1" customWidth="1"/>
    <col min="8796" max="8796" width="14.85546875" style="1" customWidth="1"/>
    <col min="8797" max="8797" width="17.140625" style="1" customWidth="1"/>
    <col min="8798" max="8798" width="16.7109375" style="1" customWidth="1"/>
    <col min="8799" max="8799" width="16.5703125" style="1" customWidth="1"/>
    <col min="8800" max="8800" width="16.28515625" style="1" customWidth="1"/>
    <col min="8801" max="8801" width="14.85546875" style="1" customWidth="1"/>
    <col min="8802" max="8802" width="16.140625" style="1" customWidth="1"/>
    <col min="8803" max="8803" width="16" style="1" customWidth="1"/>
    <col min="8804" max="8804" width="15.5703125" style="1" customWidth="1"/>
    <col min="8805" max="8805" width="16.28515625" style="1" customWidth="1"/>
    <col min="8806" max="8806" width="17.140625" style="1" customWidth="1"/>
    <col min="8807" max="8807" width="16.28515625" style="1" customWidth="1"/>
    <col min="8808" max="8808" width="15.7109375" style="1" customWidth="1"/>
    <col min="8809" max="8809" width="15.42578125" style="1" customWidth="1"/>
    <col min="8810" max="8912" width="9.140625" style="1"/>
    <col min="8913" max="8913" width="19.85546875" style="1" customWidth="1"/>
    <col min="8914" max="8914" width="22" style="1" customWidth="1"/>
    <col min="8915" max="8915" width="18.42578125" style="1" customWidth="1"/>
    <col min="8916" max="8917" width="16.42578125" style="1" customWidth="1"/>
    <col min="8918" max="8918" width="18.85546875" style="1" customWidth="1"/>
    <col min="8919" max="8920" width="15.5703125" style="1" customWidth="1"/>
    <col min="8921" max="8921" width="11.28515625" style="1" customWidth="1"/>
    <col min="8922" max="8922" width="12.7109375" style="1" customWidth="1"/>
    <col min="8923" max="8927" width="14.7109375" style="1" customWidth="1"/>
    <col min="8928" max="8931" width="13.85546875" style="1" customWidth="1"/>
    <col min="8932" max="8932" width="14.28515625" style="1" customWidth="1"/>
    <col min="8933" max="8933" width="13.85546875" style="1" customWidth="1"/>
    <col min="8934" max="8946" width="13.42578125" style="1" customWidth="1"/>
    <col min="8947" max="8947" width="16.85546875" style="1" customWidth="1"/>
    <col min="8948" max="8948" width="12.42578125" style="1" customWidth="1"/>
    <col min="8949" max="8949" width="13.5703125" style="1" customWidth="1"/>
    <col min="8950" max="8953" width="12.42578125" style="1" customWidth="1"/>
    <col min="8954" max="8955" width="13.140625" style="1" customWidth="1"/>
    <col min="8956" max="8990" width="14.42578125" style="1" customWidth="1"/>
    <col min="8991" max="9002" width="12.42578125" style="1" customWidth="1"/>
    <col min="9003" max="9003" width="17.5703125" style="1" customWidth="1"/>
    <col min="9004" max="9004" width="15.140625" style="1" customWidth="1"/>
    <col min="9005" max="9006" width="15.42578125" style="1" customWidth="1"/>
    <col min="9007" max="9008" width="15.5703125" style="1" customWidth="1"/>
    <col min="9009" max="9009" width="17" style="1" customWidth="1"/>
    <col min="9010" max="9010" width="15.5703125" style="1" customWidth="1"/>
    <col min="9011" max="9011" width="17.7109375" style="1" customWidth="1"/>
    <col min="9012" max="9012" width="18.42578125" style="1" customWidth="1"/>
    <col min="9013" max="9013" width="17.5703125" style="1" customWidth="1"/>
    <col min="9014" max="9015" width="16" style="1" customWidth="1"/>
    <col min="9016" max="9019" width="12.42578125" style="1" customWidth="1"/>
    <col min="9020" max="9020" width="17.7109375" style="1" customWidth="1"/>
    <col min="9021" max="9021" width="12.42578125" style="1" customWidth="1"/>
    <col min="9022" max="9022" width="13.7109375" style="1" customWidth="1"/>
    <col min="9023" max="9023" width="15.5703125" style="1" customWidth="1"/>
    <col min="9024" max="9027" width="13.7109375" style="1" customWidth="1"/>
    <col min="9028" max="9029" width="12.42578125" style="1" customWidth="1"/>
    <col min="9030" max="9030" width="14.85546875" style="1" customWidth="1"/>
    <col min="9031" max="9031" width="12.42578125" style="1" customWidth="1"/>
    <col min="9032" max="9033" width="13.42578125" style="1" customWidth="1"/>
    <col min="9034" max="9034" width="17" style="1" customWidth="1"/>
    <col min="9035" max="9036" width="12.42578125" style="1" customWidth="1"/>
    <col min="9037" max="9037" width="16.42578125" style="1" customWidth="1"/>
    <col min="9038" max="9038" width="12.42578125" style="1" customWidth="1"/>
    <col min="9039" max="9039" width="13.42578125" style="1" customWidth="1"/>
    <col min="9040" max="9040" width="12.42578125" style="1" customWidth="1"/>
    <col min="9041" max="9042" width="11.7109375" style="1" customWidth="1"/>
    <col min="9043" max="9043" width="11.42578125" style="1" customWidth="1"/>
    <col min="9044" max="9044" width="11.7109375" style="1" customWidth="1"/>
    <col min="9045" max="9045" width="11.42578125" style="1" customWidth="1"/>
    <col min="9046" max="9047" width="15.42578125" style="1" customWidth="1"/>
    <col min="9048" max="9048" width="16.140625" style="1" customWidth="1"/>
    <col min="9049" max="9049" width="16.5703125" style="1" customWidth="1"/>
    <col min="9050" max="9050" width="16.7109375" style="1" customWidth="1"/>
    <col min="9051" max="9051" width="15.42578125" style="1" customWidth="1"/>
    <col min="9052" max="9052" width="14.85546875" style="1" customWidth="1"/>
    <col min="9053" max="9053" width="17.140625" style="1" customWidth="1"/>
    <col min="9054" max="9054" width="16.7109375" style="1" customWidth="1"/>
    <col min="9055" max="9055" width="16.5703125" style="1" customWidth="1"/>
    <col min="9056" max="9056" width="16.28515625" style="1" customWidth="1"/>
    <col min="9057" max="9057" width="14.85546875" style="1" customWidth="1"/>
    <col min="9058" max="9058" width="16.140625" style="1" customWidth="1"/>
    <col min="9059" max="9059" width="16" style="1" customWidth="1"/>
    <col min="9060" max="9060" width="15.5703125" style="1" customWidth="1"/>
    <col min="9061" max="9061" width="16.28515625" style="1" customWidth="1"/>
    <col min="9062" max="9062" width="17.140625" style="1" customWidth="1"/>
    <col min="9063" max="9063" width="16.28515625" style="1" customWidth="1"/>
    <col min="9064" max="9064" width="15.7109375" style="1" customWidth="1"/>
    <col min="9065" max="9065" width="15.42578125" style="1" customWidth="1"/>
    <col min="9066" max="9168" width="9.140625" style="1"/>
    <col min="9169" max="9169" width="19.85546875" style="1" customWidth="1"/>
    <col min="9170" max="9170" width="22" style="1" customWidth="1"/>
    <col min="9171" max="9171" width="18.42578125" style="1" customWidth="1"/>
    <col min="9172" max="9173" width="16.42578125" style="1" customWidth="1"/>
    <col min="9174" max="9174" width="18.85546875" style="1" customWidth="1"/>
    <col min="9175" max="9176" width="15.5703125" style="1" customWidth="1"/>
    <col min="9177" max="9177" width="11.28515625" style="1" customWidth="1"/>
    <col min="9178" max="9178" width="12.7109375" style="1" customWidth="1"/>
    <col min="9179" max="9183" width="14.7109375" style="1" customWidth="1"/>
    <col min="9184" max="9187" width="13.85546875" style="1" customWidth="1"/>
    <col min="9188" max="9188" width="14.28515625" style="1" customWidth="1"/>
    <col min="9189" max="9189" width="13.85546875" style="1" customWidth="1"/>
    <col min="9190" max="9202" width="13.42578125" style="1" customWidth="1"/>
    <col min="9203" max="9203" width="16.85546875" style="1" customWidth="1"/>
    <col min="9204" max="9204" width="12.42578125" style="1" customWidth="1"/>
    <col min="9205" max="9205" width="13.5703125" style="1" customWidth="1"/>
    <col min="9206" max="9209" width="12.42578125" style="1" customWidth="1"/>
    <col min="9210" max="9211" width="13.140625" style="1" customWidth="1"/>
    <col min="9212" max="9246" width="14.42578125" style="1" customWidth="1"/>
    <col min="9247" max="9258" width="12.42578125" style="1" customWidth="1"/>
    <col min="9259" max="9259" width="17.5703125" style="1" customWidth="1"/>
    <col min="9260" max="9260" width="15.140625" style="1" customWidth="1"/>
    <col min="9261" max="9262" width="15.42578125" style="1" customWidth="1"/>
    <col min="9263" max="9264" width="15.5703125" style="1" customWidth="1"/>
    <col min="9265" max="9265" width="17" style="1" customWidth="1"/>
    <col min="9266" max="9266" width="15.5703125" style="1" customWidth="1"/>
    <col min="9267" max="9267" width="17.7109375" style="1" customWidth="1"/>
    <col min="9268" max="9268" width="18.42578125" style="1" customWidth="1"/>
    <col min="9269" max="9269" width="17.5703125" style="1" customWidth="1"/>
    <col min="9270" max="9271" width="16" style="1" customWidth="1"/>
    <col min="9272" max="9275" width="12.42578125" style="1" customWidth="1"/>
    <col min="9276" max="9276" width="17.7109375" style="1" customWidth="1"/>
    <col min="9277" max="9277" width="12.42578125" style="1" customWidth="1"/>
    <col min="9278" max="9278" width="13.7109375" style="1" customWidth="1"/>
    <col min="9279" max="9279" width="15.5703125" style="1" customWidth="1"/>
    <col min="9280" max="9283" width="13.7109375" style="1" customWidth="1"/>
    <col min="9284" max="9285" width="12.42578125" style="1" customWidth="1"/>
    <col min="9286" max="9286" width="14.85546875" style="1" customWidth="1"/>
    <col min="9287" max="9287" width="12.42578125" style="1" customWidth="1"/>
    <col min="9288" max="9289" width="13.42578125" style="1" customWidth="1"/>
    <col min="9290" max="9290" width="17" style="1" customWidth="1"/>
    <col min="9291" max="9292" width="12.42578125" style="1" customWidth="1"/>
    <col min="9293" max="9293" width="16.42578125" style="1" customWidth="1"/>
    <col min="9294" max="9294" width="12.42578125" style="1" customWidth="1"/>
    <col min="9295" max="9295" width="13.42578125" style="1" customWidth="1"/>
    <col min="9296" max="9296" width="12.42578125" style="1" customWidth="1"/>
    <col min="9297" max="9298" width="11.7109375" style="1" customWidth="1"/>
    <col min="9299" max="9299" width="11.42578125" style="1" customWidth="1"/>
    <col min="9300" max="9300" width="11.7109375" style="1" customWidth="1"/>
    <col min="9301" max="9301" width="11.42578125" style="1" customWidth="1"/>
    <col min="9302" max="9303" width="15.42578125" style="1" customWidth="1"/>
    <col min="9304" max="9304" width="16.140625" style="1" customWidth="1"/>
    <col min="9305" max="9305" width="16.5703125" style="1" customWidth="1"/>
    <col min="9306" max="9306" width="16.7109375" style="1" customWidth="1"/>
    <col min="9307" max="9307" width="15.42578125" style="1" customWidth="1"/>
    <col min="9308" max="9308" width="14.85546875" style="1" customWidth="1"/>
    <col min="9309" max="9309" width="17.140625" style="1" customWidth="1"/>
    <col min="9310" max="9310" width="16.7109375" style="1" customWidth="1"/>
    <col min="9311" max="9311" width="16.5703125" style="1" customWidth="1"/>
    <col min="9312" max="9312" width="16.28515625" style="1" customWidth="1"/>
    <col min="9313" max="9313" width="14.85546875" style="1" customWidth="1"/>
    <col min="9314" max="9314" width="16.140625" style="1" customWidth="1"/>
    <col min="9315" max="9315" width="16" style="1" customWidth="1"/>
    <col min="9316" max="9316" width="15.5703125" style="1" customWidth="1"/>
    <col min="9317" max="9317" width="16.28515625" style="1" customWidth="1"/>
    <col min="9318" max="9318" width="17.140625" style="1" customWidth="1"/>
    <col min="9319" max="9319" width="16.28515625" style="1" customWidth="1"/>
    <col min="9320" max="9320" width="15.7109375" style="1" customWidth="1"/>
    <col min="9321" max="9321" width="15.42578125" style="1" customWidth="1"/>
    <col min="9322" max="9424" width="9.140625" style="1"/>
    <col min="9425" max="9425" width="19.85546875" style="1" customWidth="1"/>
    <col min="9426" max="9426" width="22" style="1" customWidth="1"/>
    <col min="9427" max="9427" width="18.42578125" style="1" customWidth="1"/>
    <col min="9428" max="9429" width="16.42578125" style="1" customWidth="1"/>
    <col min="9430" max="9430" width="18.85546875" style="1" customWidth="1"/>
    <col min="9431" max="9432" width="15.5703125" style="1" customWidth="1"/>
    <col min="9433" max="9433" width="11.28515625" style="1" customWidth="1"/>
    <col min="9434" max="9434" width="12.7109375" style="1" customWidth="1"/>
    <col min="9435" max="9439" width="14.7109375" style="1" customWidth="1"/>
    <col min="9440" max="9443" width="13.85546875" style="1" customWidth="1"/>
    <col min="9444" max="9444" width="14.28515625" style="1" customWidth="1"/>
    <col min="9445" max="9445" width="13.85546875" style="1" customWidth="1"/>
    <col min="9446" max="9458" width="13.42578125" style="1" customWidth="1"/>
    <col min="9459" max="9459" width="16.85546875" style="1" customWidth="1"/>
    <col min="9460" max="9460" width="12.42578125" style="1" customWidth="1"/>
    <col min="9461" max="9461" width="13.5703125" style="1" customWidth="1"/>
    <col min="9462" max="9465" width="12.42578125" style="1" customWidth="1"/>
    <col min="9466" max="9467" width="13.140625" style="1" customWidth="1"/>
    <col min="9468" max="9502" width="14.42578125" style="1" customWidth="1"/>
    <col min="9503" max="9514" width="12.42578125" style="1" customWidth="1"/>
    <col min="9515" max="9515" width="17.5703125" style="1" customWidth="1"/>
    <col min="9516" max="9516" width="15.140625" style="1" customWidth="1"/>
    <col min="9517" max="9518" width="15.42578125" style="1" customWidth="1"/>
    <col min="9519" max="9520" width="15.5703125" style="1" customWidth="1"/>
    <col min="9521" max="9521" width="17" style="1" customWidth="1"/>
    <col min="9522" max="9522" width="15.5703125" style="1" customWidth="1"/>
    <col min="9523" max="9523" width="17.7109375" style="1" customWidth="1"/>
    <col min="9524" max="9524" width="18.42578125" style="1" customWidth="1"/>
    <col min="9525" max="9525" width="17.5703125" style="1" customWidth="1"/>
    <col min="9526" max="9527" width="16" style="1" customWidth="1"/>
    <col min="9528" max="9531" width="12.42578125" style="1" customWidth="1"/>
    <col min="9532" max="9532" width="17.7109375" style="1" customWidth="1"/>
    <col min="9533" max="9533" width="12.42578125" style="1" customWidth="1"/>
    <col min="9534" max="9534" width="13.7109375" style="1" customWidth="1"/>
    <col min="9535" max="9535" width="15.5703125" style="1" customWidth="1"/>
    <col min="9536" max="9539" width="13.7109375" style="1" customWidth="1"/>
    <col min="9540" max="9541" width="12.42578125" style="1" customWidth="1"/>
    <col min="9542" max="9542" width="14.85546875" style="1" customWidth="1"/>
    <col min="9543" max="9543" width="12.42578125" style="1" customWidth="1"/>
    <col min="9544" max="9545" width="13.42578125" style="1" customWidth="1"/>
    <col min="9546" max="9546" width="17" style="1" customWidth="1"/>
    <col min="9547" max="9548" width="12.42578125" style="1" customWidth="1"/>
    <col min="9549" max="9549" width="16.42578125" style="1" customWidth="1"/>
    <col min="9550" max="9550" width="12.42578125" style="1" customWidth="1"/>
    <col min="9551" max="9551" width="13.42578125" style="1" customWidth="1"/>
    <col min="9552" max="9552" width="12.42578125" style="1" customWidth="1"/>
    <col min="9553" max="9554" width="11.7109375" style="1" customWidth="1"/>
    <col min="9555" max="9555" width="11.42578125" style="1" customWidth="1"/>
    <col min="9556" max="9556" width="11.7109375" style="1" customWidth="1"/>
    <col min="9557" max="9557" width="11.42578125" style="1" customWidth="1"/>
    <col min="9558" max="9559" width="15.42578125" style="1" customWidth="1"/>
    <col min="9560" max="9560" width="16.140625" style="1" customWidth="1"/>
    <col min="9561" max="9561" width="16.5703125" style="1" customWidth="1"/>
    <col min="9562" max="9562" width="16.7109375" style="1" customWidth="1"/>
    <col min="9563" max="9563" width="15.42578125" style="1" customWidth="1"/>
    <col min="9564" max="9564" width="14.85546875" style="1" customWidth="1"/>
    <col min="9565" max="9565" width="17.140625" style="1" customWidth="1"/>
    <col min="9566" max="9566" width="16.7109375" style="1" customWidth="1"/>
    <col min="9567" max="9567" width="16.5703125" style="1" customWidth="1"/>
    <col min="9568" max="9568" width="16.28515625" style="1" customWidth="1"/>
    <col min="9569" max="9569" width="14.85546875" style="1" customWidth="1"/>
    <col min="9570" max="9570" width="16.140625" style="1" customWidth="1"/>
    <col min="9571" max="9571" width="16" style="1" customWidth="1"/>
    <col min="9572" max="9572" width="15.5703125" style="1" customWidth="1"/>
    <col min="9573" max="9573" width="16.28515625" style="1" customWidth="1"/>
    <col min="9574" max="9574" width="17.140625" style="1" customWidth="1"/>
    <col min="9575" max="9575" width="16.28515625" style="1" customWidth="1"/>
    <col min="9576" max="9576" width="15.7109375" style="1" customWidth="1"/>
    <col min="9577" max="9577" width="15.42578125" style="1" customWidth="1"/>
    <col min="9578" max="9680" width="9.140625" style="1"/>
    <col min="9681" max="9681" width="19.85546875" style="1" customWidth="1"/>
    <col min="9682" max="9682" width="22" style="1" customWidth="1"/>
    <col min="9683" max="9683" width="18.42578125" style="1" customWidth="1"/>
    <col min="9684" max="9685" width="16.42578125" style="1" customWidth="1"/>
    <col min="9686" max="9686" width="18.85546875" style="1" customWidth="1"/>
    <col min="9687" max="9688" width="15.5703125" style="1" customWidth="1"/>
    <col min="9689" max="9689" width="11.28515625" style="1" customWidth="1"/>
    <col min="9690" max="9690" width="12.7109375" style="1" customWidth="1"/>
    <col min="9691" max="9695" width="14.7109375" style="1" customWidth="1"/>
    <col min="9696" max="9699" width="13.85546875" style="1" customWidth="1"/>
    <col min="9700" max="9700" width="14.28515625" style="1" customWidth="1"/>
    <col min="9701" max="9701" width="13.85546875" style="1" customWidth="1"/>
    <col min="9702" max="9714" width="13.42578125" style="1" customWidth="1"/>
    <col min="9715" max="9715" width="16.85546875" style="1" customWidth="1"/>
    <col min="9716" max="9716" width="12.42578125" style="1" customWidth="1"/>
    <col min="9717" max="9717" width="13.5703125" style="1" customWidth="1"/>
    <col min="9718" max="9721" width="12.42578125" style="1" customWidth="1"/>
    <col min="9722" max="9723" width="13.140625" style="1" customWidth="1"/>
    <col min="9724" max="9758" width="14.42578125" style="1" customWidth="1"/>
    <col min="9759" max="9770" width="12.42578125" style="1" customWidth="1"/>
    <col min="9771" max="9771" width="17.5703125" style="1" customWidth="1"/>
    <col min="9772" max="9772" width="15.140625" style="1" customWidth="1"/>
    <col min="9773" max="9774" width="15.42578125" style="1" customWidth="1"/>
    <col min="9775" max="9776" width="15.5703125" style="1" customWidth="1"/>
    <col min="9777" max="9777" width="17" style="1" customWidth="1"/>
    <col min="9778" max="9778" width="15.5703125" style="1" customWidth="1"/>
    <col min="9779" max="9779" width="17.7109375" style="1" customWidth="1"/>
    <col min="9780" max="9780" width="18.42578125" style="1" customWidth="1"/>
    <col min="9781" max="9781" width="17.5703125" style="1" customWidth="1"/>
    <col min="9782" max="9783" width="16" style="1" customWidth="1"/>
    <col min="9784" max="9787" width="12.42578125" style="1" customWidth="1"/>
    <col min="9788" max="9788" width="17.7109375" style="1" customWidth="1"/>
    <col min="9789" max="9789" width="12.42578125" style="1" customWidth="1"/>
    <col min="9790" max="9790" width="13.7109375" style="1" customWidth="1"/>
    <col min="9791" max="9791" width="15.5703125" style="1" customWidth="1"/>
    <col min="9792" max="9795" width="13.7109375" style="1" customWidth="1"/>
    <col min="9796" max="9797" width="12.42578125" style="1" customWidth="1"/>
    <col min="9798" max="9798" width="14.85546875" style="1" customWidth="1"/>
    <col min="9799" max="9799" width="12.42578125" style="1" customWidth="1"/>
    <col min="9800" max="9801" width="13.42578125" style="1" customWidth="1"/>
    <col min="9802" max="9802" width="17" style="1" customWidth="1"/>
    <col min="9803" max="9804" width="12.42578125" style="1" customWidth="1"/>
    <col min="9805" max="9805" width="16.42578125" style="1" customWidth="1"/>
    <col min="9806" max="9806" width="12.42578125" style="1" customWidth="1"/>
    <col min="9807" max="9807" width="13.42578125" style="1" customWidth="1"/>
    <col min="9808" max="9808" width="12.42578125" style="1" customWidth="1"/>
    <col min="9809" max="9810" width="11.7109375" style="1" customWidth="1"/>
    <col min="9811" max="9811" width="11.42578125" style="1" customWidth="1"/>
    <col min="9812" max="9812" width="11.7109375" style="1" customWidth="1"/>
    <col min="9813" max="9813" width="11.42578125" style="1" customWidth="1"/>
    <col min="9814" max="9815" width="15.42578125" style="1" customWidth="1"/>
    <col min="9816" max="9816" width="16.140625" style="1" customWidth="1"/>
    <col min="9817" max="9817" width="16.5703125" style="1" customWidth="1"/>
    <col min="9818" max="9818" width="16.7109375" style="1" customWidth="1"/>
    <col min="9819" max="9819" width="15.42578125" style="1" customWidth="1"/>
    <col min="9820" max="9820" width="14.85546875" style="1" customWidth="1"/>
    <col min="9821" max="9821" width="17.140625" style="1" customWidth="1"/>
    <col min="9822" max="9822" width="16.7109375" style="1" customWidth="1"/>
    <col min="9823" max="9823" width="16.5703125" style="1" customWidth="1"/>
    <col min="9824" max="9824" width="16.28515625" style="1" customWidth="1"/>
    <col min="9825" max="9825" width="14.85546875" style="1" customWidth="1"/>
    <col min="9826" max="9826" width="16.140625" style="1" customWidth="1"/>
    <col min="9827" max="9827" width="16" style="1" customWidth="1"/>
    <col min="9828" max="9828" width="15.5703125" style="1" customWidth="1"/>
    <col min="9829" max="9829" width="16.28515625" style="1" customWidth="1"/>
    <col min="9830" max="9830" width="17.140625" style="1" customWidth="1"/>
    <col min="9831" max="9831" width="16.28515625" style="1" customWidth="1"/>
    <col min="9832" max="9832" width="15.7109375" style="1" customWidth="1"/>
    <col min="9833" max="9833" width="15.42578125" style="1" customWidth="1"/>
    <col min="9834" max="9936" width="9.140625" style="1"/>
    <col min="9937" max="9937" width="19.85546875" style="1" customWidth="1"/>
    <col min="9938" max="9938" width="22" style="1" customWidth="1"/>
    <col min="9939" max="9939" width="18.42578125" style="1" customWidth="1"/>
    <col min="9940" max="9941" width="16.42578125" style="1" customWidth="1"/>
    <col min="9942" max="9942" width="18.85546875" style="1" customWidth="1"/>
    <col min="9943" max="9944" width="15.5703125" style="1" customWidth="1"/>
    <col min="9945" max="9945" width="11.28515625" style="1" customWidth="1"/>
    <col min="9946" max="9946" width="12.7109375" style="1" customWidth="1"/>
    <col min="9947" max="9951" width="14.7109375" style="1" customWidth="1"/>
    <col min="9952" max="9955" width="13.85546875" style="1" customWidth="1"/>
    <col min="9956" max="9956" width="14.28515625" style="1" customWidth="1"/>
    <col min="9957" max="9957" width="13.85546875" style="1" customWidth="1"/>
    <col min="9958" max="9970" width="13.42578125" style="1" customWidth="1"/>
    <col min="9971" max="9971" width="16.85546875" style="1" customWidth="1"/>
    <col min="9972" max="9972" width="12.42578125" style="1" customWidth="1"/>
    <col min="9973" max="9973" width="13.5703125" style="1" customWidth="1"/>
    <col min="9974" max="9977" width="12.42578125" style="1" customWidth="1"/>
    <col min="9978" max="9979" width="13.140625" style="1" customWidth="1"/>
    <col min="9980" max="10014" width="14.42578125" style="1" customWidth="1"/>
    <col min="10015" max="10026" width="12.42578125" style="1" customWidth="1"/>
    <col min="10027" max="10027" width="17.5703125" style="1" customWidth="1"/>
    <col min="10028" max="10028" width="15.140625" style="1" customWidth="1"/>
    <col min="10029" max="10030" width="15.42578125" style="1" customWidth="1"/>
    <col min="10031" max="10032" width="15.5703125" style="1" customWidth="1"/>
    <col min="10033" max="10033" width="17" style="1" customWidth="1"/>
    <col min="10034" max="10034" width="15.5703125" style="1" customWidth="1"/>
    <col min="10035" max="10035" width="17.7109375" style="1" customWidth="1"/>
    <col min="10036" max="10036" width="18.42578125" style="1" customWidth="1"/>
    <col min="10037" max="10037" width="17.5703125" style="1" customWidth="1"/>
    <col min="10038" max="10039" width="16" style="1" customWidth="1"/>
    <col min="10040" max="10043" width="12.42578125" style="1" customWidth="1"/>
    <col min="10044" max="10044" width="17.7109375" style="1" customWidth="1"/>
    <col min="10045" max="10045" width="12.42578125" style="1" customWidth="1"/>
    <col min="10046" max="10046" width="13.7109375" style="1" customWidth="1"/>
    <col min="10047" max="10047" width="15.5703125" style="1" customWidth="1"/>
    <col min="10048" max="10051" width="13.7109375" style="1" customWidth="1"/>
    <col min="10052" max="10053" width="12.42578125" style="1" customWidth="1"/>
    <col min="10054" max="10054" width="14.85546875" style="1" customWidth="1"/>
    <col min="10055" max="10055" width="12.42578125" style="1" customWidth="1"/>
    <col min="10056" max="10057" width="13.42578125" style="1" customWidth="1"/>
    <col min="10058" max="10058" width="17" style="1" customWidth="1"/>
    <col min="10059" max="10060" width="12.42578125" style="1" customWidth="1"/>
    <col min="10061" max="10061" width="16.42578125" style="1" customWidth="1"/>
    <col min="10062" max="10062" width="12.42578125" style="1" customWidth="1"/>
    <col min="10063" max="10063" width="13.42578125" style="1" customWidth="1"/>
    <col min="10064" max="10064" width="12.42578125" style="1" customWidth="1"/>
    <col min="10065" max="10066" width="11.7109375" style="1" customWidth="1"/>
    <col min="10067" max="10067" width="11.42578125" style="1" customWidth="1"/>
    <col min="10068" max="10068" width="11.7109375" style="1" customWidth="1"/>
    <col min="10069" max="10069" width="11.42578125" style="1" customWidth="1"/>
    <col min="10070" max="10071" width="15.42578125" style="1" customWidth="1"/>
    <col min="10072" max="10072" width="16.140625" style="1" customWidth="1"/>
    <col min="10073" max="10073" width="16.5703125" style="1" customWidth="1"/>
    <col min="10074" max="10074" width="16.7109375" style="1" customWidth="1"/>
    <col min="10075" max="10075" width="15.42578125" style="1" customWidth="1"/>
    <col min="10076" max="10076" width="14.85546875" style="1" customWidth="1"/>
    <col min="10077" max="10077" width="17.140625" style="1" customWidth="1"/>
    <col min="10078" max="10078" width="16.7109375" style="1" customWidth="1"/>
    <col min="10079" max="10079" width="16.5703125" style="1" customWidth="1"/>
    <col min="10080" max="10080" width="16.28515625" style="1" customWidth="1"/>
    <col min="10081" max="10081" width="14.85546875" style="1" customWidth="1"/>
    <col min="10082" max="10082" width="16.140625" style="1" customWidth="1"/>
    <col min="10083" max="10083" width="16" style="1" customWidth="1"/>
    <col min="10084" max="10084" width="15.5703125" style="1" customWidth="1"/>
    <col min="10085" max="10085" width="16.28515625" style="1" customWidth="1"/>
    <col min="10086" max="10086" width="17.140625" style="1" customWidth="1"/>
    <col min="10087" max="10087" width="16.28515625" style="1" customWidth="1"/>
    <col min="10088" max="10088" width="15.7109375" style="1" customWidth="1"/>
    <col min="10089" max="10089" width="15.42578125" style="1" customWidth="1"/>
    <col min="10090" max="10192" width="9.140625" style="1"/>
    <col min="10193" max="10193" width="19.85546875" style="1" customWidth="1"/>
    <col min="10194" max="10194" width="22" style="1" customWidth="1"/>
    <col min="10195" max="10195" width="18.42578125" style="1" customWidth="1"/>
    <col min="10196" max="10197" width="16.42578125" style="1" customWidth="1"/>
    <col min="10198" max="10198" width="18.85546875" style="1" customWidth="1"/>
    <col min="10199" max="10200" width="15.5703125" style="1" customWidth="1"/>
    <col min="10201" max="10201" width="11.28515625" style="1" customWidth="1"/>
    <col min="10202" max="10202" width="12.7109375" style="1" customWidth="1"/>
    <col min="10203" max="10207" width="14.7109375" style="1" customWidth="1"/>
    <col min="10208" max="10211" width="13.85546875" style="1" customWidth="1"/>
    <col min="10212" max="10212" width="14.28515625" style="1" customWidth="1"/>
    <col min="10213" max="10213" width="13.85546875" style="1" customWidth="1"/>
    <col min="10214" max="10226" width="13.42578125" style="1" customWidth="1"/>
    <col min="10227" max="10227" width="16.85546875" style="1" customWidth="1"/>
    <col min="10228" max="10228" width="12.42578125" style="1" customWidth="1"/>
    <col min="10229" max="10229" width="13.5703125" style="1" customWidth="1"/>
    <col min="10230" max="10233" width="12.42578125" style="1" customWidth="1"/>
    <col min="10234" max="10235" width="13.140625" style="1" customWidth="1"/>
    <col min="10236" max="10270" width="14.42578125" style="1" customWidth="1"/>
    <col min="10271" max="10282" width="12.42578125" style="1" customWidth="1"/>
    <col min="10283" max="10283" width="17.5703125" style="1" customWidth="1"/>
    <col min="10284" max="10284" width="15.140625" style="1" customWidth="1"/>
    <col min="10285" max="10286" width="15.42578125" style="1" customWidth="1"/>
    <col min="10287" max="10288" width="15.5703125" style="1" customWidth="1"/>
    <col min="10289" max="10289" width="17" style="1" customWidth="1"/>
    <col min="10290" max="10290" width="15.5703125" style="1" customWidth="1"/>
    <col min="10291" max="10291" width="17.7109375" style="1" customWidth="1"/>
    <col min="10292" max="10292" width="18.42578125" style="1" customWidth="1"/>
    <col min="10293" max="10293" width="17.5703125" style="1" customWidth="1"/>
    <col min="10294" max="10295" width="16" style="1" customWidth="1"/>
    <col min="10296" max="10299" width="12.42578125" style="1" customWidth="1"/>
    <col min="10300" max="10300" width="17.7109375" style="1" customWidth="1"/>
    <col min="10301" max="10301" width="12.42578125" style="1" customWidth="1"/>
    <col min="10302" max="10302" width="13.7109375" style="1" customWidth="1"/>
    <col min="10303" max="10303" width="15.5703125" style="1" customWidth="1"/>
    <col min="10304" max="10307" width="13.7109375" style="1" customWidth="1"/>
    <col min="10308" max="10309" width="12.42578125" style="1" customWidth="1"/>
    <col min="10310" max="10310" width="14.85546875" style="1" customWidth="1"/>
    <col min="10311" max="10311" width="12.42578125" style="1" customWidth="1"/>
    <col min="10312" max="10313" width="13.42578125" style="1" customWidth="1"/>
    <col min="10314" max="10314" width="17" style="1" customWidth="1"/>
    <col min="10315" max="10316" width="12.42578125" style="1" customWidth="1"/>
    <col min="10317" max="10317" width="16.42578125" style="1" customWidth="1"/>
    <col min="10318" max="10318" width="12.42578125" style="1" customWidth="1"/>
    <col min="10319" max="10319" width="13.42578125" style="1" customWidth="1"/>
    <col min="10320" max="10320" width="12.42578125" style="1" customWidth="1"/>
    <col min="10321" max="10322" width="11.7109375" style="1" customWidth="1"/>
    <col min="10323" max="10323" width="11.42578125" style="1" customWidth="1"/>
    <col min="10324" max="10324" width="11.7109375" style="1" customWidth="1"/>
    <col min="10325" max="10325" width="11.42578125" style="1" customWidth="1"/>
    <col min="10326" max="10327" width="15.42578125" style="1" customWidth="1"/>
    <col min="10328" max="10328" width="16.140625" style="1" customWidth="1"/>
    <col min="10329" max="10329" width="16.5703125" style="1" customWidth="1"/>
    <col min="10330" max="10330" width="16.7109375" style="1" customWidth="1"/>
    <col min="10331" max="10331" width="15.42578125" style="1" customWidth="1"/>
    <col min="10332" max="10332" width="14.85546875" style="1" customWidth="1"/>
    <col min="10333" max="10333" width="17.140625" style="1" customWidth="1"/>
    <col min="10334" max="10334" width="16.7109375" style="1" customWidth="1"/>
    <col min="10335" max="10335" width="16.5703125" style="1" customWidth="1"/>
    <col min="10336" max="10336" width="16.28515625" style="1" customWidth="1"/>
    <col min="10337" max="10337" width="14.85546875" style="1" customWidth="1"/>
    <col min="10338" max="10338" width="16.140625" style="1" customWidth="1"/>
    <col min="10339" max="10339" width="16" style="1" customWidth="1"/>
    <col min="10340" max="10340" width="15.5703125" style="1" customWidth="1"/>
    <col min="10341" max="10341" width="16.28515625" style="1" customWidth="1"/>
    <col min="10342" max="10342" width="17.140625" style="1" customWidth="1"/>
    <col min="10343" max="10343" width="16.28515625" style="1" customWidth="1"/>
    <col min="10344" max="10344" width="15.7109375" style="1" customWidth="1"/>
    <col min="10345" max="10345" width="15.42578125" style="1" customWidth="1"/>
    <col min="10346" max="10448" width="9.140625" style="1"/>
    <col min="10449" max="10449" width="19.85546875" style="1" customWidth="1"/>
    <col min="10450" max="10450" width="22" style="1" customWidth="1"/>
    <col min="10451" max="10451" width="18.42578125" style="1" customWidth="1"/>
    <col min="10452" max="10453" width="16.42578125" style="1" customWidth="1"/>
    <col min="10454" max="10454" width="18.85546875" style="1" customWidth="1"/>
    <col min="10455" max="10456" width="15.5703125" style="1" customWidth="1"/>
    <col min="10457" max="10457" width="11.28515625" style="1" customWidth="1"/>
    <col min="10458" max="10458" width="12.7109375" style="1" customWidth="1"/>
    <col min="10459" max="10463" width="14.7109375" style="1" customWidth="1"/>
    <col min="10464" max="10467" width="13.85546875" style="1" customWidth="1"/>
    <col min="10468" max="10468" width="14.28515625" style="1" customWidth="1"/>
    <col min="10469" max="10469" width="13.85546875" style="1" customWidth="1"/>
    <col min="10470" max="10482" width="13.42578125" style="1" customWidth="1"/>
    <col min="10483" max="10483" width="16.85546875" style="1" customWidth="1"/>
    <col min="10484" max="10484" width="12.42578125" style="1" customWidth="1"/>
    <col min="10485" max="10485" width="13.5703125" style="1" customWidth="1"/>
    <col min="10486" max="10489" width="12.42578125" style="1" customWidth="1"/>
    <col min="10490" max="10491" width="13.140625" style="1" customWidth="1"/>
    <col min="10492" max="10526" width="14.42578125" style="1" customWidth="1"/>
    <col min="10527" max="10538" width="12.42578125" style="1" customWidth="1"/>
    <col min="10539" max="10539" width="17.5703125" style="1" customWidth="1"/>
    <col min="10540" max="10540" width="15.140625" style="1" customWidth="1"/>
    <col min="10541" max="10542" width="15.42578125" style="1" customWidth="1"/>
    <col min="10543" max="10544" width="15.5703125" style="1" customWidth="1"/>
    <col min="10545" max="10545" width="17" style="1" customWidth="1"/>
    <col min="10546" max="10546" width="15.5703125" style="1" customWidth="1"/>
    <col min="10547" max="10547" width="17.7109375" style="1" customWidth="1"/>
    <col min="10548" max="10548" width="18.42578125" style="1" customWidth="1"/>
    <col min="10549" max="10549" width="17.5703125" style="1" customWidth="1"/>
    <col min="10550" max="10551" width="16" style="1" customWidth="1"/>
    <col min="10552" max="10555" width="12.42578125" style="1" customWidth="1"/>
    <col min="10556" max="10556" width="17.7109375" style="1" customWidth="1"/>
    <col min="10557" max="10557" width="12.42578125" style="1" customWidth="1"/>
    <col min="10558" max="10558" width="13.7109375" style="1" customWidth="1"/>
    <col min="10559" max="10559" width="15.5703125" style="1" customWidth="1"/>
    <col min="10560" max="10563" width="13.7109375" style="1" customWidth="1"/>
    <col min="10564" max="10565" width="12.42578125" style="1" customWidth="1"/>
    <col min="10566" max="10566" width="14.85546875" style="1" customWidth="1"/>
    <col min="10567" max="10567" width="12.42578125" style="1" customWidth="1"/>
    <col min="10568" max="10569" width="13.42578125" style="1" customWidth="1"/>
    <col min="10570" max="10570" width="17" style="1" customWidth="1"/>
    <col min="10571" max="10572" width="12.42578125" style="1" customWidth="1"/>
    <col min="10573" max="10573" width="16.42578125" style="1" customWidth="1"/>
    <col min="10574" max="10574" width="12.42578125" style="1" customWidth="1"/>
    <col min="10575" max="10575" width="13.42578125" style="1" customWidth="1"/>
    <col min="10576" max="10576" width="12.42578125" style="1" customWidth="1"/>
    <col min="10577" max="10578" width="11.7109375" style="1" customWidth="1"/>
    <col min="10579" max="10579" width="11.42578125" style="1" customWidth="1"/>
    <col min="10580" max="10580" width="11.7109375" style="1" customWidth="1"/>
    <col min="10581" max="10581" width="11.42578125" style="1" customWidth="1"/>
    <col min="10582" max="10583" width="15.42578125" style="1" customWidth="1"/>
    <col min="10584" max="10584" width="16.140625" style="1" customWidth="1"/>
    <col min="10585" max="10585" width="16.5703125" style="1" customWidth="1"/>
    <col min="10586" max="10586" width="16.7109375" style="1" customWidth="1"/>
    <col min="10587" max="10587" width="15.42578125" style="1" customWidth="1"/>
    <col min="10588" max="10588" width="14.85546875" style="1" customWidth="1"/>
    <col min="10589" max="10589" width="17.140625" style="1" customWidth="1"/>
    <col min="10590" max="10590" width="16.7109375" style="1" customWidth="1"/>
    <col min="10591" max="10591" width="16.5703125" style="1" customWidth="1"/>
    <col min="10592" max="10592" width="16.28515625" style="1" customWidth="1"/>
    <col min="10593" max="10593" width="14.85546875" style="1" customWidth="1"/>
    <col min="10594" max="10594" width="16.140625" style="1" customWidth="1"/>
    <col min="10595" max="10595" width="16" style="1" customWidth="1"/>
    <col min="10596" max="10596" width="15.5703125" style="1" customWidth="1"/>
    <col min="10597" max="10597" width="16.28515625" style="1" customWidth="1"/>
    <col min="10598" max="10598" width="17.140625" style="1" customWidth="1"/>
    <col min="10599" max="10599" width="16.28515625" style="1" customWidth="1"/>
    <col min="10600" max="10600" width="15.7109375" style="1" customWidth="1"/>
    <col min="10601" max="10601" width="15.42578125" style="1" customWidth="1"/>
    <col min="10602" max="10704" width="9.140625" style="1"/>
    <col min="10705" max="10705" width="19.85546875" style="1" customWidth="1"/>
    <col min="10706" max="10706" width="22" style="1" customWidth="1"/>
    <col min="10707" max="10707" width="18.42578125" style="1" customWidth="1"/>
    <col min="10708" max="10709" width="16.42578125" style="1" customWidth="1"/>
    <col min="10710" max="10710" width="18.85546875" style="1" customWidth="1"/>
    <col min="10711" max="10712" width="15.5703125" style="1" customWidth="1"/>
    <col min="10713" max="10713" width="11.28515625" style="1" customWidth="1"/>
    <col min="10714" max="10714" width="12.7109375" style="1" customWidth="1"/>
    <col min="10715" max="10719" width="14.7109375" style="1" customWidth="1"/>
    <col min="10720" max="10723" width="13.85546875" style="1" customWidth="1"/>
    <col min="10724" max="10724" width="14.28515625" style="1" customWidth="1"/>
    <col min="10725" max="10725" width="13.85546875" style="1" customWidth="1"/>
    <col min="10726" max="10738" width="13.42578125" style="1" customWidth="1"/>
    <col min="10739" max="10739" width="16.85546875" style="1" customWidth="1"/>
    <col min="10740" max="10740" width="12.42578125" style="1" customWidth="1"/>
    <col min="10741" max="10741" width="13.5703125" style="1" customWidth="1"/>
    <col min="10742" max="10745" width="12.42578125" style="1" customWidth="1"/>
    <col min="10746" max="10747" width="13.140625" style="1" customWidth="1"/>
    <col min="10748" max="10782" width="14.42578125" style="1" customWidth="1"/>
    <col min="10783" max="10794" width="12.42578125" style="1" customWidth="1"/>
    <col min="10795" max="10795" width="17.5703125" style="1" customWidth="1"/>
    <col min="10796" max="10796" width="15.140625" style="1" customWidth="1"/>
    <col min="10797" max="10798" width="15.42578125" style="1" customWidth="1"/>
    <col min="10799" max="10800" width="15.5703125" style="1" customWidth="1"/>
    <col min="10801" max="10801" width="17" style="1" customWidth="1"/>
    <col min="10802" max="10802" width="15.5703125" style="1" customWidth="1"/>
    <col min="10803" max="10803" width="17.7109375" style="1" customWidth="1"/>
    <col min="10804" max="10804" width="18.42578125" style="1" customWidth="1"/>
    <col min="10805" max="10805" width="17.5703125" style="1" customWidth="1"/>
    <col min="10806" max="10807" width="16" style="1" customWidth="1"/>
    <col min="10808" max="10811" width="12.42578125" style="1" customWidth="1"/>
    <col min="10812" max="10812" width="17.7109375" style="1" customWidth="1"/>
    <col min="10813" max="10813" width="12.42578125" style="1" customWidth="1"/>
    <col min="10814" max="10814" width="13.7109375" style="1" customWidth="1"/>
    <col min="10815" max="10815" width="15.5703125" style="1" customWidth="1"/>
    <col min="10816" max="10819" width="13.7109375" style="1" customWidth="1"/>
    <col min="10820" max="10821" width="12.42578125" style="1" customWidth="1"/>
    <col min="10822" max="10822" width="14.85546875" style="1" customWidth="1"/>
    <col min="10823" max="10823" width="12.42578125" style="1" customWidth="1"/>
    <col min="10824" max="10825" width="13.42578125" style="1" customWidth="1"/>
    <col min="10826" max="10826" width="17" style="1" customWidth="1"/>
    <col min="10827" max="10828" width="12.42578125" style="1" customWidth="1"/>
    <col min="10829" max="10829" width="16.42578125" style="1" customWidth="1"/>
    <col min="10830" max="10830" width="12.42578125" style="1" customWidth="1"/>
    <col min="10831" max="10831" width="13.42578125" style="1" customWidth="1"/>
    <col min="10832" max="10832" width="12.42578125" style="1" customWidth="1"/>
    <col min="10833" max="10834" width="11.7109375" style="1" customWidth="1"/>
    <col min="10835" max="10835" width="11.42578125" style="1" customWidth="1"/>
    <col min="10836" max="10836" width="11.7109375" style="1" customWidth="1"/>
    <col min="10837" max="10837" width="11.42578125" style="1" customWidth="1"/>
    <col min="10838" max="10839" width="15.42578125" style="1" customWidth="1"/>
    <col min="10840" max="10840" width="16.140625" style="1" customWidth="1"/>
    <col min="10841" max="10841" width="16.5703125" style="1" customWidth="1"/>
    <col min="10842" max="10842" width="16.7109375" style="1" customWidth="1"/>
    <col min="10843" max="10843" width="15.42578125" style="1" customWidth="1"/>
    <col min="10844" max="10844" width="14.85546875" style="1" customWidth="1"/>
    <col min="10845" max="10845" width="17.140625" style="1" customWidth="1"/>
    <col min="10846" max="10846" width="16.7109375" style="1" customWidth="1"/>
    <col min="10847" max="10847" width="16.5703125" style="1" customWidth="1"/>
    <col min="10848" max="10848" width="16.28515625" style="1" customWidth="1"/>
    <col min="10849" max="10849" width="14.85546875" style="1" customWidth="1"/>
    <col min="10850" max="10850" width="16.140625" style="1" customWidth="1"/>
    <col min="10851" max="10851" width="16" style="1" customWidth="1"/>
    <col min="10852" max="10852" width="15.5703125" style="1" customWidth="1"/>
    <col min="10853" max="10853" width="16.28515625" style="1" customWidth="1"/>
    <col min="10854" max="10854" width="17.140625" style="1" customWidth="1"/>
    <col min="10855" max="10855" width="16.28515625" style="1" customWidth="1"/>
    <col min="10856" max="10856" width="15.7109375" style="1" customWidth="1"/>
    <col min="10857" max="10857" width="15.42578125" style="1" customWidth="1"/>
    <col min="10858" max="10960" width="9.140625" style="1"/>
    <col min="10961" max="10961" width="19.85546875" style="1" customWidth="1"/>
    <col min="10962" max="10962" width="22" style="1" customWidth="1"/>
    <col min="10963" max="10963" width="18.42578125" style="1" customWidth="1"/>
    <col min="10964" max="10965" width="16.42578125" style="1" customWidth="1"/>
    <col min="10966" max="10966" width="18.85546875" style="1" customWidth="1"/>
    <col min="10967" max="10968" width="15.5703125" style="1" customWidth="1"/>
    <col min="10969" max="10969" width="11.28515625" style="1" customWidth="1"/>
    <col min="10970" max="10970" width="12.7109375" style="1" customWidth="1"/>
    <col min="10971" max="10975" width="14.7109375" style="1" customWidth="1"/>
    <col min="10976" max="10979" width="13.85546875" style="1" customWidth="1"/>
    <col min="10980" max="10980" width="14.28515625" style="1" customWidth="1"/>
    <col min="10981" max="10981" width="13.85546875" style="1" customWidth="1"/>
    <col min="10982" max="10994" width="13.42578125" style="1" customWidth="1"/>
    <col min="10995" max="10995" width="16.85546875" style="1" customWidth="1"/>
    <col min="10996" max="10996" width="12.42578125" style="1" customWidth="1"/>
    <col min="10997" max="10997" width="13.5703125" style="1" customWidth="1"/>
    <col min="10998" max="11001" width="12.42578125" style="1" customWidth="1"/>
    <col min="11002" max="11003" width="13.140625" style="1" customWidth="1"/>
    <col min="11004" max="11038" width="14.42578125" style="1" customWidth="1"/>
    <col min="11039" max="11050" width="12.42578125" style="1" customWidth="1"/>
    <col min="11051" max="11051" width="17.5703125" style="1" customWidth="1"/>
    <col min="11052" max="11052" width="15.140625" style="1" customWidth="1"/>
    <col min="11053" max="11054" width="15.42578125" style="1" customWidth="1"/>
    <col min="11055" max="11056" width="15.5703125" style="1" customWidth="1"/>
    <col min="11057" max="11057" width="17" style="1" customWidth="1"/>
    <col min="11058" max="11058" width="15.5703125" style="1" customWidth="1"/>
    <col min="11059" max="11059" width="17.7109375" style="1" customWidth="1"/>
    <col min="11060" max="11060" width="18.42578125" style="1" customWidth="1"/>
    <col min="11061" max="11061" width="17.5703125" style="1" customWidth="1"/>
    <col min="11062" max="11063" width="16" style="1" customWidth="1"/>
    <col min="11064" max="11067" width="12.42578125" style="1" customWidth="1"/>
    <col min="11068" max="11068" width="17.7109375" style="1" customWidth="1"/>
    <col min="11069" max="11069" width="12.42578125" style="1" customWidth="1"/>
    <col min="11070" max="11070" width="13.7109375" style="1" customWidth="1"/>
    <col min="11071" max="11071" width="15.5703125" style="1" customWidth="1"/>
    <col min="11072" max="11075" width="13.7109375" style="1" customWidth="1"/>
    <col min="11076" max="11077" width="12.42578125" style="1" customWidth="1"/>
    <col min="11078" max="11078" width="14.85546875" style="1" customWidth="1"/>
    <col min="11079" max="11079" width="12.42578125" style="1" customWidth="1"/>
    <col min="11080" max="11081" width="13.42578125" style="1" customWidth="1"/>
    <col min="11082" max="11082" width="17" style="1" customWidth="1"/>
    <col min="11083" max="11084" width="12.42578125" style="1" customWidth="1"/>
    <col min="11085" max="11085" width="16.42578125" style="1" customWidth="1"/>
    <col min="11086" max="11086" width="12.42578125" style="1" customWidth="1"/>
    <col min="11087" max="11087" width="13.42578125" style="1" customWidth="1"/>
    <col min="11088" max="11088" width="12.42578125" style="1" customWidth="1"/>
    <col min="11089" max="11090" width="11.7109375" style="1" customWidth="1"/>
    <col min="11091" max="11091" width="11.42578125" style="1" customWidth="1"/>
    <col min="11092" max="11092" width="11.7109375" style="1" customWidth="1"/>
    <col min="11093" max="11093" width="11.42578125" style="1" customWidth="1"/>
    <col min="11094" max="11095" width="15.42578125" style="1" customWidth="1"/>
    <col min="11096" max="11096" width="16.140625" style="1" customWidth="1"/>
    <col min="11097" max="11097" width="16.5703125" style="1" customWidth="1"/>
    <col min="11098" max="11098" width="16.7109375" style="1" customWidth="1"/>
    <col min="11099" max="11099" width="15.42578125" style="1" customWidth="1"/>
    <col min="11100" max="11100" width="14.85546875" style="1" customWidth="1"/>
    <col min="11101" max="11101" width="17.140625" style="1" customWidth="1"/>
    <col min="11102" max="11102" width="16.7109375" style="1" customWidth="1"/>
    <col min="11103" max="11103" width="16.5703125" style="1" customWidth="1"/>
    <col min="11104" max="11104" width="16.28515625" style="1" customWidth="1"/>
    <col min="11105" max="11105" width="14.85546875" style="1" customWidth="1"/>
    <col min="11106" max="11106" width="16.140625" style="1" customWidth="1"/>
    <col min="11107" max="11107" width="16" style="1" customWidth="1"/>
    <col min="11108" max="11108" width="15.5703125" style="1" customWidth="1"/>
    <col min="11109" max="11109" width="16.28515625" style="1" customWidth="1"/>
    <col min="11110" max="11110" width="17.140625" style="1" customWidth="1"/>
    <col min="11111" max="11111" width="16.28515625" style="1" customWidth="1"/>
    <col min="11112" max="11112" width="15.7109375" style="1" customWidth="1"/>
    <col min="11113" max="11113" width="15.42578125" style="1" customWidth="1"/>
    <col min="11114" max="11216" width="9.140625" style="1"/>
    <col min="11217" max="11217" width="19.85546875" style="1" customWidth="1"/>
    <col min="11218" max="11218" width="22" style="1" customWidth="1"/>
    <col min="11219" max="11219" width="18.42578125" style="1" customWidth="1"/>
    <col min="11220" max="11221" width="16.42578125" style="1" customWidth="1"/>
    <col min="11222" max="11222" width="18.85546875" style="1" customWidth="1"/>
    <col min="11223" max="11224" width="15.5703125" style="1" customWidth="1"/>
    <col min="11225" max="11225" width="11.28515625" style="1" customWidth="1"/>
    <col min="11226" max="11226" width="12.7109375" style="1" customWidth="1"/>
    <col min="11227" max="11231" width="14.7109375" style="1" customWidth="1"/>
    <col min="11232" max="11235" width="13.85546875" style="1" customWidth="1"/>
    <col min="11236" max="11236" width="14.28515625" style="1" customWidth="1"/>
    <col min="11237" max="11237" width="13.85546875" style="1" customWidth="1"/>
    <col min="11238" max="11250" width="13.42578125" style="1" customWidth="1"/>
    <col min="11251" max="11251" width="16.85546875" style="1" customWidth="1"/>
    <col min="11252" max="11252" width="12.42578125" style="1" customWidth="1"/>
    <col min="11253" max="11253" width="13.5703125" style="1" customWidth="1"/>
    <col min="11254" max="11257" width="12.42578125" style="1" customWidth="1"/>
    <col min="11258" max="11259" width="13.140625" style="1" customWidth="1"/>
    <col min="11260" max="11294" width="14.42578125" style="1" customWidth="1"/>
    <col min="11295" max="11306" width="12.42578125" style="1" customWidth="1"/>
    <col min="11307" max="11307" width="17.5703125" style="1" customWidth="1"/>
    <col min="11308" max="11308" width="15.140625" style="1" customWidth="1"/>
    <col min="11309" max="11310" width="15.42578125" style="1" customWidth="1"/>
    <col min="11311" max="11312" width="15.5703125" style="1" customWidth="1"/>
    <col min="11313" max="11313" width="17" style="1" customWidth="1"/>
    <col min="11314" max="11314" width="15.5703125" style="1" customWidth="1"/>
    <col min="11315" max="11315" width="17.7109375" style="1" customWidth="1"/>
    <col min="11316" max="11316" width="18.42578125" style="1" customWidth="1"/>
    <col min="11317" max="11317" width="17.5703125" style="1" customWidth="1"/>
    <col min="11318" max="11319" width="16" style="1" customWidth="1"/>
    <col min="11320" max="11323" width="12.42578125" style="1" customWidth="1"/>
    <col min="11324" max="11324" width="17.7109375" style="1" customWidth="1"/>
    <col min="11325" max="11325" width="12.42578125" style="1" customWidth="1"/>
    <col min="11326" max="11326" width="13.7109375" style="1" customWidth="1"/>
    <col min="11327" max="11327" width="15.5703125" style="1" customWidth="1"/>
    <col min="11328" max="11331" width="13.7109375" style="1" customWidth="1"/>
    <col min="11332" max="11333" width="12.42578125" style="1" customWidth="1"/>
    <col min="11334" max="11334" width="14.85546875" style="1" customWidth="1"/>
    <col min="11335" max="11335" width="12.42578125" style="1" customWidth="1"/>
    <col min="11336" max="11337" width="13.42578125" style="1" customWidth="1"/>
    <col min="11338" max="11338" width="17" style="1" customWidth="1"/>
    <col min="11339" max="11340" width="12.42578125" style="1" customWidth="1"/>
    <col min="11341" max="11341" width="16.42578125" style="1" customWidth="1"/>
    <col min="11342" max="11342" width="12.42578125" style="1" customWidth="1"/>
    <col min="11343" max="11343" width="13.42578125" style="1" customWidth="1"/>
    <col min="11344" max="11344" width="12.42578125" style="1" customWidth="1"/>
    <col min="11345" max="11346" width="11.7109375" style="1" customWidth="1"/>
    <col min="11347" max="11347" width="11.42578125" style="1" customWidth="1"/>
    <col min="11348" max="11348" width="11.7109375" style="1" customWidth="1"/>
    <col min="11349" max="11349" width="11.42578125" style="1" customWidth="1"/>
    <col min="11350" max="11351" width="15.42578125" style="1" customWidth="1"/>
    <col min="11352" max="11352" width="16.140625" style="1" customWidth="1"/>
    <col min="11353" max="11353" width="16.5703125" style="1" customWidth="1"/>
    <col min="11354" max="11354" width="16.7109375" style="1" customWidth="1"/>
    <col min="11355" max="11355" width="15.42578125" style="1" customWidth="1"/>
    <col min="11356" max="11356" width="14.85546875" style="1" customWidth="1"/>
    <col min="11357" max="11357" width="17.140625" style="1" customWidth="1"/>
    <col min="11358" max="11358" width="16.7109375" style="1" customWidth="1"/>
    <col min="11359" max="11359" width="16.5703125" style="1" customWidth="1"/>
    <col min="11360" max="11360" width="16.28515625" style="1" customWidth="1"/>
    <col min="11361" max="11361" width="14.85546875" style="1" customWidth="1"/>
    <col min="11362" max="11362" width="16.140625" style="1" customWidth="1"/>
    <col min="11363" max="11363" width="16" style="1" customWidth="1"/>
    <col min="11364" max="11364" width="15.5703125" style="1" customWidth="1"/>
    <col min="11365" max="11365" width="16.28515625" style="1" customWidth="1"/>
    <col min="11366" max="11366" width="17.140625" style="1" customWidth="1"/>
    <col min="11367" max="11367" width="16.28515625" style="1" customWidth="1"/>
    <col min="11368" max="11368" width="15.7109375" style="1" customWidth="1"/>
    <col min="11369" max="11369" width="15.42578125" style="1" customWidth="1"/>
    <col min="11370" max="11472" width="9.140625" style="1"/>
    <col min="11473" max="11473" width="19.85546875" style="1" customWidth="1"/>
    <col min="11474" max="11474" width="22" style="1" customWidth="1"/>
    <col min="11475" max="11475" width="18.42578125" style="1" customWidth="1"/>
    <col min="11476" max="11477" width="16.42578125" style="1" customWidth="1"/>
    <col min="11478" max="11478" width="18.85546875" style="1" customWidth="1"/>
    <col min="11479" max="11480" width="15.5703125" style="1" customWidth="1"/>
    <col min="11481" max="11481" width="11.28515625" style="1" customWidth="1"/>
    <col min="11482" max="11482" width="12.7109375" style="1" customWidth="1"/>
    <col min="11483" max="11487" width="14.7109375" style="1" customWidth="1"/>
    <col min="11488" max="11491" width="13.85546875" style="1" customWidth="1"/>
    <col min="11492" max="11492" width="14.28515625" style="1" customWidth="1"/>
    <col min="11493" max="11493" width="13.85546875" style="1" customWidth="1"/>
    <col min="11494" max="11506" width="13.42578125" style="1" customWidth="1"/>
    <col min="11507" max="11507" width="16.85546875" style="1" customWidth="1"/>
    <col min="11508" max="11508" width="12.42578125" style="1" customWidth="1"/>
    <col min="11509" max="11509" width="13.5703125" style="1" customWidth="1"/>
    <col min="11510" max="11513" width="12.42578125" style="1" customWidth="1"/>
    <col min="11514" max="11515" width="13.140625" style="1" customWidth="1"/>
    <col min="11516" max="11550" width="14.42578125" style="1" customWidth="1"/>
    <col min="11551" max="11562" width="12.42578125" style="1" customWidth="1"/>
    <col min="11563" max="11563" width="17.5703125" style="1" customWidth="1"/>
    <col min="11564" max="11564" width="15.140625" style="1" customWidth="1"/>
    <col min="11565" max="11566" width="15.42578125" style="1" customWidth="1"/>
    <col min="11567" max="11568" width="15.5703125" style="1" customWidth="1"/>
    <col min="11569" max="11569" width="17" style="1" customWidth="1"/>
    <col min="11570" max="11570" width="15.5703125" style="1" customWidth="1"/>
    <col min="11571" max="11571" width="17.7109375" style="1" customWidth="1"/>
    <col min="11572" max="11572" width="18.42578125" style="1" customWidth="1"/>
    <col min="11573" max="11573" width="17.5703125" style="1" customWidth="1"/>
    <col min="11574" max="11575" width="16" style="1" customWidth="1"/>
    <col min="11576" max="11579" width="12.42578125" style="1" customWidth="1"/>
    <col min="11580" max="11580" width="17.7109375" style="1" customWidth="1"/>
    <col min="11581" max="11581" width="12.42578125" style="1" customWidth="1"/>
    <col min="11582" max="11582" width="13.7109375" style="1" customWidth="1"/>
    <col min="11583" max="11583" width="15.5703125" style="1" customWidth="1"/>
    <col min="11584" max="11587" width="13.7109375" style="1" customWidth="1"/>
    <col min="11588" max="11589" width="12.42578125" style="1" customWidth="1"/>
    <col min="11590" max="11590" width="14.85546875" style="1" customWidth="1"/>
    <col min="11591" max="11591" width="12.42578125" style="1" customWidth="1"/>
    <col min="11592" max="11593" width="13.42578125" style="1" customWidth="1"/>
    <col min="11594" max="11594" width="17" style="1" customWidth="1"/>
    <col min="11595" max="11596" width="12.42578125" style="1" customWidth="1"/>
    <col min="11597" max="11597" width="16.42578125" style="1" customWidth="1"/>
    <col min="11598" max="11598" width="12.42578125" style="1" customWidth="1"/>
    <col min="11599" max="11599" width="13.42578125" style="1" customWidth="1"/>
    <col min="11600" max="11600" width="12.42578125" style="1" customWidth="1"/>
    <col min="11601" max="11602" width="11.7109375" style="1" customWidth="1"/>
    <col min="11603" max="11603" width="11.42578125" style="1" customWidth="1"/>
    <col min="11604" max="11604" width="11.7109375" style="1" customWidth="1"/>
    <col min="11605" max="11605" width="11.42578125" style="1" customWidth="1"/>
    <col min="11606" max="11607" width="15.42578125" style="1" customWidth="1"/>
    <col min="11608" max="11608" width="16.140625" style="1" customWidth="1"/>
    <col min="11609" max="11609" width="16.5703125" style="1" customWidth="1"/>
    <col min="11610" max="11610" width="16.7109375" style="1" customWidth="1"/>
    <col min="11611" max="11611" width="15.42578125" style="1" customWidth="1"/>
    <col min="11612" max="11612" width="14.85546875" style="1" customWidth="1"/>
    <col min="11613" max="11613" width="17.140625" style="1" customWidth="1"/>
    <col min="11614" max="11614" width="16.7109375" style="1" customWidth="1"/>
    <col min="11615" max="11615" width="16.5703125" style="1" customWidth="1"/>
    <col min="11616" max="11616" width="16.28515625" style="1" customWidth="1"/>
    <col min="11617" max="11617" width="14.85546875" style="1" customWidth="1"/>
    <col min="11618" max="11618" width="16.140625" style="1" customWidth="1"/>
    <col min="11619" max="11619" width="16" style="1" customWidth="1"/>
    <col min="11620" max="11620" width="15.5703125" style="1" customWidth="1"/>
    <col min="11621" max="11621" width="16.28515625" style="1" customWidth="1"/>
    <col min="11622" max="11622" width="17.140625" style="1" customWidth="1"/>
    <col min="11623" max="11623" width="16.28515625" style="1" customWidth="1"/>
    <col min="11624" max="11624" width="15.7109375" style="1" customWidth="1"/>
    <col min="11625" max="11625" width="15.42578125" style="1" customWidth="1"/>
    <col min="11626" max="11728" width="9.140625" style="1"/>
    <col min="11729" max="11729" width="19.85546875" style="1" customWidth="1"/>
    <col min="11730" max="11730" width="22" style="1" customWidth="1"/>
    <col min="11731" max="11731" width="18.42578125" style="1" customWidth="1"/>
    <col min="11732" max="11733" width="16.42578125" style="1" customWidth="1"/>
    <col min="11734" max="11734" width="18.85546875" style="1" customWidth="1"/>
    <col min="11735" max="11736" width="15.5703125" style="1" customWidth="1"/>
    <col min="11737" max="11737" width="11.28515625" style="1" customWidth="1"/>
    <col min="11738" max="11738" width="12.7109375" style="1" customWidth="1"/>
    <col min="11739" max="11743" width="14.7109375" style="1" customWidth="1"/>
    <col min="11744" max="11747" width="13.85546875" style="1" customWidth="1"/>
    <col min="11748" max="11748" width="14.28515625" style="1" customWidth="1"/>
    <col min="11749" max="11749" width="13.85546875" style="1" customWidth="1"/>
    <col min="11750" max="11762" width="13.42578125" style="1" customWidth="1"/>
    <col min="11763" max="11763" width="16.85546875" style="1" customWidth="1"/>
    <col min="11764" max="11764" width="12.42578125" style="1" customWidth="1"/>
    <col min="11765" max="11765" width="13.5703125" style="1" customWidth="1"/>
    <col min="11766" max="11769" width="12.42578125" style="1" customWidth="1"/>
    <col min="11770" max="11771" width="13.140625" style="1" customWidth="1"/>
    <col min="11772" max="11806" width="14.42578125" style="1" customWidth="1"/>
    <col min="11807" max="11818" width="12.42578125" style="1" customWidth="1"/>
    <col min="11819" max="11819" width="17.5703125" style="1" customWidth="1"/>
    <col min="11820" max="11820" width="15.140625" style="1" customWidth="1"/>
    <col min="11821" max="11822" width="15.42578125" style="1" customWidth="1"/>
    <col min="11823" max="11824" width="15.5703125" style="1" customWidth="1"/>
    <col min="11825" max="11825" width="17" style="1" customWidth="1"/>
    <col min="11826" max="11826" width="15.5703125" style="1" customWidth="1"/>
    <col min="11827" max="11827" width="17.7109375" style="1" customWidth="1"/>
    <col min="11828" max="11828" width="18.42578125" style="1" customWidth="1"/>
    <col min="11829" max="11829" width="17.5703125" style="1" customWidth="1"/>
    <col min="11830" max="11831" width="16" style="1" customWidth="1"/>
    <col min="11832" max="11835" width="12.42578125" style="1" customWidth="1"/>
    <col min="11836" max="11836" width="17.7109375" style="1" customWidth="1"/>
    <col min="11837" max="11837" width="12.42578125" style="1" customWidth="1"/>
    <col min="11838" max="11838" width="13.7109375" style="1" customWidth="1"/>
    <col min="11839" max="11839" width="15.5703125" style="1" customWidth="1"/>
    <col min="11840" max="11843" width="13.7109375" style="1" customWidth="1"/>
    <col min="11844" max="11845" width="12.42578125" style="1" customWidth="1"/>
    <col min="11846" max="11846" width="14.85546875" style="1" customWidth="1"/>
    <col min="11847" max="11847" width="12.42578125" style="1" customWidth="1"/>
    <col min="11848" max="11849" width="13.42578125" style="1" customWidth="1"/>
    <col min="11850" max="11850" width="17" style="1" customWidth="1"/>
    <col min="11851" max="11852" width="12.42578125" style="1" customWidth="1"/>
    <col min="11853" max="11853" width="16.42578125" style="1" customWidth="1"/>
    <col min="11854" max="11854" width="12.42578125" style="1" customWidth="1"/>
    <col min="11855" max="11855" width="13.42578125" style="1" customWidth="1"/>
    <col min="11856" max="11856" width="12.42578125" style="1" customWidth="1"/>
    <col min="11857" max="11858" width="11.7109375" style="1" customWidth="1"/>
    <col min="11859" max="11859" width="11.42578125" style="1" customWidth="1"/>
    <col min="11860" max="11860" width="11.7109375" style="1" customWidth="1"/>
    <col min="11861" max="11861" width="11.42578125" style="1" customWidth="1"/>
    <col min="11862" max="11863" width="15.42578125" style="1" customWidth="1"/>
    <col min="11864" max="11864" width="16.140625" style="1" customWidth="1"/>
    <col min="11865" max="11865" width="16.5703125" style="1" customWidth="1"/>
    <col min="11866" max="11866" width="16.7109375" style="1" customWidth="1"/>
    <col min="11867" max="11867" width="15.42578125" style="1" customWidth="1"/>
    <col min="11868" max="11868" width="14.85546875" style="1" customWidth="1"/>
    <col min="11869" max="11869" width="17.140625" style="1" customWidth="1"/>
    <col min="11870" max="11870" width="16.7109375" style="1" customWidth="1"/>
    <col min="11871" max="11871" width="16.5703125" style="1" customWidth="1"/>
    <col min="11872" max="11872" width="16.28515625" style="1" customWidth="1"/>
    <col min="11873" max="11873" width="14.85546875" style="1" customWidth="1"/>
    <col min="11874" max="11874" width="16.140625" style="1" customWidth="1"/>
    <col min="11875" max="11875" width="16" style="1" customWidth="1"/>
    <col min="11876" max="11876" width="15.5703125" style="1" customWidth="1"/>
    <col min="11877" max="11877" width="16.28515625" style="1" customWidth="1"/>
    <col min="11878" max="11878" width="17.140625" style="1" customWidth="1"/>
    <col min="11879" max="11879" width="16.28515625" style="1" customWidth="1"/>
    <col min="11880" max="11880" width="15.7109375" style="1" customWidth="1"/>
    <col min="11881" max="11881" width="15.42578125" style="1" customWidth="1"/>
    <col min="11882" max="11984" width="9.140625" style="1"/>
    <col min="11985" max="11985" width="19.85546875" style="1" customWidth="1"/>
    <col min="11986" max="11986" width="22" style="1" customWidth="1"/>
    <col min="11987" max="11987" width="18.42578125" style="1" customWidth="1"/>
    <col min="11988" max="11989" width="16.42578125" style="1" customWidth="1"/>
    <col min="11990" max="11990" width="18.85546875" style="1" customWidth="1"/>
    <col min="11991" max="11992" width="15.5703125" style="1" customWidth="1"/>
    <col min="11993" max="11993" width="11.28515625" style="1" customWidth="1"/>
    <col min="11994" max="11994" width="12.7109375" style="1" customWidth="1"/>
    <col min="11995" max="11999" width="14.7109375" style="1" customWidth="1"/>
    <col min="12000" max="12003" width="13.85546875" style="1" customWidth="1"/>
    <col min="12004" max="12004" width="14.28515625" style="1" customWidth="1"/>
    <col min="12005" max="12005" width="13.85546875" style="1" customWidth="1"/>
    <col min="12006" max="12018" width="13.42578125" style="1" customWidth="1"/>
    <col min="12019" max="12019" width="16.85546875" style="1" customWidth="1"/>
    <col min="12020" max="12020" width="12.42578125" style="1" customWidth="1"/>
    <col min="12021" max="12021" width="13.5703125" style="1" customWidth="1"/>
    <col min="12022" max="12025" width="12.42578125" style="1" customWidth="1"/>
    <col min="12026" max="12027" width="13.140625" style="1" customWidth="1"/>
    <col min="12028" max="12062" width="14.42578125" style="1" customWidth="1"/>
    <col min="12063" max="12074" width="12.42578125" style="1" customWidth="1"/>
    <col min="12075" max="12075" width="17.5703125" style="1" customWidth="1"/>
    <col min="12076" max="12076" width="15.140625" style="1" customWidth="1"/>
    <col min="12077" max="12078" width="15.42578125" style="1" customWidth="1"/>
    <col min="12079" max="12080" width="15.5703125" style="1" customWidth="1"/>
    <col min="12081" max="12081" width="17" style="1" customWidth="1"/>
    <col min="12082" max="12082" width="15.5703125" style="1" customWidth="1"/>
    <col min="12083" max="12083" width="17.7109375" style="1" customWidth="1"/>
    <col min="12084" max="12084" width="18.42578125" style="1" customWidth="1"/>
    <col min="12085" max="12085" width="17.5703125" style="1" customWidth="1"/>
    <col min="12086" max="12087" width="16" style="1" customWidth="1"/>
    <col min="12088" max="12091" width="12.42578125" style="1" customWidth="1"/>
    <col min="12092" max="12092" width="17.7109375" style="1" customWidth="1"/>
    <col min="12093" max="12093" width="12.42578125" style="1" customWidth="1"/>
    <col min="12094" max="12094" width="13.7109375" style="1" customWidth="1"/>
    <col min="12095" max="12095" width="15.5703125" style="1" customWidth="1"/>
    <col min="12096" max="12099" width="13.7109375" style="1" customWidth="1"/>
    <col min="12100" max="12101" width="12.42578125" style="1" customWidth="1"/>
    <col min="12102" max="12102" width="14.85546875" style="1" customWidth="1"/>
    <col min="12103" max="12103" width="12.42578125" style="1" customWidth="1"/>
    <col min="12104" max="12105" width="13.42578125" style="1" customWidth="1"/>
    <col min="12106" max="12106" width="17" style="1" customWidth="1"/>
    <col min="12107" max="12108" width="12.42578125" style="1" customWidth="1"/>
    <col min="12109" max="12109" width="16.42578125" style="1" customWidth="1"/>
    <col min="12110" max="12110" width="12.42578125" style="1" customWidth="1"/>
    <col min="12111" max="12111" width="13.42578125" style="1" customWidth="1"/>
    <col min="12112" max="12112" width="12.42578125" style="1" customWidth="1"/>
    <col min="12113" max="12114" width="11.7109375" style="1" customWidth="1"/>
    <col min="12115" max="12115" width="11.42578125" style="1" customWidth="1"/>
    <col min="12116" max="12116" width="11.7109375" style="1" customWidth="1"/>
    <col min="12117" max="12117" width="11.42578125" style="1" customWidth="1"/>
    <col min="12118" max="12119" width="15.42578125" style="1" customWidth="1"/>
    <col min="12120" max="12120" width="16.140625" style="1" customWidth="1"/>
    <col min="12121" max="12121" width="16.5703125" style="1" customWidth="1"/>
    <col min="12122" max="12122" width="16.7109375" style="1" customWidth="1"/>
    <col min="12123" max="12123" width="15.42578125" style="1" customWidth="1"/>
    <col min="12124" max="12124" width="14.85546875" style="1" customWidth="1"/>
    <col min="12125" max="12125" width="17.140625" style="1" customWidth="1"/>
    <col min="12126" max="12126" width="16.7109375" style="1" customWidth="1"/>
    <col min="12127" max="12127" width="16.5703125" style="1" customWidth="1"/>
    <col min="12128" max="12128" width="16.28515625" style="1" customWidth="1"/>
    <col min="12129" max="12129" width="14.85546875" style="1" customWidth="1"/>
    <col min="12130" max="12130" width="16.140625" style="1" customWidth="1"/>
    <col min="12131" max="12131" width="16" style="1" customWidth="1"/>
    <col min="12132" max="12132" width="15.5703125" style="1" customWidth="1"/>
    <col min="12133" max="12133" width="16.28515625" style="1" customWidth="1"/>
    <col min="12134" max="12134" width="17.140625" style="1" customWidth="1"/>
    <col min="12135" max="12135" width="16.28515625" style="1" customWidth="1"/>
    <col min="12136" max="12136" width="15.7109375" style="1" customWidth="1"/>
    <col min="12137" max="12137" width="15.42578125" style="1" customWidth="1"/>
    <col min="12138" max="12240" width="9.140625" style="1"/>
    <col min="12241" max="12241" width="19.85546875" style="1" customWidth="1"/>
    <col min="12242" max="12242" width="22" style="1" customWidth="1"/>
    <col min="12243" max="12243" width="18.42578125" style="1" customWidth="1"/>
    <col min="12244" max="12245" width="16.42578125" style="1" customWidth="1"/>
    <col min="12246" max="12246" width="18.85546875" style="1" customWidth="1"/>
    <col min="12247" max="12248" width="15.5703125" style="1" customWidth="1"/>
    <col min="12249" max="12249" width="11.28515625" style="1" customWidth="1"/>
    <col min="12250" max="12250" width="12.7109375" style="1" customWidth="1"/>
    <col min="12251" max="12255" width="14.7109375" style="1" customWidth="1"/>
    <col min="12256" max="12259" width="13.85546875" style="1" customWidth="1"/>
    <col min="12260" max="12260" width="14.28515625" style="1" customWidth="1"/>
    <col min="12261" max="12261" width="13.85546875" style="1" customWidth="1"/>
    <col min="12262" max="12274" width="13.42578125" style="1" customWidth="1"/>
    <col min="12275" max="12275" width="16.85546875" style="1" customWidth="1"/>
    <col min="12276" max="12276" width="12.42578125" style="1" customWidth="1"/>
    <col min="12277" max="12277" width="13.5703125" style="1" customWidth="1"/>
    <col min="12278" max="12281" width="12.42578125" style="1" customWidth="1"/>
    <col min="12282" max="12283" width="13.140625" style="1" customWidth="1"/>
    <col min="12284" max="12318" width="14.42578125" style="1" customWidth="1"/>
    <col min="12319" max="12330" width="12.42578125" style="1" customWidth="1"/>
    <col min="12331" max="12331" width="17.5703125" style="1" customWidth="1"/>
    <col min="12332" max="12332" width="15.140625" style="1" customWidth="1"/>
    <col min="12333" max="12334" width="15.42578125" style="1" customWidth="1"/>
    <col min="12335" max="12336" width="15.5703125" style="1" customWidth="1"/>
    <col min="12337" max="12337" width="17" style="1" customWidth="1"/>
    <col min="12338" max="12338" width="15.5703125" style="1" customWidth="1"/>
    <col min="12339" max="12339" width="17.7109375" style="1" customWidth="1"/>
    <col min="12340" max="12340" width="18.42578125" style="1" customWidth="1"/>
    <col min="12341" max="12341" width="17.5703125" style="1" customWidth="1"/>
    <col min="12342" max="12343" width="16" style="1" customWidth="1"/>
    <col min="12344" max="12347" width="12.42578125" style="1" customWidth="1"/>
    <col min="12348" max="12348" width="17.7109375" style="1" customWidth="1"/>
    <col min="12349" max="12349" width="12.42578125" style="1" customWidth="1"/>
    <col min="12350" max="12350" width="13.7109375" style="1" customWidth="1"/>
    <col min="12351" max="12351" width="15.5703125" style="1" customWidth="1"/>
    <col min="12352" max="12355" width="13.7109375" style="1" customWidth="1"/>
    <col min="12356" max="12357" width="12.42578125" style="1" customWidth="1"/>
    <col min="12358" max="12358" width="14.85546875" style="1" customWidth="1"/>
    <col min="12359" max="12359" width="12.42578125" style="1" customWidth="1"/>
    <col min="12360" max="12361" width="13.42578125" style="1" customWidth="1"/>
    <col min="12362" max="12362" width="17" style="1" customWidth="1"/>
    <col min="12363" max="12364" width="12.42578125" style="1" customWidth="1"/>
    <col min="12365" max="12365" width="16.42578125" style="1" customWidth="1"/>
    <col min="12366" max="12366" width="12.42578125" style="1" customWidth="1"/>
    <col min="12367" max="12367" width="13.42578125" style="1" customWidth="1"/>
    <col min="12368" max="12368" width="12.42578125" style="1" customWidth="1"/>
    <col min="12369" max="12370" width="11.7109375" style="1" customWidth="1"/>
    <col min="12371" max="12371" width="11.42578125" style="1" customWidth="1"/>
    <col min="12372" max="12372" width="11.7109375" style="1" customWidth="1"/>
    <col min="12373" max="12373" width="11.42578125" style="1" customWidth="1"/>
    <col min="12374" max="12375" width="15.42578125" style="1" customWidth="1"/>
    <col min="12376" max="12376" width="16.140625" style="1" customWidth="1"/>
    <col min="12377" max="12377" width="16.5703125" style="1" customWidth="1"/>
    <col min="12378" max="12378" width="16.7109375" style="1" customWidth="1"/>
    <col min="12379" max="12379" width="15.42578125" style="1" customWidth="1"/>
    <col min="12380" max="12380" width="14.85546875" style="1" customWidth="1"/>
    <col min="12381" max="12381" width="17.140625" style="1" customWidth="1"/>
    <col min="12382" max="12382" width="16.7109375" style="1" customWidth="1"/>
    <col min="12383" max="12383" width="16.5703125" style="1" customWidth="1"/>
    <col min="12384" max="12384" width="16.28515625" style="1" customWidth="1"/>
    <col min="12385" max="12385" width="14.85546875" style="1" customWidth="1"/>
    <col min="12386" max="12386" width="16.140625" style="1" customWidth="1"/>
    <col min="12387" max="12387" width="16" style="1" customWidth="1"/>
    <col min="12388" max="12388" width="15.5703125" style="1" customWidth="1"/>
    <col min="12389" max="12389" width="16.28515625" style="1" customWidth="1"/>
    <col min="12390" max="12390" width="17.140625" style="1" customWidth="1"/>
    <col min="12391" max="12391" width="16.28515625" style="1" customWidth="1"/>
    <col min="12392" max="12392" width="15.7109375" style="1" customWidth="1"/>
    <col min="12393" max="12393" width="15.42578125" style="1" customWidth="1"/>
    <col min="12394" max="12496" width="9.140625" style="1"/>
    <col min="12497" max="12497" width="19.85546875" style="1" customWidth="1"/>
    <col min="12498" max="12498" width="22" style="1" customWidth="1"/>
    <col min="12499" max="12499" width="18.42578125" style="1" customWidth="1"/>
    <col min="12500" max="12501" width="16.42578125" style="1" customWidth="1"/>
    <col min="12502" max="12502" width="18.85546875" style="1" customWidth="1"/>
    <col min="12503" max="12504" width="15.5703125" style="1" customWidth="1"/>
    <col min="12505" max="12505" width="11.28515625" style="1" customWidth="1"/>
    <col min="12506" max="12506" width="12.7109375" style="1" customWidth="1"/>
    <col min="12507" max="12511" width="14.7109375" style="1" customWidth="1"/>
    <col min="12512" max="12515" width="13.85546875" style="1" customWidth="1"/>
    <col min="12516" max="12516" width="14.28515625" style="1" customWidth="1"/>
    <col min="12517" max="12517" width="13.85546875" style="1" customWidth="1"/>
    <col min="12518" max="12530" width="13.42578125" style="1" customWidth="1"/>
    <col min="12531" max="12531" width="16.85546875" style="1" customWidth="1"/>
    <col min="12532" max="12532" width="12.42578125" style="1" customWidth="1"/>
    <col min="12533" max="12533" width="13.5703125" style="1" customWidth="1"/>
    <col min="12534" max="12537" width="12.42578125" style="1" customWidth="1"/>
    <col min="12538" max="12539" width="13.140625" style="1" customWidth="1"/>
    <col min="12540" max="12574" width="14.42578125" style="1" customWidth="1"/>
    <col min="12575" max="12586" width="12.42578125" style="1" customWidth="1"/>
    <col min="12587" max="12587" width="17.5703125" style="1" customWidth="1"/>
    <col min="12588" max="12588" width="15.140625" style="1" customWidth="1"/>
    <col min="12589" max="12590" width="15.42578125" style="1" customWidth="1"/>
    <col min="12591" max="12592" width="15.5703125" style="1" customWidth="1"/>
    <col min="12593" max="12593" width="17" style="1" customWidth="1"/>
    <col min="12594" max="12594" width="15.5703125" style="1" customWidth="1"/>
    <col min="12595" max="12595" width="17.7109375" style="1" customWidth="1"/>
    <col min="12596" max="12596" width="18.42578125" style="1" customWidth="1"/>
    <col min="12597" max="12597" width="17.5703125" style="1" customWidth="1"/>
    <col min="12598" max="12599" width="16" style="1" customWidth="1"/>
    <col min="12600" max="12603" width="12.42578125" style="1" customWidth="1"/>
    <col min="12604" max="12604" width="17.7109375" style="1" customWidth="1"/>
    <col min="12605" max="12605" width="12.42578125" style="1" customWidth="1"/>
    <col min="12606" max="12606" width="13.7109375" style="1" customWidth="1"/>
    <col min="12607" max="12607" width="15.5703125" style="1" customWidth="1"/>
    <col min="12608" max="12611" width="13.7109375" style="1" customWidth="1"/>
    <col min="12612" max="12613" width="12.42578125" style="1" customWidth="1"/>
    <col min="12614" max="12614" width="14.85546875" style="1" customWidth="1"/>
    <col min="12615" max="12615" width="12.42578125" style="1" customWidth="1"/>
    <col min="12616" max="12617" width="13.42578125" style="1" customWidth="1"/>
    <col min="12618" max="12618" width="17" style="1" customWidth="1"/>
    <col min="12619" max="12620" width="12.42578125" style="1" customWidth="1"/>
    <col min="12621" max="12621" width="16.42578125" style="1" customWidth="1"/>
    <col min="12622" max="12622" width="12.42578125" style="1" customWidth="1"/>
    <col min="12623" max="12623" width="13.42578125" style="1" customWidth="1"/>
    <col min="12624" max="12624" width="12.42578125" style="1" customWidth="1"/>
    <col min="12625" max="12626" width="11.7109375" style="1" customWidth="1"/>
    <col min="12627" max="12627" width="11.42578125" style="1" customWidth="1"/>
    <col min="12628" max="12628" width="11.7109375" style="1" customWidth="1"/>
    <col min="12629" max="12629" width="11.42578125" style="1" customWidth="1"/>
    <col min="12630" max="12631" width="15.42578125" style="1" customWidth="1"/>
    <col min="12632" max="12632" width="16.140625" style="1" customWidth="1"/>
    <col min="12633" max="12633" width="16.5703125" style="1" customWidth="1"/>
    <col min="12634" max="12634" width="16.7109375" style="1" customWidth="1"/>
    <col min="12635" max="12635" width="15.42578125" style="1" customWidth="1"/>
    <col min="12636" max="12636" width="14.85546875" style="1" customWidth="1"/>
    <col min="12637" max="12637" width="17.140625" style="1" customWidth="1"/>
    <col min="12638" max="12638" width="16.7109375" style="1" customWidth="1"/>
    <col min="12639" max="12639" width="16.5703125" style="1" customWidth="1"/>
    <col min="12640" max="12640" width="16.28515625" style="1" customWidth="1"/>
    <col min="12641" max="12641" width="14.85546875" style="1" customWidth="1"/>
    <col min="12642" max="12642" width="16.140625" style="1" customWidth="1"/>
    <col min="12643" max="12643" width="16" style="1" customWidth="1"/>
    <col min="12644" max="12644" width="15.5703125" style="1" customWidth="1"/>
    <col min="12645" max="12645" width="16.28515625" style="1" customWidth="1"/>
    <col min="12646" max="12646" width="17.140625" style="1" customWidth="1"/>
    <col min="12647" max="12647" width="16.28515625" style="1" customWidth="1"/>
    <col min="12648" max="12648" width="15.7109375" style="1" customWidth="1"/>
    <col min="12649" max="12649" width="15.42578125" style="1" customWidth="1"/>
    <col min="12650" max="12752" width="9.140625" style="1"/>
    <col min="12753" max="12753" width="19.85546875" style="1" customWidth="1"/>
    <col min="12754" max="12754" width="22" style="1" customWidth="1"/>
    <col min="12755" max="12755" width="18.42578125" style="1" customWidth="1"/>
    <col min="12756" max="12757" width="16.42578125" style="1" customWidth="1"/>
    <col min="12758" max="12758" width="18.85546875" style="1" customWidth="1"/>
    <col min="12759" max="12760" width="15.5703125" style="1" customWidth="1"/>
    <col min="12761" max="12761" width="11.28515625" style="1" customWidth="1"/>
    <col min="12762" max="12762" width="12.7109375" style="1" customWidth="1"/>
    <col min="12763" max="12767" width="14.7109375" style="1" customWidth="1"/>
    <col min="12768" max="12771" width="13.85546875" style="1" customWidth="1"/>
    <col min="12772" max="12772" width="14.28515625" style="1" customWidth="1"/>
    <col min="12773" max="12773" width="13.85546875" style="1" customWidth="1"/>
    <col min="12774" max="12786" width="13.42578125" style="1" customWidth="1"/>
    <col min="12787" max="12787" width="16.85546875" style="1" customWidth="1"/>
    <col min="12788" max="12788" width="12.42578125" style="1" customWidth="1"/>
    <col min="12789" max="12789" width="13.5703125" style="1" customWidth="1"/>
    <col min="12790" max="12793" width="12.42578125" style="1" customWidth="1"/>
    <col min="12794" max="12795" width="13.140625" style="1" customWidth="1"/>
    <col min="12796" max="12830" width="14.42578125" style="1" customWidth="1"/>
    <col min="12831" max="12842" width="12.42578125" style="1" customWidth="1"/>
    <col min="12843" max="12843" width="17.5703125" style="1" customWidth="1"/>
    <col min="12844" max="12844" width="15.140625" style="1" customWidth="1"/>
    <col min="12845" max="12846" width="15.42578125" style="1" customWidth="1"/>
    <col min="12847" max="12848" width="15.5703125" style="1" customWidth="1"/>
    <col min="12849" max="12849" width="17" style="1" customWidth="1"/>
    <col min="12850" max="12850" width="15.5703125" style="1" customWidth="1"/>
    <col min="12851" max="12851" width="17.7109375" style="1" customWidth="1"/>
    <col min="12852" max="12852" width="18.42578125" style="1" customWidth="1"/>
    <col min="12853" max="12853" width="17.5703125" style="1" customWidth="1"/>
    <col min="12854" max="12855" width="16" style="1" customWidth="1"/>
    <col min="12856" max="12859" width="12.42578125" style="1" customWidth="1"/>
    <col min="12860" max="12860" width="17.7109375" style="1" customWidth="1"/>
    <col min="12861" max="12861" width="12.42578125" style="1" customWidth="1"/>
    <col min="12862" max="12862" width="13.7109375" style="1" customWidth="1"/>
    <col min="12863" max="12863" width="15.5703125" style="1" customWidth="1"/>
    <col min="12864" max="12867" width="13.7109375" style="1" customWidth="1"/>
    <col min="12868" max="12869" width="12.42578125" style="1" customWidth="1"/>
    <col min="12870" max="12870" width="14.85546875" style="1" customWidth="1"/>
    <col min="12871" max="12871" width="12.42578125" style="1" customWidth="1"/>
    <col min="12872" max="12873" width="13.42578125" style="1" customWidth="1"/>
    <col min="12874" max="12874" width="17" style="1" customWidth="1"/>
    <col min="12875" max="12876" width="12.42578125" style="1" customWidth="1"/>
    <col min="12877" max="12877" width="16.42578125" style="1" customWidth="1"/>
    <col min="12878" max="12878" width="12.42578125" style="1" customWidth="1"/>
    <col min="12879" max="12879" width="13.42578125" style="1" customWidth="1"/>
    <col min="12880" max="12880" width="12.42578125" style="1" customWidth="1"/>
    <col min="12881" max="12882" width="11.7109375" style="1" customWidth="1"/>
    <col min="12883" max="12883" width="11.42578125" style="1" customWidth="1"/>
    <col min="12884" max="12884" width="11.7109375" style="1" customWidth="1"/>
    <col min="12885" max="12885" width="11.42578125" style="1" customWidth="1"/>
    <col min="12886" max="12887" width="15.42578125" style="1" customWidth="1"/>
    <col min="12888" max="12888" width="16.140625" style="1" customWidth="1"/>
    <col min="12889" max="12889" width="16.5703125" style="1" customWidth="1"/>
    <col min="12890" max="12890" width="16.7109375" style="1" customWidth="1"/>
    <col min="12891" max="12891" width="15.42578125" style="1" customWidth="1"/>
    <col min="12892" max="12892" width="14.85546875" style="1" customWidth="1"/>
    <col min="12893" max="12893" width="17.140625" style="1" customWidth="1"/>
    <col min="12894" max="12894" width="16.7109375" style="1" customWidth="1"/>
    <col min="12895" max="12895" width="16.5703125" style="1" customWidth="1"/>
    <col min="12896" max="12896" width="16.28515625" style="1" customWidth="1"/>
    <col min="12897" max="12897" width="14.85546875" style="1" customWidth="1"/>
    <col min="12898" max="12898" width="16.140625" style="1" customWidth="1"/>
    <col min="12899" max="12899" width="16" style="1" customWidth="1"/>
    <col min="12900" max="12900" width="15.5703125" style="1" customWidth="1"/>
    <col min="12901" max="12901" width="16.28515625" style="1" customWidth="1"/>
    <col min="12902" max="12902" width="17.140625" style="1" customWidth="1"/>
    <col min="12903" max="12903" width="16.28515625" style="1" customWidth="1"/>
    <col min="12904" max="12904" width="15.7109375" style="1" customWidth="1"/>
    <col min="12905" max="12905" width="15.42578125" style="1" customWidth="1"/>
    <col min="12906" max="13008" width="9.140625" style="1"/>
    <col min="13009" max="13009" width="19.85546875" style="1" customWidth="1"/>
    <col min="13010" max="13010" width="22" style="1" customWidth="1"/>
    <col min="13011" max="13011" width="18.42578125" style="1" customWidth="1"/>
    <col min="13012" max="13013" width="16.42578125" style="1" customWidth="1"/>
    <col min="13014" max="13014" width="18.85546875" style="1" customWidth="1"/>
    <col min="13015" max="13016" width="15.5703125" style="1" customWidth="1"/>
    <col min="13017" max="13017" width="11.28515625" style="1" customWidth="1"/>
    <col min="13018" max="13018" width="12.7109375" style="1" customWidth="1"/>
    <col min="13019" max="13023" width="14.7109375" style="1" customWidth="1"/>
    <col min="13024" max="13027" width="13.85546875" style="1" customWidth="1"/>
    <col min="13028" max="13028" width="14.28515625" style="1" customWidth="1"/>
    <col min="13029" max="13029" width="13.85546875" style="1" customWidth="1"/>
    <col min="13030" max="13042" width="13.42578125" style="1" customWidth="1"/>
    <col min="13043" max="13043" width="16.85546875" style="1" customWidth="1"/>
    <col min="13044" max="13044" width="12.42578125" style="1" customWidth="1"/>
    <col min="13045" max="13045" width="13.5703125" style="1" customWidth="1"/>
    <col min="13046" max="13049" width="12.42578125" style="1" customWidth="1"/>
    <col min="13050" max="13051" width="13.140625" style="1" customWidth="1"/>
    <col min="13052" max="13086" width="14.42578125" style="1" customWidth="1"/>
    <col min="13087" max="13098" width="12.42578125" style="1" customWidth="1"/>
    <col min="13099" max="13099" width="17.5703125" style="1" customWidth="1"/>
    <col min="13100" max="13100" width="15.140625" style="1" customWidth="1"/>
    <col min="13101" max="13102" width="15.42578125" style="1" customWidth="1"/>
    <col min="13103" max="13104" width="15.5703125" style="1" customWidth="1"/>
    <col min="13105" max="13105" width="17" style="1" customWidth="1"/>
    <col min="13106" max="13106" width="15.5703125" style="1" customWidth="1"/>
    <col min="13107" max="13107" width="17.7109375" style="1" customWidth="1"/>
    <col min="13108" max="13108" width="18.42578125" style="1" customWidth="1"/>
    <col min="13109" max="13109" width="17.5703125" style="1" customWidth="1"/>
    <col min="13110" max="13111" width="16" style="1" customWidth="1"/>
    <col min="13112" max="13115" width="12.42578125" style="1" customWidth="1"/>
    <col min="13116" max="13116" width="17.7109375" style="1" customWidth="1"/>
    <col min="13117" max="13117" width="12.42578125" style="1" customWidth="1"/>
    <col min="13118" max="13118" width="13.7109375" style="1" customWidth="1"/>
    <col min="13119" max="13119" width="15.5703125" style="1" customWidth="1"/>
    <col min="13120" max="13123" width="13.7109375" style="1" customWidth="1"/>
    <col min="13124" max="13125" width="12.42578125" style="1" customWidth="1"/>
    <col min="13126" max="13126" width="14.85546875" style="1" customWidth="1"/>
    <col min="13127" max="13127" width="12.42578125" style="1" customWidth="1"/>
    <col min="13128" max="13129" width="13.42578125" style="1" customWidth="1"/>
    <col min="13130" max="13130" width="17" style="1" customWidth="1"/>
    <col min="13131" max="13132" width="12.42578125" style="1" customWidth="1"/>
    <col min="13133" max="13133" width="16.42578125" style="1" customWidth="1"/>
    <col min="13134" max="13134" width="12.42578125" style="1" customWidth="1"/>
    <col min="13135" max="13135" width="13.42578125" style="1" customWidth="1"/>
    <col min="13136" max="13136" width="12.42578125" style="1" customWidth="1"/>
    <col min="13137" max="13138" width="11.7109375" style="1" customWidth="1"/>
    <col min="13139" max="13139" width="11.42578125" style="1" customWidth="1"/>
    <col min="13140" max="13140" width="11.7109375" style="1" customWidth="1"/>
    <col min="13141" max="13141" width="11.42578125" style="1" customWidth="1"/>
    <col min="13142" max="13143" width="15.42578125" style="1" customWidth="1"/>
    <col min="13144" max="13144" width="16.140625" style="1" customWidth="1"/>
    <col min="13145" max="13145" width="16.5703125" style="1" customWidth="1"/>
    <col min="13146" max="13146" width="16.7109375" style="1" customWidth="1"/>
    <col min="13147" max="13147" width="15.42578125" style="1" customWidth="1"/>
    <col min="13148" max="13148" width="14.85546875" style="1" customWidth="1"/>
    <col min="13149" max="13149" width="17.140625" style="1" customWidth="1"/>
    <col min="13150" max="13150" width="16.7109375" style="1" customWidth="1"/>
    <col min="13151" max="13151" width="16.5703125" style="1" customWidth="1"/>
    <col min="13152" max="13152" width="16.28515625" style="1" customWidth="1"/>
    <col min="13153" max="13153" width="14.85546875" style="1" customWidth="1"/>
    <col min="13154" max="13154" width="16.140625" style="1" customWidth="1"/>
    <col min="13155" max="13155" width="16" style="1" customWidth="1"/>
    <col min="13156" max="13156" width="15.5703125" style="1" customWidth="1"/>
    <col min="13157" max="13157" width="16.28515625" style="1" customWidth="1"/>
    <col min="13158" max="13158" width="17.140625" style="1" customWidth="1"/>
    <col min="13159" max="13159" width="16.28515625" style="1" customWidth="1"/>
    <col min="13160" max="13160" width="15.7109375" style="1" customWidth="1"/>
    <col min="13161" max="13161" width="15.42578125" style="1" customWidth="1"/>
    <col min="13162" max="13264" width="9.140625" style="1"/>
    <col min="13265" max="13265" width="19.85546875" style="1" customWidth="1"/>
    <col min="13266" max="13266" width="22" style="1" customWidth="1"/>
    <col min="13267" max="13267" width="18.42578125" style="1" customWidth="1"/>
    <col min="13268" max="13269" width="16.42578125" style="1" customWidth="1"/>
    <col min="13270" max="13270" width="18.85546875" style="1" customWidth="1"/>
    <col min="13271" max="13272" width="15.5703125" style="1" customWidth="1"/>
    <col min="13273" max="13273" width="11.28515625" style="1" customWidth="1"/>
    <col min="13274" max="13274" width="12.7109375" style="1" customWidth="1"/>
    <col min="13275" max="13279" width="14.7109375" style="1" customWidth="1"/>
    <col min="13280" max="13283" width="13.85546875" style="1" customWidth="1"/>
    <col min="13284" max="13284" width="14.28515625" style="1" customWidth="1"/>
    <col min="13285" max="13285" width="13.85546875" style="1" customWidth="1"/>
    <col min="13286" max="13298" width="13.42578125" style="1" customWidth="1"/>
    <col min="13299" max="13299" width="16.85546875" style="1" customWidth="1"/>
    <col min="13300" max="13300" width="12.42578125" style="1" customWidth="1"/>
    <col min="13301" max="13301" width="13.5703125" style="1" customWidth="1"/>
    <col min="13302" max="13305" width="12.42578125" style="1" customWidth="1"/>
    <col min="13306" max="13307" width="13.140625" style="1" customWidth="1"/>
    <col min="13308" max="13342" width="14.42578125" style="1" customWidth="1"/>
    <col min="13343" max="13354" width="12.42578125" style="1" customWidth="1"/>
    <col min="13355" max="13355" width="17.5703125" style="1" customWidth="1"/>
    <col min="13356" max="13356" width="15.140625" style="1" customWidth="1"/>
    <col min="13357" max="13358" width="15.42578125" style="1" customWidth="1"/>
    <col min="13359" max="13360" width="15.5703125" style="1" customWidth="1"/>
    <col min="13361" max="13361" width="17" style="1" customWidth="1"/>
    <col min="13362" max="13362" width="15.5703125" style="1" customWidth="1"/>
    <col min="13363" max="13363" width="17.7109375" style="1" customWidth="1"/>
    <col min="13364" max="13364" width="18.42578125" style="1" customWidth="1"/>
    <col min="13365" max="13365" width="17.5703125" style="1" customWidth="1"/>
    <col min="13366" max="13367" width="16" style="1" customWidth="1"/>
    <col min="13368" max="13371" width="12.42578125" style="1" customWidth="1"/>
    <col min="13372" max="13372" width="17.7109375" style="1" customWidth="1"/>
    <col min="13373" max="13373" width="12.42578125" style="1" customWidth="1"/>
    <col min="13374" max="13374" width="13.7109375" style="1" customWidth="1"/>
    <col min="13375" max="13375" width="15.5703125" style="1" customWidth="1"/>
    <col min="13376" max="13379" width="13.7109375" style="1" customWidth="1"/>
    <col min="13380" max="13381" width="12.42578125" style="1" customWidth="1"/>
    <col min="13382" max="13382" width="14.85546875" style="1" customWidth="1"/>
    <col min="13383" max="13383" width="12.42578125" style="1" customWidth="1"/>
    <col min="13384" max="13385" width="13.42578125" style="1" customWidth="1"/>
    <col min="13386" max="13386" width="17" style="1" customWidth="1"/>
    <col min="13387" max="13388" width="12.42578125" style="1" customWidth="1"/>
    <col min="13389" max="13389" width="16.42578125" style="1" customWidth="1"/>
    <col min="13390" max="13390" width="12.42578125" style="1" customWidth="1"/>
    <col min="13391" max="13391" width="13.42578125" style="1" customWidth="1"/>
    <col min="13392" max="13392" width="12.42578125" style="1" customWidth="1"/>
    <col min="13393" max="13394" width="11.7109375" style="1" customWidth="1"/>
    <col min="13395" max="13395" width="11.42578125" style="1" customWidth="1"/>
    <col min="13396" max="13396" width="11.7109375" style="1" customWidth="1"/>
    <col min="13397" max="13397" width="11.42578125" style="1" customWidth="1"/>
    <col min="13398" max="13399" width="15.42578125" style="1" customWidth="1"/>
    <col min="13400" max="13400" width="16.140625" style="1" customWidth="1"/>
    <col min="13401" max="13401" width="16.5703125" style="1" customWidth="1"/>
    <col min="13402" max="13402" width="16.7109375" style="1" customWidth="1"/>
    <col min="13403" max="13403" width="15.42578125" style="1" customWidth="1"/>
    <col min="13404" max="13404" width="14.85546875" style="1" customWidth="1"/>
    <col min="13405" max="13405" width="17.140625" style="1" customWidth="1"/>
    <col min="13406" max="13406" width="16.7109375" style="1" customWidth="1"/>
    <col min="13407" max="13407" width="16.5703125" style="1" customWidth="1"/>
    <col min="13408" max="13408" width="16.28515625" style="1" customWidth="1"/>
    <col min="13409" max="13409" width="14.85546875" style="1" customWidth="1"/>
    <col min="13410" max="13410" width="16.140625" style="1" customWidth="1"/>
    <col min="13411" max="13411" width="16" style="1" customWidth="1"/>
    <col min="13412" max="13412" width="15.5703125" style="1" customWidth="1"/>
    <col min="13413" max="13413" width="16.28515625" style="1" customWidth="1"/>
    <col min="13414" max="13414" width="17.140625" style="1" customWidth="1"/>
    <col min="13415" max="13415" width="16.28515625" style="1" customWidth="1"/>
    <col min="13416" max="13416" width="15.7109375" style="1" customWidth="1"/>
    <col min="13417" max="13417" width="15.42578125" style="1" customWidth="1"/>
    <col min="13418" max="13520" width="9.140625" style="1"/>
    <col min="13521" max="13521" width="19.85546875" style="1" customWidth="1"/>
    <col min="13522" max="13522" width="22" style="1" customWidth="1"/>
    <col min="13523" max="13523" width="18.42578125" style="1" customWidth="1"/>
    <col min="13524" max="13525" width="16.42578125" style="1" customWidth="1"/>
    <col min="13526" max="13526" width="18.85546875" style="1" customWidth="1"/>
    <col min="13527" max="13528" width="15.5703125" style="1" customWidth="1"/>
    <col min="13529" max="13529" width="11.28515625" style="1" customWidth="1"/>
    <col min="13530" max="13530" width="12.7109375" style="1" customWidth="1"/>
    <col min="13531" max="13535" width="14.7109375" style="1" customWidth="1"/>
    <col min="13536" max="13539" width="13.85546875" style="1" customWidth="1"/>
    <col min="13540" max="13540" width="14.28515625" style="1" customWidth="1"/>
    <col min="13541" max="13541" width="13.85546875" style="1" customWidth="1"/>
    <col min="13542" max="13554" width="13.42578125" style="1" customWidth="1"/>
    <col min="13555" max="13555" width="16.85546875" style="1" customWidth="1"/>
    <col min="13556" max="13556" width="12.42578125" style="1" customWidth="1"/>
    <col min="13557" max="13557" width="13.5703125" style="1" customWidth="1"/>
    <col min="13558" max="13561" width="12.42578125" style="1" customWidth="1"/>
    <col min="13562" max="13563" width="13.140625" style="1" customWidth="1"/>
    <col min="13564" max="13598" width="14.42578125" style="1" customWidth="1"/>
    <col min="13599" max="13610" width="12.42578125" style="1" customWidth="1"/>
    <col min="13611" max="13611" width="17.5703125" style="1" customWidth="1"/>
    <col min="13612" max="13612" width="15.140625" style="1" customWidth="1"/>
    <col min="13613" max="13614" width="15.42578125" style="1" customWidth="1"/>
    <col min="13615" max="13616" width="15.5703125" style="1" customWidth="1"/>
    <col min="13617" max="13617" width="17" style="1" customWidth="1"/>
    <col min="13618" max="13618" width="15.5703125" style="1" customWidth="1"/>
    <col min="13619" max="13619" width="17.7109375" style="1" customWidth="1"/>
    <col min="13620" max="13620" width="18.42578125" style="1" customWidth="1"/>
    <col min="13621" max="13621" width="17.5703125" style="1" customWidth="1"/>
    <col min="13622" max="13623" width="16" style="1" customWidth="1"/>
    <col min="13624" max="13627" width="12.42578125" style="1" customWidth="1"/>
    <col min="13628" max="13628" width="17.7109375" style="1" customWidth="1"/>
    <col min="13629" max="13629" width="12.42578125" style="1" customWidth="1"/>
    <col min="13630" max="13630" width="13.7109375" style="1" customWidth="1"/>
    <col min="13631" max="13631" width="15.5703125" style="1" customWidth="1"/>
    <col min="13632" max="13635" width="13.7109375" style="1" customWidth="1"/>
    <col min="13636" max="13637" width="12.42578125" style="1" customWidth="1"/>
    <col min="13638" max="13638" width="14.85546875" style="1" customWidth="1"/>
    <col min="13639" max="13639" width="12.42578125" style="1" customWidth="1"/>
    <col min="13640" max="13641" width="13.42578125" style="1" customWidth="1"/>
    <col min="13642" max="13642" width="17" style="1" customWidth="1"/>
    <col min="13643" max="13644" width="12.42578125" style="1" customWidth="1"/>
    <col min="13645" max="13645" width="16.42578125" style="1" customWidth="1"/>
    <col min="13646" max="13646" width="12.42578125" style="1" customWidth="1"/>
    <col min="13647" max="13647" width="13.42578125" style="1" customWidth="1"/>
    <col min="13648" max="13648" width="12.42578125" style="1" customWidth="1"/>
    <col min="13649" max="13650" width="11.7109375" style="1" customWidth="1"/>
    <col min="13651" max="13651" width="11.42578125" style="1" customWidth="1"/>
    <col min="13652" max="13652" width="11.7109375" style="1" customWidth="1"/>
    <col min="13653" max="13653" width="11.42578125" style="1" customWidth="1"/>
    <col min="13654" max="13655" width="15.42578125" style="1" customWidth="1"/>
    <col min="13656" max="13656" width="16.140625" style="1" customWidth="1"/>
    <col min="13657" max="13657" width="16.5703125" style="1" customWidth="1"/>
    <col min="13658" max="13658" width="16.7109375" style="1" customWidth="1"/>
    <col min="13659" max="13659" width="15.42578125" style="1" customWidth="1"/>
    <col min="13660" max="13660" width="14.85546875" style="1" customWidth="1"/>
    <col min="13661" max="13661" width="17.140625" style="1" customWidth="1"/>
    <col min="13662" max="13662" width="16.7109375" style="1" customWidth="1"/>
    <col min="13663" max="13663" width="16.5703125" style="1" customWidth="1"/>
    <col min="13664" max="13664" width="16.28515625" style="1" customWidth="1"/>
    <col min="13665" max="13665" width="14.85546875" style="1" customWidth="1"/>
    <col min="13666" max="13666" width="16.140625" style="1" customWidth="1"/>
    <col min="13667" max="13667" width="16" style="1" customWidth="1"/>
    <col min="13668" max="13668" width="15.5703125" style="1" customWidth="1"/>
    <col min="13669" max="13669" width="16.28515625" style="1" customWidth="1"/>
    <col min="13670" max="13670" width="17.140625" style="1" customWidth="1"/>
    <col min="13671" max="13671" width="16.28515625" style="1" customWidth="1"/>
    <col min="13672" max="13672" width="15.7109375" style="1" customWidth="1"/>
    <col min="13673" max="13673" width="15.42578125" style="1" customWidth="1"/>
    <col min="13674" max="13776" width="9.140625" style="1"/>
    <col min="13777" max="13777" width="19.85546875" style="1" customWidth="1"/>
    <col min="13778" max="13778" width="22" style="1" customWidth="1"/>
    <col min="13779" max="13779" width="18.42578125" style="1" customWidth="1"/>
    <col min="13780" max="13781" width="16.42578125" style="1" customWidth="1"/>
    <col min="13782" max="13782" width="18.85546875" style="1" customWidth="1"/>
    <col min="13783" max="13784" width="15.5703125" style="1" customWidth="1"/>
    <col min="13785" max="13785" width="11.28515625" style="1" customWidth="1"/>
    <col min="13786" max="13786" width="12.7109375" style="1" customWidth="1"/>
    <col min="13787" max="13791" width="14.7109375" style="1" customWidth="1"/>
    <col min="13792" max="13795" width="13.85546875" style="1" customWidth="1"/>
    <col min="13796" max="13796" width="14.28515625" style="1" customWidth="1"/>
    <col min="13797" max="13797" width="13.85546875" style="1" customWidth="1"/>
    <col min="13798" max="13810" width="13.42578125" style="1" customWidth="1"/>
    <col min="13811" max="13811" width="16.85546875" style="1" customWidth="1"/>
    <col min="13812" max="13812" width="12.42578125" style="1" customWidth="1"/>
    <col min="13813" max="13813" width="13.5703125" style="1" customWidth="1"/>
    <col min="13814" max="13817" width="12.42578125" style="1" customWidth="1"/>
    <col min="13818" max="13819" width="13.140625" style="1" customWidth="1"/>
    <col min="13820" max="13854" width="14.42578125" style="1" customWidth="1"/>
    <col min="13855" max="13866" width="12.42578125" style="1" customWidth="1"/>
    <col min="13867" max="13867" width="17.5703125" style="1" customWidth="1"/>
    <col min="13868" max="13868" width="15.140625" style="1" customWidth="1"/>
    <col min="13869" max="13870" width="15.42578125" style="1" customWidth="1"/>
    <col min="13871" max="13872" width="15.5703125" style="1" customWidth="1"/>
    <col min="13873" max="13873" width="17" style="1" customWidth="1"/>
    <col min="13874" max="13874" width="15.5703125" style="1" customWidth="1"/>
    <col min="13875" max="13875" width="17.7109375" style="1" customWidth="1"/>
    <col min="13876" max="13876" width="18.42578125" style="1" customWidth="1"/>
    <col min="13877" max="13877" width="17.5703125" style="1" customWidth="1"/>
    <col min="13878" max="13879" width="16" style="1" customWidth="1"/>
    <col min="13880" max="13883" width="12.42578125" style="1" customWidth="1"/>
    <col min="13884" max="13884" width="17.7109375" style="1" customWidth="1"/>
    <col min="13885" max="13885" width="12.42578125" style="1" customWidth="1"/>
    <col min="13886" max="13886" width="13.7109375" style="1" customWidth="1"/>
    <col min="13887" max="13887" width="15.5703125" style="1" customWidth="1"/>
    <col min="13888" max="13891" width="13.7109375" style="1" customWidth="1"/>
    <col min="13892" max="13893" width="12.42578125" style="1" customWidth="1"/>
    <col min="13894" max="13894" width="14.85546875" style="1" customWidth="1"/>
    <col min="13895" max="13895" width="12.42578125" style="1" customWidth="1"/>
    <col min="13896" max="13897" width="13.42578125" style="1" customWidth="1"/>
    <col min="13898" max="13898" width="17" style="1" customWidth="1"/>
    <col min="13899" max="13900" width="12.42578125" style="1" customWidth="1"/>
    <col min="13901" max="13901" width="16.42578125" style="1" customWidth="1"/>
    <col min="13902" max="13902" width="12.42578125" style="1" customWidth="1"/>
    <col min="13903" max="13903" width="13.42578125" style="1" customWidth="1"/>
    <col min="13904" max="13904" width="12.42578125" style="1" customWidth="1"/>
    <col min="13905" max="13906" width="11.7109375" style="1" customWidth="1"/>
    <col min="13907" max="13907" width="11.42578125" style="1" customWidth="1"/>
    <col min="13908" max="13908" width="11.7109375" style="1" customWidth="1"/>
    <col min="13909" max="13909" width="11.42578125" style="1" customWidth="1"/>
    <col min="13910" max="13911" width="15.42578125" style="1" customWidth="1"/>
    <col min="13912" max="13912" width="16.140625" style="1" customWidth="1"/>
    <col min="13913" max="13913" width="16.5703125" style="1" customWidth="1"/>
    <col min="13914" max="13914" width="16.7109375" style="1" customWidth="1"/>
    <col min="13915" max="13915" width="15.42578125" style="1" customWidth="1"/>
    <col min="13916" max="13916" width="14.85546875" style="1" customWidth="1"/>
    <col min="13917" max="13917" width="17.140625" style="1" customWidth="1"/>
    <col min="13918" max="13918" width="16.7109375" style="1" customWidth="1"/>
    <col min="13919" max="13919" width="16.5703125" style="1" customWidth="1"/>
    <col min="13920" max="13920" width="16.28515625" style="1" customWidth="1"/>
    <col min="13921" max="13921" width="14.85546875" style="1" customWidth="1"/>
    <col min="13922" max="13922" width="16.140625" style="1" customWidth="1"/>
    <col min="13923" max="13923" width="16" style="1" customWidth="1"/>
    <col min="13924" max="13924" width="15.5703125" style="1" customWidth="1"/>
    <col min="13925" max="13925" width="16.28515625" style="1" customWidth="1"/>
    <col min="13926" max="13926" width="17.140625" style="1" customWidth="1"/>
    <col min="13927" max="13927" width="16.28515625" style="1" customWidth="1"/>
    <col min="13928" max="13928" width="15.7109375" style="1" customWidth="1"/>
    <col min="13929" max="13929" width="15.42578125" style="1" customWidth="1"/>
    <col min="13930" max="14032" width="9.140625" style="1"/>
    <col min="14033" max="14033" width="19.85546875" style="1" customWidth="1"/>
    <col min="14034" max="14034" width="22" style="1" customWidth="1"/>
    <col min="14035" max="14035" width="18.42578125" style="1" customWidth="1"/>
    <col min="14036" max="14037" width="16.42578125" style="1" customWidth="1"/>
    <col min="14038" max="14038" width="18.85546875" style="1" customWidth="1"/>
    <col min="14039" max="14040" width="15.5703125" style="1" customWidth="1"/>
    <col min="14041" max="14041" width="11.28515625" style="1" customWidth="1"/>
    <col min="14042" max="14042" width="12.7109375" style="1" customWidth="1"/>
    <col min="14043" max="14047" width="14.7109375" style="1" customWidth="1"/>
    <col min="14048" max="14051" width="13.85546875" style="1" customWidth="1"/>
    <col min="14052" max="14052" width="14.28515625" style="1" customWidth="1"/>
    <col min="14053" max="14053" width="13.85546875" style="1" customWidth="1"/>
    <col min="14054" max="14066" width="13.42578125" style="1" customWidth="1"/>
    <col min="14067" max="14067" width="16.85546875" style="1" customWidth="1"/>
    <col min="14068" max="14068" width="12.42578125" style="1" customWidth="1"/>
    <col min="14069" max="14069" width="13.5703125" style="1" customWidth="1"/>
    <col min="14070" max="14073" width="12.42578125" style="1" customWidth="1"/>
    <col min="14074" max="14075" width="13.140625" style="1" customWidth="1"/>
    <col min="14076" max="14110" width="14.42578125" style="1" customWidth="1"/>
    <col min="14111" max="14122" width="12.42578125" style="1" customWidth="1"/>
    <col min="14123" max="14123" width="17.5703125" style="1" customWidth="1"/>
    <col min="14124" max="14124" width="15.140625" style="1" customWidth="1"/>
    <col min="14125" max="14126" width="15.42578125" style="1" customWidth="1"/>
    <col min="14127" max="14128" width="15.5703125" style="1" customWidth="1"/>
    <col min="14129" max="14129" width="17" style="1" customWidth="1"/>
    <col min="14130" max="14130" width="15.5703125" style="1" customWidth="1"/>
    <col min="14131" max="14131" width="17.7109375" style="1" customWidth="1"/>
    <col min="14132" max="14132" width="18.42578125" style="1" customWidth="1"/>
    <col min="14133" max="14133" width="17.5703125" style="1" customWidth="1"/>
    <col min="14134" max="14135" width="16" style="1" customWidth="1"/>
    <col min="14136" max="14139" width="12.42578125" style="1" customWidth="1"/>
    <col min="14140" max="14140" width="17.7109375" style="1" customWidth="1"/>
    <col min="14141" max="14141" width="12.42578125" style="1" customWidth="1"/>
    <col min="14142" max="14142" width="13.7109375" style="1" customWidth="1"/>
    <col min="14143" max="14143" width="15.5703125" style="1" customWidth="1"/>
    <col min="14144" max="14147" width="13.7109375" style="1" customWidth="1"/>
    <col min="14148" max="14149" width="12.42578125" style="1" customWidth="1"/>
    <col min="14150" max="14150" width="14.85546875" style="1" customWidth="1"/>
    <col min="14151" max="14151" width="12.42578125" style="1" customWidth="1"/>
    <col min="14152" max="14153" width="13.42578125" style="1" customWidth="1"/>
    <col min="14154" max="14154" width="17" style="1" customWidth="1"/>
    <col min="14155" max="14156" width="12.42578125" style="1" customWidth="1"/>
    <col min="14157" max="14157" width="16.42578125" style="1" customWidth="1"/>
    <col min="14158" max="14158" width="12.42578125" style="1" customWidth="1"/>
    <col min="14159" max="14159" width="13.42578125" style="1" customWidth="1"/>
    <col min="14160" max="14160" width="12.42578125" style="1" customWidth="1"/>
    <col min="14161" max="14162" width="11.7109375" style="1" customWidth="1"/>
    <col min="14163" max="14163" width="11.42578125" style="1" customWidth="1"/>
    <col min="14164" max="14164" width="11.7109375" style="1" customWidth="1"/>
    <col min="14165" max="14165" width="11.42578125" style="1" customWidth="1"/>
    <col min="14166" max="14167" width="15.42578125" style="1" customWidth="1"/>
    <col min="14168" max="14168" width="16.140625" style="1" customWidth="1"/>
    <col min="14169" max="14169" width="16.5703125" style="1" customWidth="1"/>
    <col min="14170" max="14170" width="16.7109375" style="1" customWidth="1"/>
    <col min="14171" max="14171" width="15.42578125" style="1" customWidth="1"/>
    <col min="14172" max="14172" width="14.85546875" style="1" customWidth="1"/>
    <col min="14173" max="14173" width="17.140625" style="1" customWidth="1"/>
    <col min="14174" max="14174" width="16.7109375" style="1" customWidth="1"/>
    <col min="14175" max="14175" width="16.5703125" style="1" customWidth="1"/>
    <col min="14176" max="14176" width="16.28515625" style="1" customWidth="1"/>
    <col min="14177" max="14177" width="14.85546875" style="1" customWidth="1"/>
    <col min="14178" max="14178" width="16.140625" style="1" customWidth="1"/>
    <col min="14179" max="14179" width="16" style="1" customWidth="1"/>
    <col min="14180" max="14180" width="15.5703125" style="1" customWidth="1"/>
    <col min="14181" max="14181" width="16.28515625" style="1" customWidth="1"/>
    <col min="14182" max="14182" width="17.140625" style="1" customWidth="1"/>
    <col min="14183" max="14183" width="16.28515625" style="1" customWidth="1"/>
    <col min="14184" max="14184" width="15.7109375" style="1" customWidth="1"/>
    <col min="14185" max="14185" width="15.42578125" style="1" customWidth="1"/>
    <col min="14186" max="14288" width="9.140625" style="1"/>
    <col min="14289" max="14289" width="19.85546875" style="1" customWidth="1"/>
    <col min="14290" max="14290" width="22" style="1" customWidth="1"/>
    <col min="14291" max="14291" width="18.42578125" style="1" customWidth="1"/>
    <col min="14292" max="14293" width="16.42578125" style="1" customWidth="1"/>
    <col min="14294" max="14294" width="18.85546875" style="1" customWidth="1"/>
    <col min="14295" max="14296" width="15.5703125" style="1" customWidth="1"/>
    <col min="14297" max="14297" width="11.28515625" style="1" customWidth="1"/>
    <col min="14298" max="14298" width="12.7109375" style="1" customWidth="1"/>
    <col min="14299" max="14303" width="14.7109375" style="1" customWidth="1"/>
    <col min="14304" max="14307" width="13.85546875" style="1" customWidth="1"/>
    <col min="14308" max="14308" width="14.28515625" style="1" customWidth="1"/>
    <col min="14309" max="14309" width="13.85546875" style="1" customWidth="1"/>
    <col min="14310" max="14322" width="13.42578125" style="1" customWidth="1"/>
    <col min="14323" max="14323" width="16.85546875" style="1" customWidth="1"/>
    <col min="14324" max="14324" width="12.42578125" style="1" customWidth="1"/>
    <col min="14325" max="14325" width="13.5703125" style="1" customWidth="1"/>
    <col min="14326" max="14329" width="12.42578125" style="1" customWidth="1"/>
    <col min="14330" max="14331" width="13.140625" style="1" customWidth="1"/>
    <col min="14332" max="14366" width="14.42578125" style="1" customWidth="1"/>
    <col min="14367" max="14378" width="12.42578125" style="1" customWidth="1"/>
    <col min="14379" max="14379" width="17.5703125" style="1" customWidth="1"/>
    <col min="14380" max="14380" width="15.140625" style="1" customWidth="1"/>
    <col min="14381" max="14382" width="15.42578125" style="1" customWidth="1"/>
    <col min="14383" max="14384" width="15.5703125" style="1" customWidth="1"/>
    <col min="14385" max="14385" width="17" style="1" customWidth="1"/>
    <col min="14386" max="14386" width="15.5703125" style="1" customWidth="1"/>
    <col min="14387" max="14387" width="17.7109375" style="1" customWidth="1"/>
    <col min="14388" max="14388" width="18.42578125" style="1" customWidth="1"/>
    <col min="14389" max="14389" width="17.5703125" style="1" customWidth="1"/>
    <col min="14390" max="14391" width="16" style="1" customWidth="1"/>
    <col min="14392" max="14395" width="12.42578125" style="1" customWidth="1"/>
    <col min="14396" max="14396" width="17.7109375" style="1" customWidth="1"/>
    <col min="14397" max="14397" width="12.42578125" style="1" customWidth="1"/>
    <col min="14398" max="14398" width="13.7109375" style="1" customWidth="1"/>
    <col min="14399" max="14399" width="15.5703125" style="1" customWidth="1"/>
    <col min="14400" max="14403" width="13.7109375" style="1" customWidth="1"/>
    <col min="14404" max="14405" width="12.42578125" style="1" customWidth="1"/>
    <col min="14406" max="14406" width="14.85546875" style="1" customWidth="1"/>
    <col min="14407" max="14407" width="12.42578125" style="1" customWidth="1"/>
    <col min="14408" max="14409" width="13.42578125" style="1" customWidth="1"/>
    <col min="14410" max="14410" width="17" style="1" customWidth="1"/>
    <col min="14411" max="14412" width="12.42578125" style="1" customWidth="1"/>
    <col min="14413" max="14413" width="16.42578125" style="1" customWidth="1"/>
    <col min="14414" max="14414" width="12.42578125" style="1" customWidth="1"/>
    <col min="14415" max="14415" width="13.42578125" style="1" customWidth="1"/>
    <col min="14416" max="14416" width="12.42578125" style="1" customWidth="1"/>
    <col min="14417" max="14418" width="11.7109375" style="1" customWidth="1"/>
    <col min="14419" max="14419" width="11.42578125" style="1" customWidth="1"/>
    <col min="14420" max="14420" width="11.7109375" style="1" customWidth="1"/>
    <col min="14421" max="14421" width="11.42578125" style="1" customWidth="1"/>
    <col min="14422" max="14423" width="15.42578125" style="1" customWidth="1"/>
    <col min="14424" max="14424" width="16.140625" style="1" customWidth="1"/>
    <col min="14425" max="14425" width="16.5703125" style="1" customWidth="1"/>
    <col min="14426" max="14426" width="16.7109375" style="1" customWidth="1"/>
    <col min="14427" max="14427" width="15.42578125" style="1" customWidth="1"/>
    <col min="14428" max="14428" width="14.85546875" style="1" customWidth="1"/>
    <col min="14429" max="14429" width="17.140625" style="1" customWidth="1"/>
    <col min="14430" max="14430" width="16.7109375" style="1" customWidth="1"/>
    <col min="14431" max="14431" width="16.5703125" style="1" customWidth="1"/>
    <col min="14432" max="14432" width="16.28515625" style="1" customWidth="1"/>
    <col min="14433" max="14433" width="14.85546875" style="1" customWidth="1"/>
    <col min="14434" max="14434" width="16.140625" style="1" customWidth="1"/>
    <col min="14435" max="14435" width="16" style="1" customWidth="1"/>
    <col min="14436" max="14436" width="15.5703125" style="1" customWidth="1"/>
    <col min="14437" max="14437" width="16.28515625" style="1" customWidth="1"/>
    <col min="14438" max="14438" width="17.140625" style="1" customWidth="1"/>
    <col min="14439" max="14439" width="16.28515625" style="1" customWidth="1"/>
    <col min="14440" max="14440" width="15.7109375" style="1" customWidth="1"/>
    <col min="14441" max="14441" width="15.42578125" style="1" customWidth="1"/>
    <col min="14442" max="14544" width="9.140625" style="1"/>
    <col min="14545" max="14545" width="19.85546875" style="1" customWidth="1"/>
    <col min="14546" max="14546" width="22" style="1" customWidth="1"/>
    <col min="14547" max="14547" width="18.42578125" style="1" customWidth="1"/>
    <col min="14548" max="14549" width="16.42578125" style="1" customWidth="1"/>
    <col min="14550" max="14550" width="18.85546875" style="1" customWidth="1"/>
    <col min="14551" max="14552" width="15.5703125" style="1" customWidth="1"/>
    <col min="14553" max="14553" width="11.28515625" style="1" customWidth="1"/>
    <col min="14554" max="14554" width="12.7109375" style="1" customWidth="1"/>
    <col min="14555" max="14559" width="14.7109375" style="1" customWidth="1"/>
    <col min="14560" max="14563" width="13.85546875" style="1" customWidth="1"/>
    <col min="14564" max="14564" width="14.28515625" style="1" customWidth="1"/>
    <col min="14565" max="14565" width="13.85546875" style="1" customWidth="1"/>
    <col min="14566" max="14578" width="13.42578125" style="1" customWidth="1"/>
    <col min="14579" max="14579" width="16.85546875" style="1" customWidth="1"/>
    <col min="14580" max="14580" width="12.42578125" style="1" customWidth="1"/>
    <col min="14581" max="14581" width="13.5703125" style="1" customWidth="1"/>
    <col min="14582" max="14585" width="12.42578125" style="1" customWidth="1"/>
    <col min="14586" max="14587" width="13.140625" style="1" customWidth="1"/>
    <col min="14588" max="14622" width="14.42578125" style="1" customWidth="1"/>
    <col min="14623" max="14634" width="12.42578125" style="1" customWidth="1"/>
    <col min="14635" max="14635" width="17.5703125" style="1" customWidth="1"/>
    <col min="14636" max="14636" width="15.140625" style="1" customWidth="1"/>
    <col min="14637" max="14638" width="15.42578125" style="1" customWidth="1"/>
    <col min="14639" max="14640" width="15.5703125" style="1" customWidth="1"/>
    <col min="14641" max="14641" width="17" style="1" customWidth="1"/>
    <col min="14642" max="14642" width="15.5703125" style="1" customWidth="1"/>
    <col min="14643" max="14643" width="17.7109375" style="1" customWidth="1"/>
    <col min="14644" max="14644" width="18.42578125" style="1" customWidth="1"/>
    <col min="14645" max="14645" width="17.5703125" style="1" customWidth="1"/>
    <col min="14646" max="14647" width="16" style="1" customWidth="1"/>
    <col min="14648" max="14651" width="12.42578125" style="1" customWidth="1"/>
    <col min="14652" max="14652" width="17.7109375" style="1" customWidth="1"/>
    <col min="14653" max="14653" width="12.42578125" style="1" customWidth="1"/>
    <col min="14654" max="14654" width="13.7109375" style="1" customWidth="1"/>
    <col min="14655" max="14655" width="15.5703125" style="1" customWidth="1"/>
    <col min="14656" max="14659" width="13.7109375" style="1" customWidth="1"/>
    <col min="14660" max="14661" width="12.42578125" style="1" customWidth="1"/>
    <col min="14662" max="14662" width="14.85546875" style="1" customWidth="1"/>
    <col min="14663" max="14663" width="12.42578125" style="1" customWidth="1"/>
    <col min="14664" max="14665" width="13.42578125" style="1" customWidth="1"/>
    <col min="14666" max="14666" width="17" style="1" customWidth="1"/>
    <col min="14667" max="14668" width="12.42578125" style="1" customWidth="1"/>
    <col min="14669" max="14669" width="16.42578125" style="1" customWidth="1"/>
    <col min="14670" max="14670" width="12.42578125" style="1" customWidth="1"/>
    <col min="14671" max="14671" width="13.42578125" style="1" customWidth="1"/>
    <col min="14672" max="14672" width="12.42578125" style="1" customWidth="1"/>
    <col min="14673" max="14674" width="11.7109375" style="1" customWidth="1"/>
    <col min="14675" max="14675" width="11.42578125" style="1" customWidth="1"/>
    <col min="14676" max="14676" width="11.7109375" style="1" customWidth="1"/>
    <col min="14677" max="14677" width="11.42578125" style="1" customWidth="1"/>
    <col min="14678" max="14679" width="15.42578125" style="1" customWidth="1"/>
    <col min="14680" max="14680" width="16.140625" style="1" customWidth="1"/>
    <col min="14681" max="14681" width="16.5703125" style="1" customWidth="1"/>
    <col min="14682" max="14682" width="16.7109375" style="1" customWidth="1"/>
    <col min="14683" max="14683" width="15.42578125" style="1" customWidth="1"/>
    <col min="14684" max="14684" width="14.85546875" style="1" customWidth="1"/>
    <col min="14685" max="14685" width="17.140625" style="1" customWidth="1"/>
    <col min="14686" max="14686" width="16.7109375" style="1" customWidth="1"/>
    <col min="14687" max="14687" width="16.5703125" style="1" customWidth="1"/>
    <col min="14688" max="14688" width="16.28515625" style="1" customWidth="1"/>
    <col min="14689" max="14689" width="14.85546875" style="1" customWidth="1"/>
    <col min="14690" max="14690" width="16.140625" style="1" customWidth="1"/>
    <col min="14691" max="14691" width="16" style="1" customWidth="1"/>
    <col min="14692" max="14692" width="15.5703125" style="1" customWidth="1"/>
    <col min="14693" max="14693" width="16.28515625" style="1" customWidth="1"/>
    <col min="14694" max="14694" width="17.140625" style="1" customWidth="1"/>
    <col min="14695" max="14695" width="16.28515625" style="1" customWidth="1"/>
    <col min="14696" max="14696" width="15.7109375" style="1" customWidth="1"/>
    <col min="14697" max="14697" width="15.42578125" style="1" customWidth="1"/>
    <col min="14698" max="14800" width="9.140625" style="1"/>
    <col min="14801" max="14801" width="19.85546875" style="1" customWidth="1"/>
    <col min="14802" max="14802" width="22" style="1" customWidth="1"/>
    <col min="14803" max="14803" width="18.42578125" style="1" customWidth="1"/>
    <col min="14804" max="14805" width="16.42578125" style="1" customWidth="1"/>
    <col min="14806" max="14806" width="18.85546875" style="1" customWidth="1"/>
    <col min="14807" max="14808" width="15.5703125" style="1" customWidth="1"/>
    <col min="14809" max="14809" width="11.28515625" style="1" customWidth="1"/>
    <col min="14810" max="14810" width="12.7109375" style="1" customWidth="1"/>
    <col min="14811" max="14815" width="14.7109375" style="1" customWidth="1"/>
    <col min="14816" max="14819" width="13.85546875" style="1" customWidth="1"/>
    <col min="14820" max="14820" width="14.28515625" style="1" customWidth="1"/>
    <col min="14821" max="14821" width="13.85546875" style="1" customWidth="1"/>
    <col min="14822" max="14834" width="13.42578125" style="1" customWidth="1"/>
    <col min="14835" max="14835" width="16.85546875" style="1" customWidth="1"/>
    <col min="14836" max="14836" width="12.42578125" style="1" customWidth="1"/>
    <col min="14837" max="14837" width="13.5703125" style="1" customWidth="1"/>
    <col min="14838" max="14841" width="12.42578125" style="1" customWidth="1"/>
    <col min="14842" max="14843" width="13.140625" style="1" customWidth="1"/>
    <col min="14844" max="14878" width="14.42578125" style="1" customWidth="1"/>
    <col min="14879" max="14890" width="12.42578125" style="1" customWidth="1"/>
    <col min="14891" max="14891" width="17.5703125" style="1" customWidth="1"/>
    <col min="14892" max="14892" width="15.140625" style="1" customWidth="1"/>
    <col min="14893" max="14894" width="15.42578125" style="1" customWidth="1"/>
    <col min="14895" max="14896" width="15.5703125" style="1" customWidth="1"/>
    <col min="14897" max="14897" width="17" style="1" customWidth="1"/>
    <col min="14898" max="14898" width="15.5703125" style="1" customWidth="1"/>
    <col min="14899" max="14899" width="17.7109375" style="1" customWidth="1"/>
    <col min="14900" max="14900" width="18.42578125" style="1" customWidth="1"/>
    <col min="14901" max="14901" width="17.5703125" style="1" customWidth="1"/>
    <col min="14902" max="14903" width="16" style="1" customWidth="1"/>
    <col min="14904" max="14907" width="12.42578125" style="1" customWidth="1"/>
    <col min="14908" max="14908" width="17.7109375" style="1" customWidth="1"/>
    <col min="14909" max="14909" width="12.42578125" style="1" customWidth="1"/>
    <col min="14910" max="14910" width="13.7109375" style="1" customWidth="1"/>
    <col min="14911" max="14911" width="15.5703125" style="1" customWidth="1"/>
    <col min="14912" max="14915" width="13.7109375" style="1" customWidth="1"/>
    <col min="14916" max="14917" width="12.42578125" style="1" customWidth="1"/>
    <col min="14918" max="14918" width="14.85546875" style="1" customWidth="1"/>
    <col min="14919" max="14919" width="12.42578125" style="1" customWidth="1"/>
    <col min="14920" max="14921" width="13.42578125" style="1" customWidth="1"/>
    <col min="14922" max="14922" width="17" style="1" customWidth="1"/>
    <col min="14923" max="14924" width="12.42578125" style="1" customWidth="1"/>
    <col min="14925" max="14925" width="16.42578125" style="1" customWidth="1"/>
    <col min="14926" max="14926" width="12.42578125" style="1" customWidth="1"/>
    <col min="14927" max="14927" width="13.42578125" style="1" customWidth="1"/>
    <col min="14928" max="14928" width="12.42578125" style="1" customWidth="1"/>
    <col min="14929" max="14930" width="11.7109375" style="1" customWidth="1"/>
    <col min="14931" max="14931" width="11.42578125" style="1" customWidth="1"/>
    <col min="14932" max="14932" width="11.7109375" style="1" customWidth="1"/>
    <col min="14933" max="14933" width="11.42578125" style="1" customWidth="1"/>
    <col min="14934" max="14935" width="15.42578125" style="1" customWidth="1"/>
    <col min="14936" max="14936" width="16.140625" style="1" customWidth="1"/>
    <col min="14937" max="14937" width="16.5703125" style="1" customWidth="1"/>
    <col min="14938" max="14938" width="16.7109375" style="1" customWidth="1"/>
    <col min="14939" max="14939" width="15.42578125" style="1" customWidth="1"/>
    <col min="14940" max="14940" width="14.85546875" style="1" customWidth="1"/>
    <col min="14941" max="14941" width="17.140625" style="1" customWidth="1"/>
    <col min="14942" max="14942" width="16.7109375" style="1" customWidth="1"/>
    <col min="14943" max="14943" width="16.5703125" style="1" customWidth="1"/>
    <col min="14944" max="14944" width="16.28515625" style="1" customWidth="1"/>
    <col min="14945" max="14945" width="14.85546875" style="1" customWidth="1"/>
    <col min="14946" max="14946" width="16.140625" style="1" customWidth="1"/>
    <col min="14947" max="14947" width="16" style="1" customWidth="1"/>
    <col min="14948" max="14948" width="15.5703125" style="1" customWidth="1"/>
    <col min="14949" max="14949" width="16.28515625" style="1" customWidth="1"/>
    <col min="14950" max="14950" width="17.140625" style="1" customWidth="1"/>
    <col min="14951" max="14951" width="16.28515625" style="1" customWidth="1"/>
    <col min="14952" max="14952" width="15.7109375" style="1" customWidth="1"/>
    <col min="14953" max="14953" width="15.42578125" style="1" customWidth="1"/>
    <col min="14954" max="15056" width="9.140625" style="1"/>
    <col min="15057" max="15057" width="19.85546875" style="1" customWidth="1"/>
    <col min="15058" max="15058" width="22" style="1" customWidth="1"/>
    <col min="15059" max="15059" width="18.42578125" style="1" customWidth="1"/>
    <col min="15060" max="15061" width="16.42578125" style="1" customWidth="1"/>
    <col min="15062" max="15062" width="18.85546875" style="1" customWidth="1"/>
    <col min="15063" max="15064" width="15.5703125" style="1" customWidth="1"/>
    <col min="15065" max="15065" width="11.28515625" style="1" customWidth="1"/>
    <col min="15066" max="15066" width="12.7109375" style="1" customWidth="1"/>
    <col min="15067" max="15071" width="14.7109375" style="1" customWidth="1"/>
    <col min="15072" max="15075" width="13.85546875" style="1" customWidth="1"/>
    <col min="15076" max="15076" width="14.28515625" style="1" customWidth="1"/>
    <col min="15077" max="15077" width="13.85546875" style="1" customWidth="1"/>
    <col min="15078" max="15090" width="13.42578125" style="1" customWidth="1"/>
    <col min="15091" max="15091" width="16.85546875" style="1" customWidth="1"/>
    <col min="15092" max="15092" width="12.42578125" style="1" customWidth="1"/>
    <col min="15093" max="15093" width="13.5703125" style="1" customWidth="1"/>
    <col min="15094" max="15097" width="12.42578125" style="1" customWidth="1"/>
    <col min="15098" max="15099" width="13.140625" style="1" customWidth="1"/>
    <col min="15100" max="15134" width="14.42578125" style="1" customWidth="1"/>
    <col min="15135" max="15146" width="12.42578125" style="1" customWidth="1"/>
    <col min="15147" max="15147" width="17.5703125" style="1" customWidth="1"/>
    <col min="15148" max="15148" width="15.140625" style="1" customWidth="1"/>
    <col min="15149" max="15150" width="15.42578125" style="1" customWidth="1"/>
    <col min="15151" max="15152" width="15.5703125" style="1" customWidth="1"/>
    <col min="15153" max="15153" width="17" style="1" customWidth="1"/>
    <col min="15154" max="15154" width="15.5703125" style="1" customWidth="1"/>
    <col min="15155" max="15155" width="17.7109375" style="1" customWidth="1"/>
    <col min="15156" max="15156" width="18.42578125" style="1" customWidth="1"/>
    <col min="15157" max="15157" width="17.5703125" style="1" customWidth="1"/>
    <col min="15158" max="15159" width="16" style="1" customWidth="1"/>
    <col min="15160" max="15163" width="12.42578125" style="1" customWidth="1"/>
    <col min="15164" max="15164" width="17.7109375" style="1" customWidth="1"/>
    <col min="15165" max="15165" width="12.42578125" style="1" customWidth="1"/>
    <col min="15166" max="15166" width="13.7109375" style="1" customWidth="1"/>
    <col min="15167" max="15167" width="15.5703125" style="1" customWidth="1"/>
    <col min="15168" max="15171" width="13.7109375" style="1" customWidth="1"/>
    <col min="15172" max="15173" width="12.42578125" style="1" customWidth="1"/>
    <col min="15174" max="15174" width="14.85546875" style="1" customWidth="1"/>
    <col min="15175" max="15175" width="12.42578125" style="1" customWidth="1"/>
    <col min="15176" max="15177" width="13.42578125" style="1" customWidth="1"/>
    <col min="15178" max="15178" width="17" style="1" customWidth="1"/>
    <col min="15179" max="15180" width="12.42578125" style="1" customWidth="1"/>
    <col min="15181" max="15181" width="16.42578125" style="1" customWidth="1"/>
    <col min="15182" max="15182" width="12.42578125" style="1" customWidth="1"/>
    <col min="15183" max="15183" width="13.42578125" style="1" customWidth="1"/>
    <col min="15184" max="15184" width="12.42578125" style="1" customWidth="1"/>
    <col min="15185" max="15186" width="11.7109375" style="1" customWidth="1"/>
    <col min="15187" max="15187" width="11.42578125" style="1" customWidth="1"/>
    <col min="15188" max="15188" width="11.7109375" style="1" customWidth="1"/>
    <col min="15189" max="15189" width="11.42578125" style="1" customWidth="1"/>
    <col min="15190" max="15191" width="15.42578125" style="1" customWidth="1"/>
    <col min="15192" max="15192" width="16.140625" style="1" customWidth="1"/>
    <col min="15193" max="15193" width="16.5703125" style="1" customWidth="1"/>
    <col min="15194" max="15194" width="16.7109375" style="1" customWidth="1"/>
    <col min="15195" max="15195" width="15.42578125" style="1" customWidth="1"/>
    <col min="15196" max="15196" width="14.85546875" style="1" customWidth="1"/>
    <col min="15197" max="15197" width="17.140625" style="1" customWidth="1"/>
    <col min="15198" max="15198" width="16.7109375" style="1" customWidth="1"/>
    <col min="15199" max="15199" width="16.5703125" style="1" customWidth="1"/>
    <col min="15200" max="15200" width="16.28515625" style="1" customWidth="1"/>
    <col min="15201" max="15201" width="14.85546875" style="1" customWidth="1"/>
    <col min="15202" max="15202" width="16.140625" style="1" customWidth="1"/>
    <col min="15203" max="15203" width="16" style="1" customWidth="1"/>
    <col min="15204" max="15204" width="15.5703125" style="1" customWidth="1"/>
    <col min="15205" max="15205" width="16.28515625" style="1" customWidth="1"/>
    <col min="15206" max="15206" width="17.140625" style="1" customWidth="1"/>
    <col min="15207" max="15207" width="16.28515625" style="1" customWidth="1"/>
    <col min="15208" max="15208" width="15.7109375" style="1" customWidth="1"/>
    <col min="15209" max="15209" width="15.42578125" style="1" customWidth="1"/>
    <col min="15210" max="15312" width="9.140625" style="1"/>
    <col min="15313" max="15313" width="19.85546875" style="1" customWidth="1"/>
    <col min="15314" max="15314" width="22" style="1" customWidth="1"/>
    <col min="15315" max="15315" width="18.42578125" style="1" customWidth="1"/>
    <col min="15316" max="15317" width="16.42578125" style="1" customWidth="1"/>
    <col min="15318" max="15318" width="18.85546875" style="1" customWidth="1"/>
    <col min="15319" max="15320" width="15.5703125" style="1" customWidth="1"/>
    <col min="15321" max="15321" width="11.28515625" style="1" customWidth="1"/>
    <col min="15322" max="15322" width="12.7109375" style="1" customWidth="1"/>
    <col min="15323" max="15327" width="14.7109375" style="1" customWidth="1"/>
    <col min="15328" max="15331" width="13.85546875" style="1" customWidth="1"/>
    <col min="15332" max="15332" width="14.28515625" style="1" customWidth="1"/>
    <col min="15333" max="15333" width="13.85546875" style="1" customWidth="1"/>
    <col min="15334" max="15346" width="13.42578125" style="1" customWidth="1"/>
    <col min="15347" max="15347" width="16.85546875" style="1" customWidth="1"/>
    <col min="15348" max="15348" width="12.42578125" style="1" customWidth="1"/>
    <col min="15349" max="15349" width="13.5703125" style="1" customWidth="1"/>
    <col min="15350" max="15353" width="12.42578125" style="1" customWidth="1"/>
    <col min="15354" max="15355" width="13.140625" style="1" customWidth="1"/>
    <col min="15356" max="15390" width="14.42578125" style="1" customWidth="1"/>
    <col min="15391" max="15402" width="12.42578125" style="1" customWidth="1"/>
    <col min="15403" max="15403" width="17.5703125" style="1" customWidth="1"/>
    <col min="15404" max="15404" width="15.140625" style="1" customWidth="1"/>
    <col min="15405" max="15406" width="15.42578125" style="1" customWidth="1"/>
    <col min="15407" max="15408" width="15.5703125" style="1" customWidth="1"/>
    <col min="15409" max="15409" width="17" style="1" customWidth="1"/>
    <col min="15410" max="15410" width="15.5703125" style="1" customWidth="1"/>
    <col min="15411" max="15411" width="17.7109375" style="1" customWidth="1"/>
    <col min="15412" max="15412" width="18.42578125" style="1" customWidth="1"/>
    <col min="15413" max="15413" width="17.5703125" style="1" customWidth="1"/>
    <col min="15414" max="15415" width="16" style="1" customWidth="1"/>
    <col min="15416" max="15419" width="12.42578125" style="1" customWidth="1"/>
    <col min="15420" max="15420" width="17.7109375" style="1" customWidth="1"/>
    <col min="15421" max="15421" width="12.42578125" style="1" customWidth="1"/>
    <col min="15422" max="15422" width="13.7109375" style="1" customWidth="1"/>
    <col min="15423" max="15423" width="15.5703125" style="1" customWidth="1"/>
    <col min="15424" max="15427" width="13.7109375" style="1" customWidth="1"/>
    <col min="15428" max="15429" width="12.42578125" style="1" customWidth="1"/>
    <col min="15430" max="15430" width="14.85546875" style="1" customWidth="1"/>
    <col min="15431" max="15431" width="12.42578125" style="1" customWidth="1"/>
    <col min="15432" max="15433" width="13.42578125" style="1" customWidth="1"/>
    <col min="15434" max="15434" width="17" style="1" customWidth="1"/>
    <col min="15435" max="15436" width="12.42578125" style="1" customWidth="1"/>
    <col min="15437" max="15437" width="16.42578125" style="1" customWidth="1"/>
    <col min="15438" max="15438" width="12.42578125" style="1" customWidth="1"/>
    <col min="15439" max="15439" width="13.42578125" style="1" customWidth="1"/>
    <col min="15440" max="15440" width="12.42578125" style="1" customWidth="1"/>
    <col min="15441" max="15442" width="11.7109375" style="1" customWidth="1"/>
    <col min="15443" max="15443" width="11.42578125" style="1" customWidth="1"/>
    <col min="15444" max="15444" width="11.7109375" style="1" customWidth="1"/>
    <col min="15445" max="15445" width="11.42578125" style="1" customWidth="1"/>
    <col min="15446" max="15447" width="15.42578125" style="1" customWidth="1"/>
    <col min="15448" max="15448" width="16.140625" style="1" customWidth="1"/>
    <col min="15449" max="15449" width="16.5703125" style="1" customWidth="1"/>
    <col min="15450" max="15450" width="16.7109375" style="1" customWidth="1"/>
    <col min="15451" max="15451" width="15.42578125" style="1" customWidth="1"/>
    <col min="15452" max="15452" width="14.85546875" style="1" customWidth="1"/>
    <col min="15453" max="15453" width="17.140625" style="1" customWidth="1"/>
    <col min="15454" max="15454" width="16.7109375" style="1" customWidth="1"/>
    <col min="15455" max="15455" width="16.5703125" style="1" customWidth="1"/>
    <col min="15456" max="15456" width="16.28515625" style="1" customWidth="1"/>
    <col min="15457" max="15457" width="14.85546875" style="1" customWidth="1"/>
    <col min="15458" max="15458" width="16.140625" style="1" customWidth="1"/>
    <col min="15459" max="15459" width="16" style="1" customWidth="1"/>
    <col min="15460" max="15460" width="15.5703125" style="1" customWidth="1"/>
    <col min="15461" max="15461" width="16.28515625" style="1" customWidth="1"/>
    <col min="15462" max="15462" width="17.140625" style="1" customWidth="1"/>
    <col min="15463" max="15463" width="16.28515625" style="1" customWidth="1"/>
    <col min="15464" max="15464" width="15.7109375" style="1" customWidth="1"/>
    <col min="15465" max="15465" width="15.42578125" style="1" customWidth="1"/>
    <col min="15466" max="15568" width="9.140625" style="1"/>
    <col min="15569" max="15569" width="19.85546875" style="1" customWidth="1"/>
    <col min="15570" max="15570" width="22" style="1" customWidth="1"/>
    <col min="15571" max="15571" width="18.42578125" style="1" customWidth="1"/>
    <col min="15572" max="15573" width="16.42578125" style="1" customWidth="1"/>
    <col min="15574" max="15574" width="18.85546875" style="1" customWidth="1"/>
    <col min="15575" max="15576" width="15.5703125" style="1" customWidth="1"/>
    <col min="15577" max="15577" width="11.28515625" style="1" customWidth="1"/>
    <col min="15578" max="15578" width="12.7109375" style="1" customWidth="1"/>
    <col min="15579" max="15583" width="14.7109375" style="1" customWidth="1"/>
    <col min="15584" max="15587" width="13.85546875" style="1" customWidth="1"/>
    <col min="15588" max="15588" width="14.28515625" style="1" customWidth="1"/>
    <col min="15589" max="15589" width="13.85546875" style="1" customWidth="1"/>
    <col min="15590" max="15602" width="13.42578125" style="1" customWidth="1"/>
    <col min="15603" max="15603" width="16.85546875" style="1" customWidth="1"/>
    <col min="15604" max="15604" width="12.42578125" style="1" customWidth="1"/>
    <col min="15605" max="15605" width="13.5703125" style="1" customWidth="1"/>
    <col min="15606" max="15609" width="12.42578125" style="1" customWidth="1"/>
    <col min="15610" max="15611" width="13.140625" style="1" customWidth="1"/>
    <col min="15612" max="15646" width="14.42578125" style="1" customWidth="1"/>
    <col min="15647" max="15658" width="12.42578125" style="1" customWidth="1"/>
    <col min="15659" max="15659" width="17.5703125" style="1" customWidth="1"/>
    <col min="15660" max="15660" width="15.140625" style="1" customWidth="1"/>
    <col min="15661" max="15662" width="15.42578125" style="1" customWidth="1"/>
    <col min="15663" max="15664" width="15.5703125" style="1" customWidth="1"/>
    <col min="15665" max="15665" width="17" style="1" customWidth="1"/>
    <col min="15666" max="15666" width="15.5703125" style="1" customWidth="1"/>
    <col min="15667" max="15667" width="17.7109375" style="1" customWidth="1"/>
    <col min="15668" max="15668" width="18.42578125" style="1" customWidth="1"/>
    <col min="15669" max="15669" width="17.5703125" style="1" customWidth="1"/>
    <col min="15670" max="15671" width="16" style="1" customWidth="1"/>
    <col min="15672" max="15675" width="12.42578125" style="1" customWidth="1"/>
    <col min="15676" max="15676" width="17.7109375" style="1" customWidth="1"/>
    <col min="15677" max="15677" width="12.42578125" style="1" customWidth="1"/>
    <col min="15678" max="15678" width="13.7109375" style="1" customWidth="1"/>
    <col min="15679" max="15679" width="15.5703125" style="1" customWidth="1"/>
    <col min="15680" max="15683" width="13.7109375" style="1" customWidth="1"/>
    <col min="15684" max="15685" width="12.42578125" style="1" customWidth="1"/>
    <col min="15686" max="15686" width="14.85546875" style="1" customWidth="1"/>
    <col min="15687" max="15687" width="12.42578125" style="1" customWidth="1"/>
    <col min="15688" max="15689" width="13.42578125" style="1" customWidth="1"/>
    <col min="15690" max="15690" width="17" style="1" customWidth="1"/>
    <col min="15691" max="15692" width="12.42578125" style="1" customWidth="1"/>
    <col min="15693" max="15693" width="16.42578125" style="1" customWidth="1"/>
    <col min="15694" max="15694" width="12.42578125" style="1" customWidth="1"/>
    <col min="15695" max="15695" width="13.42578125" style="1" customWidth="1"/>
    <col min="15696" max="15696" width="12.42578125" style="1" customWidth="1"/>
    <col min="15697" max="15698" width="11.7109375" style="1" customWidth="1"/>
    <col min="15699" max="15699" width="11.42578125" style="1" customWidth="1"/>
    <col min="15700" max="15700" width="11.7109375" style="1" customWidth="1"/>
    <col min="15701" max="15701" width="11.42578125" style="1" customWidth="1"/>
    <col min="15702" max="15703" width="15.42578125" style="1" customWidth="1"/>
    <col min="15704" max="15704" width="16.140625" style="1" customWidth="1"/>
    <col min="15705" max="15705" width="16.5703125" style="1" customWidth="1"/>
    <col min="15706" max="15706" width="16.7109375" style="1" customWidth="1"/>
    <col min="15707" max="15707" width="15.42578125" style="1" customWidth="1"/>
    <col min="15708" max="15708" width="14.85546875" style="1" customWidth="1"/>
    <col min="15709" max="15709" width="17.140625" style="1" customWidth="1"/>
    <col min="15710" max="15710" width="16.7109375" style="1" customWidth="1"/>
    <col min="15711" max="15711" width="16.5703125" style="1" customWidth="1"/>
    <col min="15712" max="15712" width="16.28515625" style="1" customWidth="1"/>
    <col min="15713" max="15713" width="14.85546875" style="1" customWidth="1"/>
    <col min="15714" max="15714" width="16.140625" style="1" customWidth="1"/>
    <col min="15715" max="15715" width="16" style="1" customWidth="1"/>
    <col min="15716" max="15716" width="15.5703125" style="1" customWidth="1"/>
    <col min="15717" max="15717" width="16.28515625" style="1" customWidth="1"/>
    <col min="15718" max="15718" width="17.140625" style="1" customWidth="1"/>
    <col min="15719" max="15719" width="16.28515625" style="1" customWidth="1"/>
    <col min="15720" max="15720" width="15.7109375" style="1" customWidth="1"/>
    <col min="15721" max="15721" width="15.42578125" style="1" customWidth="1"/>
    <col min="15722" max="15824" width="9.140625" style="1"/>
    <col min="15825" max="15825" width="19.85546875" style="1" customWidth="1"/>
    <col min="15826" max="15826" width="22" style="1" customWidth="1"/>
    <col min="15827" max="15827" width="18.42578125" style="1" customWidth="1"/>
    <col min="15828" max="15829" width="16.42578125" style="1" customWidth="1"/>
    <col min="15830" max="15830" width="18.85546875" style="1" customWidth="1"/>
    <col min="15831" max="15832" width="15.5703125" style="1" customWidth="1"/>
    <col min="15833" max="15833" width="11.28515625" style="1" customWidth="1"/>
    <col min="15834" max="15834" width="12.7109375" style="1" customWidth="1"/>
    <col min="15835" max="15839" width="14.7109375" style="1" customWidth="1"/>
    <col min="15840" max="15843" width="13.85546875" style="1" customWidth="1"/>
    <col min="15844" max="15844" width="14.28515625" style="1" customWidth="1"/>
    <col min="15845" max="15845" width="13.85546875" style="1" customWidth="1"/>
    <col min="15846" max="15858" width="13.42578125" style="1" customWidth="1"/>
    <col min="15859" max="15859" width="16.85546875" style="1" customWidth="1"/>
    <col min="15860" max="15860" width="12.42578125" style="1" customWidth="1"/>
    <col min="15861" max="15861" width="13.5703125" style="1" customWidth="1"/>
    <col min="15862" max="15865" width="12.42578125" style="1" customWidth="1"/>
    <col min="15866" max="15867" width="13.140625" style="1" customWidth="1"/>
    <col min="15868" max="15902" width="14.42578125" style="1" customWidth="1"/>
    <col min="15903" max="15914" width="12.42578125" style="1" customWidth="1"/>
    <col min="15915" max="15915" width="17.5703125" style="1" customWidth="1"/>
    <col min="15916" max="15916" width="15.140625" style="1" customWidth="1"/>
    <col min="15917" max="15918" width="15.42578125" style="1" customWidth="1"/>
    <col min="15919" max="15920" width="15.5703125" style="1" customWidth="1"/>
    <col min="15921" max="15921" width="17" style="1" customWidth="1"/>
    <col min="15922" max="15922" width="15.5703125" style="1" customWidth="1"/>
    <col min="15923" max="15923" width="17.7109375" style="1" customWidth="1"/>
    <col min="15924" max="15924" width="18.42578125" style="1" customWidth="1"/>
    <col min="15925" max="15925" width="17.5703125" style="1" customWidth="1"/>
    <col min="15926" max="15927" width="16" style="1" customWidth="1"/>
    <col min="15928" max="15931" width="12.42578125" style="1" customWidth="1"/>
    <col min="15932" max="15932" width="17.7109375" style="1" customWidth="1"/>
    <col min="15933" max="15933" width="12.42578125" style="1" customWidth="1"/>
    <col min="15934" max="15934" width="13.7109375" style="1" customWidth="1"/>
    <col min="15935" max="15935" width="15.5703125" style="1" customWidth="1"/>
    <col min="15936" max="15939" width="13.7109375" style="1" customWidth="1"/>
    <col min="15940" max="15941" width="12.42578125" style="1" customWidth="1"/>
    <col min="15942" max="15942" width="14.85546875" style="1" customWidth="1"/>
    <col min="15943" max="15943" width="12.42578125" style="1" customWidth="1"/>
    <col min="15944" max="15945" width="13.42578125" style="1" customWidth="1"/>
    <col min="15946" max="15946" width="17" style="1" customWidth="1"/>
    <col min="15947" max="15948" width="12.42578125" style="1" customWidth="1"/>
    <col min="15949" max="15949" width="16.42578125" style="1" customWidth="1"/>
    <col min="15950" max="15950" width="12.42578125" style="1" customWidth="1"/>
    <col min="15951" max="15951" width="13.42578125" style="1" customWidth="1"/>
    <col min="15952" max="15952" width="12.42578125" style="1" customWidth="1"/>
    <col min="15953" max="15954" width="11.7109375" style="1" customWidth="1"/>
    <col min="15955" max="15955" width="11.42578125" style="1" customWidth="1"/>
    <col min="15956" max="15956" width="11.7109375" style="1" customWidth="1"/>
    <col min="15957" max="15957" width="11.42578125" style="1" customWidth="1"/>
    <col min="15958" max="15959" width="15.42578125" style="1" customWidth="1"/>
    <col min="15960" max="15960" width="16.140625" style="1" customWidth="1"/>
    <col min="15961" max="15961" width="16.5703125" style="1" customWidth="1"/>
    <col min="15962" max="15962" width="16.7109375" style="1" customWidth="1"/>
    <col min="15963" max="15963" width="15.42578125" style="1" customWidth="1"/>
    <col min="15964" max="15964" width="14.85546875" style="1" customWidth="1"/>
    <col min="15965" max="15965" width="17.140625" style="1" customWidth="1"/>
    <col min="15966" max="15966" width="16.7109375" style="1" customWidth="1"/>
    <col min="15967" max="15967" width="16.5703125" style="1" customWidth="1"/>
    <col min="15968" max="15968" width="16.28515625" style="1" customWidth="1"/>
    <col min="15969" max="15969" width="14.85546875" style="1" customWidth="1"/>
    <col min="15970" max="15970" width="16.140625" style="1" customWidth="1"/>
    <col min="15971" max="15971" width="16" style="1" customWidth="1"/>
    <col min="15972" max="15972" width="15.5703125" style="1" customWidth="1"/>
    <col min="15973" max="15973" width="16.28515625" style="1" customWidth="1"/>
    <col min="15974" max="15974" width="17.140625" style="1" customWidth="1"/>
    <col min="15975" max="15975" width="16.28515625" style="1" customWidth="1"/>
    <col min="15976" max="15976" width="15.7109375" style="1" customWidth="1"/>
    <col min="15977" max="15977" width="15.42578125" style="1" customWidth="1"/>
    <col min="15978" max="16080" width="9.140625" style="1"/>
    <col min="16081" max="16081" width="19.85546875" style="1" customWidth="1"/>
    <col min="16082" max="16082" width="22" style="1" customWidth="1"/>
    <col min="16083" max="16083" width="18.42578125" style="1" customWidth="1"/>
    <col min="16084" max="16085" width="16.42578125" style="1" customWidth="1"/>
    <col min="16086" max="16086" width="18.85546875" style="1" customWidth="1"/>
    <col min="16087" max="16088" width="15.5703125" style="1" customWidth="1"/>
    <col min="16089" max="16089" width="11.28515625" style="1" customWidth="1"/>
    <col min="16090" max="16090" width="12.7109375" style="1" customWidth="1"/>
    <col min="16091" max="16095" width="14.7109375" style="1" customWidth="1"/>
    <col min="16096" max="16099" width="13.85546875" style="1" customWidth="1"/>
    <col min="16100" max="16100" width="14.28515625" style="1" customWidth="1"/>
    <col min="16101" max="16101" width="13.85546875" style="1" customWidth="1"/>
    <col min="16102" max="16114" width="13.42578125" style="1" customWidth="1"/>
    <col min="16115" max="16115" width="16.85546875" style="1" customWidth="1"/>
    <col min="16116" max="16116" width="12.42578125" style="1" customWidth="1"/>
    <col min="16117" max="16117" width="13.5703125" style="1" customWidth="1"/>
    <col min="16118" max="16121" width="12.42578125" style="1" customWidth="1"/>
    <col min="16122" max="16123" width="13.140625" style="1" customWidth="1"/>
    <col min="16124" max="16158" width="14.42578125" style="1" customWidth="1"/>
    <col min="16159" max="16170" width="12.42578125" style="1" customWidth="1"/>
    <col min="16171" max="16171" width="17.5703125" style="1" customWidth="1"/>
    <col min="16172" max="16172" width="15.140625" style="1" customWidth="1"/>
    <col min="16173" max="16174" width="15.42578125" style="1" customWidth="1"/>
    <col min="16175" max="16176" width="15.5703125" style="1" customWidth="1"/>
    <col min="16177" max="16177" width="17" style="1" customWidth="1"/>
    <col min="16178" max="16178" width="15.5703125" style="1" customWidth="1"/>
    <col min="16179" max="16179" width="17.7109375" style="1" customWidth="1"/>
    <col min="16180" max="16180" width="18.42578125" style="1" customWidth="1"/>
    <col min="16181" max="16181" width="17.5703125" style="1" customWidth="1"/>
    <col min="16182" max="16183" width="16" style="1" customWidth="1"/>
    <col min="16184" max="16187" width="12.42578125" style="1" customWidth="1"/>
    <col min="16188" max="16188" width="17.7109375" style="1" customWidth="1"/>
    <col min="16189" max="16189" width="12.42578125" style="1" customWidth="1"/>
    <col min="16190" max="16190" width="13.7109375" style="1" customWidth="1"/>
    <col min="16191" max="16191" width="15.5703125" style="1" customWidth="1"/>
    <col min="16192" max="16195" width="13.7109375" style="1" customWidth="1"/>
    <col min="16196" max="16197" width="12.42578125" style="1" customWidth="1"/>
    <col min="16198" max="16198" width="14.85546875" style="1" customWidth="1"/>
    <col min="16199" max="16199" width="12.42578125" style="1" customWidth="1"/>
    <col min="16200" max="16201" width="13.42578125" style="1" customWidth="1"/>
    <col min="16202" max="16202" width="17" style="1" customWidth="1"/>
    <col min="16203" max="16204" width="12.42578125" style="1" customWidth="1"/>
    <col min="16205" max="16205" width="16.42578125" style="1" customWidth="1"/>
    <col min="16206" max="16206" width="12.42578125" style="1" customWidth="1"/>
    <col min="16207" max="16207" width="13.42578125" style="1" customWidth="1"/>
    <col min="16208" max="16208" width="12.42578125" style="1" customWidth="1"/>
    <col min="16209" max="16210" width="11.7109375" style="1" customWidth="1"/>
    <col min="16211" max="16211" width="11.42578125" style="1" customWidth="1"/>
    <col min="16212" max="16212" width="11.7109375" style="1" customWidth="1"/>
    <col min="16213" max="16213" width="11.42578125" style="1" customWidth="1"/>
    <col min="16214" max="16215" width="15.42578125" style="1" customWidth="1"/>
    <col min="16216" max="16216" width="16.140625" style="1" customWidth="1"/>
    <col min="16217" max="16217" width="16.5703125" style="1" customWidth="1"/>
    <col min="16218" max="16218" width="16.7109375" style="1" customWidth="1"/>
    <col min="16219" max="16219" width="15.42578125" style="1" customWidth="1"/>
    <col min="16220" max="16220" width="14.85546875" style="1" customWidth="1"/>
    <col min="16221" max="16221" width="17.140625" style="1" customWidth="1"/>
    <col min="16222" max="16222" width="16.7109375" style="1" customWidth="1"/>
    <col min="16223" max="16223" width="16.5703125" style="1" customWidth="1"/>
    <col min="16224" max="16224" width="16.28515625" style="1" customWidth="1"/>
    <col min="16225" max="16225" width="14.85546875" style="1" customWidth="1"/>
    <col min="16226" max="16226" width="16.140625" style="1" customWidth="1"/>
    <col min="16227" max="16227" width="16" style="1" customWidth="1"/>
    <col min="16228" max="16228" width="15.5703125" style="1" customWidth="1"/>
    <col min="16229" max="16229" width="16.28515625" style="1" customWidth="1"/>
    <col min="16230" max="16230" width="17.140625" style="1" customWidth="1"/>
    <col min="16231" max="16231" width="16.28515625" style="1" customWidth="1"/>
    <col min="16232" max="16232" width="15.7109375" style="1" customWidth="1"/>
    <col min="16233" max="16233" width="15.42578125" style="1" customWidth="1"/>
    <col min="16234" max="16384" width="9.140625" style="1"/>
  </cols>
  <sheetData>
    <row r="1" spans="1:137" ht="51.75" customHeight="1" x14ac:dyDescent="0.25">
      <c r="A1" s="121" t="s">
        <v>428</v>
      </c>
      <c r="B1" s="122"/>
      <c r="C1" s="122"/>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50"/>
    </row>
    <row r="2" spans="1:137" s="3" customFormat="1" ht="17.25" customHeight="1" x14ac:dyDescent="0.2">
      <c r="A2" s="123" t="s">
        <v>0</v>
      </c>
      <c r="B2" s="94" t="s">
        <v>1413</v>
      </c>
      <c r="C2" s="94"/>
      <c r="D2" s="94"/>
      <c r="E2" s="94"/>
      <c r="F2" s="9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5"/>
      <c r="AO2" s="25"/>
      <c r="AP2" s="24"/>
      <c r="AQ2" s="24"/>
      <c r="AR2" s="24"/>
      <c r="AS2" s="24"/>
      <c r="AT2" s="25"/>
      <c r="AU2" s="25"/>
      <c r="AV2" s="25"/>
      <c r="AW2" s="25"/>
      <c r="AX2" s="25"/>
      <c r="AY2" s="25"/>
      <c r="AZ2" s="25"/>
      <c r="BA2" s="25"/>
      <c r="BB2" s="25"/>
      <c r="BC2" s="24"/>
      <c r="BD2" s="24"/>
      <c r="BE2" s="24"/>
      <c r="BF2" s="24"/>
      <c r="BG2" s="24"/>
      <c r="BH2" s="26"/>
      <c r="BI2" s="27"/>
      <c r="BJ2" s="24"/>
      <c r="BK2" s="24"/>
      <c r="BL2" s="24"/>
      <c r="BM2" s="24"/>
      <c r="BN2" s="25"/>
      <c r="BO2" s="28"/>
      <c r="BP2" s="29"/>
      <c r="BQ2" s="29"/>
      <c r="BR2" s="24"/>
      <c r="BS2" s="24"/>
      <c r="BT2" s="24"/>
      <c r="BU2" s="24"/>
      <c r="BV2" s="25"/>
      <c r="BW2" s="28"/>
      <c r="BX2" s="29"/>
      <c r="BY2" s="29"/>
      <c r="BZ2" s="24"/>
      <c r="CA2" s="24"/>
      <c r="CB2" s="24"/>
      <c r="CC2" s="24"/>
      <c r="CD2" s="25"/>
      <c r="CE2" s="28"/>
      <c r="CF2" s="29"/>
      <c r="CG2" s="29"/>
      <c r="CH2" s="29"/>
      <c r="CI2" s="30"/>
      <c r="CJ2" s="24"/>
      <c r="CK2" s="24"/>
      <c r="CL2" s="26"/>
      <c r="CM2" s="24"/>
      <c r="CN2" s="24"/>
      <c r="CO2" s="26"/>
      <c r="CP2" s="24"/>
      <c r="CQ2" s="24"/>
      <c r="CR2" s="26"/>
      <c r="CS2" s="24"/>
      <c r="CT2" s="24"/>
      <c r="CU2" s="26"/>
      <c r="CV2" s="24"/>
      <c r="CW2" s="24"/>
      <c r="CX2" s="26"/>
      <c r="CY2" s="24"/>
      <c r="CZ2" s="26"/>
      <c r="DA2" s="30"/>
    </row>
    <row r="3" spans="1:137" s="3" customFormat="1" ht="15" customHeight="1" x14ac:dyDescent="0.2">
      <c r="A3" s="125" t="s">
        <v>1</v>
      </c>
      <c r="B3" s="29" t="s">
        <v>672</v>
      </c>
      <c r="C3" s="29"/>
      <c r="D3" s="29" t="s">
        <v>24</v>
      </c>
      <c r="E3" s="29" t="s">
        <v>937</v>
      </c>
      <c r="F3" s="29" t="s">
        <v>25</v>
      </c>
      <c r="G3" s="29" t="s">
        <v>456</v>
      </c>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31"/>
      <c r="BP3" s="29"/>
      <c r="BQ3" s="29"/>
      <c r="BR3" s="29"/>
      <c r="BS3" s="29"/>
      <c r="BT3" s="29"/>
      <c r="BU3" s="29"/>
      <c r="BV3" s="29"/>
      <c r="BW3" s="31"/>
      <c r="BX3" s="29"/>
      <c r="BY3" s="29"/>
      <c r="BZ3" s="29"/>
      <c r="CA3" s="29"/>
      <c r="CB3" s="29"/>
      <c r="CC3" s="29"/>
      <c r="CD3" s="29"/>
      <c r="CE3" s="31"/>
      <c r="CF3" s="29"/>
      <c r="CG3" s="29"/>
      <c r="CH3" s="29"/>
      <c r="CI3" s="32"/>
      <c r="CJ3" s="29"/>
      <c r="CK3" s="29"/>
      <c r="CL3" s="29"/>
      <c r="CM3" s="29"/>
      <c r="CN3" s="29"/>
      <c r="CO3" s="29"/>
      <c r="CP3" s="29"/>
      <c r="CQ3" s="29"/>
      <c r="CR3" s="29"/>
      <c r="CS3" s="29"/>
      <c r="CT3" s="29"/>
      <c r="CU3" s="29"/>
      <c r="CV3" s="29"/>
      <c r="CW3" s="29"/>
      <c r="CX3" s="29"/>
      <c r="CY3" s="29"/>
      <c r="CZ3" s="29"/>
      <c r="DA3" s="32"/>
    </row>
    <row r="4" spans="1:137" s="3" customFormat="1" ht="18" customHeight="1" x14ac:dyDescent="0.2">
      <c r="A4" s="126" t="s">
        <v>23</v>
      </c>
      <c r="B4" s="127"/>
      <c r="C4" s="127"/>
      <c r="D4" s="33"/>
      <c r="E4" s="33"/>
      <c r="F4" s="29"/>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29"/>
      <c r="AZ4" s="33"/>
      <c r="BA4" s="33"/>
      <c r="BB4" s="33"/>
      <c r="BC4" s="33"/>
      <c r="BD4" s="33"/>
      <c r="BE4" s="33"/>
      <c r="BF4" s="33"/>
      <c r="BG4" s="33"/>
      <c r="BH4" s="33"/>
      <c r="BI4" s="33"/>
      <c r="BJ4" s="33"/>
      <c r="BK4" s="33"/>
      <c r="BL4" s="33"/>
      <c r="BM4" s="33"/>
      <c r="BN4" s="33"/>
      <c r="BO4" s="34"/>
      <c r="BP4" s="33"/>
      <c r="BQ4" s="33"/>
      <c r="BR4" s="33"/>
      <c r="BS4" s="33"/>
      <c r="BT4" s="33"/>
      <c r="BU4" s="33"/>
      <c r="BV4" s="33"/>
      <c r="BW4" s="34"/>
      <c r="BX4" s="33"/>
      <c r="BY4" s="33"/>
      <c r="BZ4" s="33"/>
      <c r="CA4" s="33"/>
      <c r="CB4" s="33"/>
      <c r="CC4" s="33"/>
      <c r="CD4" s="33"/>
      <c r="CE4" s="34"/>
      <c r="CF4" s="33"/>
      <c r="CG4" s="33"/>
      <c r="CH4" s="33"/>
      <c r="CI4" s="35"/>
      <c r="CJ4" s="33"/>
      <c r="CK4" s="33"/>
      <c r="CL4" s="33"/>
      <c r="CM4" s="33"/>
      <c r="CN4" s="33"/>
      <c r="CO4" s="33"/>
      <c r="CP4" s="33"/>
      <c r="CQ4" s="33"/>
      <c r="CR4" s="33"/>
      <c r="CS4" s="33"/>
      <c r="CT4" s="33"/>
      <c r="CU4" s="33"/>
      <c r="CV4" s="33"/>
      <c r="CW4" s="33"/>
      <c r="CX4" s="33"/>
      <c r="CY4" s="33"/>
      <c r="CZ4" s="33"/>
      <c r="DA4" s="35"/>
    </row>
    <row r="5" spans="1:137" s="4" customFormat="1" ht="14.45" customHeight="1" x14ac:dyDescent="0.2">
      <c r="A5" s="99"/>
      <c r="B5" s="99"/>
      <c r="C5" s="99"/>
      <c r="D5" s="91"/>
      <c r="E5" s="91"/>
      <c r="F5" s="221" t="s">
        <v>27</v>
      </c>
      <c r="G5" s="39" t="s">
        <v>325</v>
      </c>
      <c r="H5" s="39" t="s">
        <v>325</v>
      </c>
      <c r="I5" s="39" t="s">
        <v>325</v>
      </c>
      <c r="J5" s="39" t="s">
        <v>325</v>
      </c>
      <c r="K5" s="39" t="s">
        <v>325</v>
      </c>
      <c r="L5" s="39" t="s">
        <v>325</v>
      </c>
      <c r="M5" s="39" t="s">
        <v>325</v>
      </c>
      <c r="N5" s="39" t="s">
        <v>325</v>
      </c>
      <c r="O5" s="39" t="s">
        <v>325</v>
      </c>
      <c r="P5" s="39" t="s">
        <v>325</v>
      </c>
      <c r="Q5" s="39" t="s">
        <v>325</v>
      </c>
      <c r="R5" s="39" t="s">
        <v>325</v>
      </c>
      <c r="S5" s="39" t="s">
        <v>325</v>
      </c>
      <c r="T5" s="39" t="s">
        <v>325</v>
      </c>
      <c r="U5" s="39" t="s">
        <v>325</v>
      </c>
      <c r="V5" s="223" t="s">
        <v>26</v>
      </c>
      <c r="W5" s="39" t="s">
        <v>326</v>
      </c>
      <c r="X5" s="39" t="s">
        <v>326</v>
      </c>
      <c r="Y5" s="39" t="s">
        <v>326</v>
      </c>
      <c r="Z5" s="39" t="s">
        <v>326</v>
      </c>
      <c r="AA5" s="39" t="s">
        <v>326</v>
      </c>
      <c r="AB5" s="39" t="s">
        <v>326</v>
      </c>
      <c r="AC5" s="39" t="s">
        <v>326</v>
      </c>
      <c r="AD5" s="39" t="s">
        <v>326</v>
      </c>
      <c r="AE5" s="39" t="s">
        <v>326</v>
      </c>
      <c r="AF5" s="39" t="s">
        <v>326</v>
      </c>
      <c r="AG5" s="39" t="s">
        <v>326</v>
      </c>
      <c r="AH5" s="39" t="s">
        <v>326</v>
      </c>
      <c r="AI5" s="39" t="s">
        <v>326</v>
      </c>
      <c r="AJ5" s="39" t="s">
        <v>326</v>
      </c>
      <c r="AK5" s="39" t="s">
        <v>326</v>
      </c>
      <c r="AL5" s="39" t="s">
        <v>326</v>
      </c>
      <c r="AM5" s="223" t="s">
        <v>318</v>
      </c>
      <c r="AN5" s="137" t="s">
        <v>327</v>
      </c>
      <c r="AO5" s="137" t="s">
        <v>327</v>
      </c>
      <c r="AP5" s="137" t="s">
        <v>327</v>
      </c>
      <c r="AQ5" s="137" t="s">
        <v>327</v>
      </c>
      <c r="AR5" s="137" t="s">
        <v>327</v>
      </c>
      <c r="AS5" s="137" t="s">
        <v>327</v>
      </c>
      <c r="AT5" s="39" t="s">
        <v>327</v>
      </c>
      <c r="AU5" s="39" t="s">
        <v>327</v>
      </c>
      <c r="AV5" s="223" t="s">
        <v>319</v>
      </c>
      <c r="AW5" s="137" t="s">
        <v>319</v>
      </c>
      <c r="AX5" s="137" t="s">
        <v>319</v>
      </c>
      <c r="AY5" s="137" t="s">
        <v>319</v>
      </c>
      <c r="AZ5" s="137" t="s">
        <v>319</v>
      </c>
      <c r="BA5" s="137" t="s">
        <v>319</v>
      </c>
      <c r="BB5" s="137" t="s">
        <v>319</v>
      </c>
      <c r="BC5" s="223" t="s">
        <v>320</v>
      </c>
      <c r="BD5" s="137" t="s">
        <v>320</v>
      </c>
      <c r="BE5" s="137" t="s">
        <v>320</v>
      </c>
      <c r="BF5" s="137" t="s">
        <v>320</v>
      </c>
      <c r="BG5" s="137" t="s">
        <v>320</v>
      </c>
      <c r="BH5" s="137" t="s">
        <v>320</v>
      </c>
      <c r="BI5" s="137" t="s">
        <v>320</v>
      </c>
      <c r="BJ5" s="223" t="s">
        <v>321</v>
      </c>
      <c r="BK5" s="137" t="s">
        <v>321</v>
      </c>
      <c r="BL5" s="137" t="s">
        <v>321</v>
      </c>
      <c r="BM5" s="137" t="s">
        <v>321</v>
      </c>
      <c r="BN5" s="137" t="s">
        <v>321</v>
      </c>
      <c r="BO5" s="137" t="s">
        <v>321</v>
      </c>
      <c r="BP5" s="137" t="s">
        <v>321</v>
      </c>
      <c r="BQ5" s="138" t="s">
        <v>321</v>
      </c>
      <c r="BR5" s="221" t="s">
        <v>323</v>
      </c>
      <c r="BS5" s="137" t="s">
        <v>323</v>
      </c>
      <c r="BT5" s="137" t="s">
        <v>323</v>
      </c>
      <c r="BU5" s="137" t="s">
        <v>323</v>
      </c>
      <c r="BV5" s="137" t="s">
        <v>323</v>
      </c>
      <c r="BW5" s="137" t="s">
        <v>323</v>
      </c>
      <c r="BX5" s="137" t="s">
        <v>323</v>
      </c>
      <c r="BY5" s="138" t="s">
        <v>323</v>
      </c>
      <c r="BZ5" s="221" t="s">
        <v>324</v>
      </c>
      <c r="CA5" s="137" t="s">
        <v>324</v>
      </c>
      <c r="CB5" s="137" t="s">
        <v>324</v>
      </c>
      <c r="CC5" s="137" t="s">
        <v>324</v>
      </c>
      <c r="CD5" s="137" t="s">
        <v>324</v>
      </c>
      <c r="CE5" s="137" t="s">
        <v>324</v>
      </c>
      <c r="CF5" s="137" t="s">
        <v>324</v>
      </c>
      <c r="CG5" s="138" t="s">
        <v>324</v>
      </c>
      <c r="CH5" s="136"/>
      <c r="CI5" s="132"/>
      <c r="CJ5" s="131"/>
      <c r="CK5" s="131"/>
      <c r="CL5" s="131"/>
      <c r="CM5" s="131"/>
      <c r="CN5" s="131"/>
      <c r="CO5" s="131"/>
      <c r="CP5" s="131"/>
      <c r="CQ5" s="131"/>
      <c r="CR5" s="131"/>
      <c r="CS5" s="131"/>
      <c r="CT5" s="131"/>
      <c r="CU5" s="131"/>
      <c r="CV5" s="131"/>
      <c r="CW5" s="131"/>
      <c r="CX5" s="131"/>
      <c r="CY5" s="131"/>
      <c r="CZ5" s="131"/>
      <c r="DA5" s="132"/>
    </row>
    <row r="6" spans="1:137" s="3" customFormat="1" ht="36" customHeight="1" x14ac:dyDescent="0.2">
      <c r="A6" s="100" t="s">
        <v>57</v>
      </c>
      <c r="B6" s="100" t="s">
        <v>314</v>
      </c>
      <c r="C6" s="100" t="s">
        <v>42</v>
      </c>
      <c r="D6" s="97" t="s">
        <v>41</v>
      </c>
      <c r="E6" s="97" t="s">
        <v>4</v>
      </c>
      <c r="F6" s="222"/>
      <c r="G6" s="92" t="s">
        <v>28</v>
      </c>
      <c r="H6" s="92" t="s">
        <v>29</v>
      </c>
      <c r="I6" s="92" t="s">
        <v>30</v>
      </c>
      <c r="J6" s="92" t="s">
        <v>33</v>
      </c>
      <c r="K6" s="92" t="s">
        <v>31</v>
      </c>
      <c r="L6" s="92" t="s">
        <v>32</v>
      </c>
      <c r="M6" s="92" t="s">
        <v>2</v>
      </c>
      <c r="N6" s="36" t="s">
        <v>35</v>
      </c>
      <c r="O6" s="36" t="s">
        <v>315</v>
      </c>
      <c r="P6" s="36" t="s">
        <v>36</v>
      </c>
      <c r="Q6" s="36" t="s">
        <v>316</v>
      </c>
      <c r="R6" s="36" t="s">
        <v>37</v>
      </c>
      <c r="S6" s="92" t="s">
        <v>317</v>
      </c>
      <c r="T6" s="38" t="s">
        <v>301</v>
      </c>
      <c r="U6" s="38" t="s">
        <v>332</v>
      </c>
      <c r="V6" s="224"/>
      <c r="W6" s="92" t="s">
        <v>28</v>
      </c>
      <c r="X6" s="92" t="s">
        <v>29</v>
      </c>
      <c r="Y6" s="92" t="s">
        <v>30</v>
      </c>
      <c r="Z6" s="92" t="s">
        <v>33</v>
      </c>
      <c r="AA6" s="92" t="s">
        <v>31</v>
      </c>
      <c r="AB6" s="92" t="s">
        <v>32</v>
      </c>
      <c r="AC6" s="92" t="s">
        <v>3</v>
      </c>
      <c r="AD6" s="92" t="s">
        <v>2</v>
      </c>
      <c r="AE6" s="36" t="s">
        <v>35</v>
      </c>
      <c r="AF6" s="36" t="s">
        <v>315</v>
      </c>
      <c r="AG6" s="36" t="s">
        <v>36</v>
      </c>
      <c r="AH6" s="36" t="s">
        <v>316</v>
      </c>
      <c r="AI6" s="36" t="s">
        <v>37</v>
      </c>
      <c r="AJ6" s="92" t="s">
        <v>317</v>
      </c>
      <c r="AK6" s="38" t="s">
        <v>301</v>
      </c>
      <c r="AL6" s="38" t="s">
        <v>332</v>
      </c>
      <c r="AM6" s="224"/>
      <c r="AN6" s="36" t="s">
        <v>35</v>
      </c>
      <c r="AO6" s="36" t="s">
        <v>315</v>
      </c>
      <c r="AP6" s="36" t="s">
        <v>36</v>
      </c>
      <c r="AQ6" s="36" t="s">
        <v>316</v>
      </c>
      <c r="AR6" s="36" t="s">
        <v>37</v>
      </c>
      <c r="AS6" s="36" t="s">
        <v>317</v>
      </c>
      <c r="AT6" s="38" t="s">
        <v>301</v>
      </c>
      <c r="AU6" s="38" t="s">
        <v>332</v>
      </c>
      <c r="AV6" s="224"/>
      <c r="AW6" s="36" t="s">
        <v>35</v>
      </c>
      <c r="AX6" s="36" t="s">
        <v>315</v>
      </c>
      <c r="AY6" s="36" t="s">
        <v>36</v>
      </c>
      <c r="AZ6" s="36" t="s">
        <v>316</v>
      </c>
      <c r="BA6" s="36" t="s">
        <v>37</v>
      </c>
      <c r="BB6" s="36" t="s">
        <v>317</v>
      </c>
      <c r="BC6" s="224"/>
      <c r="BD6" s="36" t="s">
        <v>35</v>
      </c>
      <c r="BE6" s="36" t="s">
        <v>315</v>
      </c>
      <c r="BF6" s="36" t="s">
        <v>36</v>
      </c>
      <c r="BG6" s="36" t="s">
        <v>316</v>
      </c>
      <c r="BH6" s="36" t="s">
        <v>37</v>
      </c>
      <c r="BI6" s="36" t="s">
        <v>317</v>
      </c>
      <c r="BJ6" s="224"/>
      <c r="BK6" s="45" t="s">
        <v>35</v>
      </c>
      <c r="BL6" s="45" t="s">
        <v>315</v>
      </c>
      <c r="BM6" s="45" t="s">
        <v>36</v>
      </c>
      <c r="BN6" s="45" t="s">
        <v>316</v>
      </c>
      <c r="BO6" s="45" t="s">
        <v>37</v>
      </c>
      <c r="BP6" s="45" t="s">
        <v>317</v>
      </c>
      <c r="BQ6" s="40" t="s">
        <v>322</v>
      </c>
      <c r="BR6" s="222"/>
      <c r="BS6" s="45" t="s">
        <v>35</v>
      </c>
      <c r="BT6" s="45" t="s">
        <v>315</v>
      </c>
      <c r="BU6" s="45" t="s">
        <v>36</v>
      </c>
      <c r="BV6" s="45" t="s">
        <v>316</v>
      </c>
      <c r="BW6" s="45" t="s">
        <v>37</v>
      </c>
      <c r="BX6" s="45" t="s">
        <v>317</v>
      </c>
      <c r="BY6" s="40" t="s">
        <v>322</v>
      </c>
      <c r="BZ6" s="222"/>
      <c r="CA6" s="45" t="s">
        <v>35</v>
      </c>
      <c r="CB6" s="45" t="s">
        <v>315</v>
      </c>
      <c r="CC6" s="45" t="s">
        <v>36</v>
      </c>
      <c r="CD6" s="45" t="s">
        <v>316</v>
      </c>
      <c r="CE6" s="45" t="s">
        <v>37</v>
      </c>
      <c r="CF6" s="45" t="s">
        <v>317</v>
      </c>
      <c r="CG6" s="40" t="s">
        <v>322</v>
      </c>
      <c r="CH6" s="40"/>
      <c r="CI6" s="37"/>
      <c r="CJ6" s="36" t="s">
        <v>5</v>
      </c>
      <c r="CK6" s="36" t="s">
        <v>6</v>
      </c>
      <c r="CL6" s="36" t="s">
        <v>7</v>
      </c>
      <c r="CM6" s="36" t="s">
        <v>8</v>
      </c>
      <c r="CN6" s="36" t="s">
        <v>9</v>
      </c>
      <c r="CO6" s="36" t="s">
        <v>10</v>
      </c>
      <c r="CP6" s="36" t="s">
        <v>11</v>
      </c>
      <c r="CQ6" s="36" t="s">
        <v>12</v>
      </c>
      <c r="CR6" s="36" t="s">
        <v>13</v>
      </c>
      <c r="CS6" s="36" t="s">
        <v>14</v>
      </c>
      <c r="CT6" s="36" t="s">
        <v>15</v>
      </c>
      <c r="CU6" s="36" t="s">
        <v>16</v>
      </c>
      <c r="CV6" s="36" t="s">
        <v>17</v>
      </c>
      <c r="CW6" s="36" t="s">
        <v>18</v>
      </c>
      <c r="CX6" s="36" t="s">
        <v>19</v>
      </c>
      <c r="CY6" s="36" t="s">
        <v>20</v>
      </c>
      <c r="CZ6" s="36" t="s">
        <v>21</v>
      </c>
      <c r="DA6" s="36" t="s">
        <v>22</v>
      </c>
      <c r="DB6" s="3" t="s">
        <v>353</v>
      </c>
      <c r="DC6" s="53" t="s">
        <v>338</v>
      </c>
      <c r="DD6" s="3" t="s">
        <v>339</v>
      </c>
      <c r="DE6" s="3" t="s">
        <v>340</v>
      </c>
    </row>
    <row r="7" spans="1:137" x14ac:dyDescent="0.2">
      <c r="A7" s="1" t="s">
        <v>269</v>
      </c>
      <c r="B7" s="101" t="s">
        <v>78</v>
      </c>
      <c r="C7" s="101" t="s">
        <v>78</v>
      </c>
      <c r="D7" s="1">
        <v>69125832</v>
      </c>
      <c r="E7" s="1" t="s">
        <v>77</v>
      </c>
      <c r="G7" s="1" t="s">
        <v>70</v>
      </c>
      <c r="H7" s="1" t="s">
        <v>71</v>
      </c>
      <c r="I7" s="1" t="s">
        <v>76</v>
      </c>
      <c r="K7" s="1" t="s">
        <v>265</v>
      </c>
      <c r="L7" s="1" t="s">
        <v>266</v>
      </c>
      <c r="M7" s="1">
        <v>10000000</v>
      </c>
      <c r="N7" s="1">
        <v>-14023419.939999999</v>
      </c>
      <c r="O7" s="42">
        <v>-1.4023419939999999</v>
      </c>
      <c r="P7" s="1">
        <v>-14021149.449999999</v>
      </c>
      <c r="Q7" s="42">
        <v>-1.4021149449999999</v>
      </c>
      <c r="R7" s="1">
        <v>-2270.4899999999998</v>
      </c>
      <c r="S7" s="42">
        <v>-2.2704899999999997E-4</v>
      </c>
      <c r="T7" s="196">
        <v>-1.4643660906681775</v>
      </c>
      <c r="U7" s="101">
        <v>2053.8523406082763</v>
      </c>
      <c r="W7" s="1" t="s">
        <v>79</v>
      </c>
      <c r="X7" s="1" t="s">
        <v>67</v>
      </c>
      <c r="Y7" s="1">
        <v>5.46</v>
      </c>
      <c r="AA7" s="1" t="s">
        <v>265</v>
      </c>
      <c r="AB7" s="1" t="s">
        <v>266</v>
      </c>
      <c r="AD7" s="1">
        <v>10000000</v>
      </c>
      <c r="AE7" s="1">
        <v>10479427.09</v>
      </c>
      <c r="AF7" s="42">
        <v>1.047942709</v>
      </c>
      <c r="AG7" s="1">
        <v>10476393.75</v>
      </c>
      <c r="AH7" s="42">
        <v>1.0476393749999999</v>
      </c>
      <c r="AI7" s="1">
        <v>3033.33</v>
      </c>
      <c r="AJ7" s="42">
        <v>3.0333299999999998E-4</v>
      </c>
      <c r="AK7" s="196">
        <v>1.4481573602793891</v>
      </c>
      <c r="AL7" s="101">
        <v>-1518.0357747238129</v>
      </c>
      <c r="AN7" s="48">
        <v>-3543992.85</v>
      </c>
      <c r="AO7" s="42">
        <v>-0.35439928500000001</v>
      </c>
      <c r="AP7" s="1">
        <v>-3544755.69</v>
      </c>
      <c r="AQ7" s="42">
        <v>-0.35447556899999999</v>
      </c>
      <c r="AR7" s="1">
        <v>762.84</v>
      </c>
      <c r="AS7" s="42">
        <v>7.6284000000000003E-5</v>
      </c>
      <c r="AT7" s="196">
        <v>-0.39564080968979021</v>
      </c>
      <c r="AU7" s="101">
        <v>535.81656588446344</v>
      </c>
      <c r="AW7" s="48">
        <f>+VLOOKUP(A7,Triopti!A:E,4,0)</f>
        <v>-3547451.0453499998</v>
      </c>
      <c r="AX7" s="42">
        <f>+AW7/M7</f>
        <v>-0.35474510453499997</v>
      </c>
      <c r="AZ7" s="42"/>
      <c r="BB7" s="42"/>
      <c r="BD7" s="1">
        <v>-3543005.4929010179</v>
      </c>
      <c r="BE7" s="42">
        <v>-0.3543005492901018</v>
      </c>
      <c r="BF7" s="1">
        <v>-3544487.7113506235</v>
      </c>
      <c r="BG7" s="42">
        <v>-0.35444877113506235</v>
      </c>
      <c r="BH7" s="1">
        <v>1482.2184496055788</v>
      </c>
      <c r="BI7" s="42">
        <v>1.4822184496055788E-4</v>
      </c>
      <c r="BK7" s="17">
        <f t="shared" ref="BK7:BL22" si="0">AN7-AW7</f>
        <v>3458.1953499997035</v>
      </c>
      <c r="BL7" s="52">
        <f t="shared" si="0"/>
        <v>3.4581953499995821E-4</v>
      </c>
      <c r="BN7" s="42"/>
      <c r="BP7" s="42"/>
      <c r="BQ7" s="1" t="str">
        <f t="shared" ref="BQ7:BQ12" si="1">IF(ABS(BL7)&gt;$DE7,"alerte","")</f>
        <v/>
      </c>
      <c r="BS7" s="1">
        <v>-987.35709898220375</v>
      </c>
      <c r="BT7" s="42">
        <v>-9.8735709898212232E-5</v>
      </c>
      <c r="BU7" s="1">
        <v>-267.97864937642589</v>
      </c>
      <c r="BV7" s="42">
        <v>-2.6797864937644356E-5</v>
      </c>
      <c r="BW7" s="1">
        <v>-719.37844960557879</v>
      </c>
      <c r="BX7" s="42">
        <v>-7.1937844960557874E-5</v>
      </c>
      <c r="CA7" s="1">
        <v>3543005.4929010179</v>
      </c>
      <c r="CB7" s="1">
        <v>0.3543005492901018</v>
      </c>
      <c r="CJ7" s="1" t="s">
        <v>53</v>
      </c>
      <c r="CK7" s="1" t="s">
        <v>268</v>
      </c>
      <c r="CL7" s="1" t="s">
        <v>51</v>
      </c>
      <c r="CM7" s="1" t="s">
        <v>267</v>
      </c>
      <c r="CN7" s="1" t="s">
        <v>55</v>
      </c>
      <c r="CO7" s="1" t="s">
        <v>106</v>
      </c>
      <c r="CP7" s="1" t="s">
        <v>57</v>
      </c>
      <c r="CQ7" s="1" t="s">
        <v>269</v>
      </c>
      <c r="DB7" s="17">
        <f>+AN7-N7-AE7</f>
        <v>0</v>
      </c>
      <c r="DC7" s="1" cm="1">
        <f t="array" ref="DC7">transformedate(L7)</f>
        <v>46280</v>
      </c>
      <c r="DD7" s="1">
        <f>+YEARFRAC(Main!$D$3,DC7)</f>
        <v>1.4583333333333333</v>
      </c>
      <c r="DE7" s="57" cm="1">
        <f t="array" ref="DE7">[1]!Seuilmaterialite(C7,D7,DD7)</f>
        <v>9.0000000000000011E-3</v>
      </c>
    </row>
    <row r="8" spans="1:137" x14ac:dyDescent="0.2">
      <c r="A8" s="1" t="s">
        <v>272</v>
      </c>
      <c r="B8" s="101" t="s">
        <v>78</v>
      </c>
      <c r="C8" s="101" t="s">
        <v>78</v>
      </c>
      <c r="D8" s="1">
        <v>69107271</v>
      </c>
      <c r="E8" s="1" t="s">
        <v>77</v>
      </c>
      <c r="G8" s="1" t="s">
        <v>70</v>
      </c>
      <c r="H8" s="1" t="s">
        <v>71</v>
      </c>
      <c r="I8" s="1" t="s">
        <v>76</v>
      </c>
      <c r="K8" s="1" t="s">
        <v>265</v>
      </c>
      <c r="L8" s="1" t="s">
        <v>266</v>
      </c>
      <c r="M8" s="1">
        <v>5600000</v>
      </c>
      <c r="N8" s="1">
        <v>-7853115.1600000001</v>
      </c>
      <c r="O8" s="42">
        <v>-1.4023419928571428</v>
      </c>
      <c r="P8" s="1">
        <v>-7851843.6900000004</v>
      </c>
      <c r="Q8" s="42">
        <v>-1.4021149446428571</v>
      </c>
      <c r="R8" s="1">
        <v>-1271.47</v>
      </c>
      <c r="S8" s="42">
        <v>-2.2704821428571429E-4</v>
      </c>
      <c r="T8" s="196">
        <v>-1.4643660906681537</v>
      </c>
      <c r="U8" s="101">
        <v>1150.4325541632249</v>
      </c>
      <c r="W8" s="1" t="s">
        <v>79</v>
      </c>
      <c r="X8" s="1" t="s">
        <v>67</v>
      </c>
      <c r="Y8" s="1">
        <v>5.6449999999999996</v>
      </c>
      <c r="AA8" s="1" t="s">
        <v>265</v>
      </c>
      <c r="AB8" s="1" t="s">
        <v>266</v>
      </c>
      <c r="AD8" s="1">
        <v>5600000</v>
      </c>
      <c r="AE8" s="1">
        <v>5883626.4699999997</v>
      </c>
      <c r="AF8" s="42">
        <v>1.0506475839285714</v>
      </c>
      <c r="AG8" s="1">
        <v>5881870.25</v>
      </c>
      <c r="AH8" s="42">
        <v>1.0503339732142858</v>
      </c>
      <c r="AI8" s="1">
        <v>1756.22</v>
      </c>
      <c r="AJ8" s="42">
        <v>3.1361071428571432E-4</v>
      </c>
      <c r="AK8" s="196">
        <v>1.4469605020171938</v>
      </c>
      <c r="AL8" s="101">
        <v>-851.59744372721764</v>
      </c>
      <c r="AN8" s="48">
        <v>-1969488.69</v>
      </c>
      <c r="AO8" s="42">
        <v>-0.3516944089285714</v>
      </c>
      <c r="AP8" s="1">
        <v>-1969973.44</v>
      </c>
      <c r="AQ8" s="42">
        <v>-0.3517809714285714</v>
      </c>
      <c r="AR8" s="1">
        <v>484.75</v>
      </c>
      <c r="AS8" s="42">
        <v>8.6562499999999997E-5</v>
      </c>
      <c r="AT8" s="196">
        <v>-0.39472281701014722</v>
      </c>
      <c r="AU8" s="101">
        <v>298.83511043600731</v>
      </c>
      <c r="AW8" s="48">
        <f>+VLOOKUP(A8,Triopti!A:E,4,0)</f>
        <v>-1971424.9786939998</v>
      </c>
      <c r="AX8" s="42">
        <f t="shared" ref="AX8:AX33" si="2">+AW8/M8</f>
        <v>-0.35204017476678567</v>
      </c>
      <c r="AZ8" s="42"/>
      <c r="BB8" s="42"/>
      <c r="BD8" s="1">
        <v>-1970758.4552510201</v>
      </c>
      <c r="BE8" s="42">
        <v>-0.35192115272339647</v>
      </c>
      <c r="BF8" s="1">
        <v>-1971702.9943171158</v>
      </c>
      <c r="BG8" s="42">
        <v>-0.35208982041377068</v>
      </c>
      <c r="BH8" s="1">
        <v>944.53906609542435</v>
      </c>
      <c r="BI8" s="42">
        <v>1.6866769037418293E-4</v>
      </c>
      <c r="BK8" s="17">
        <f t="shared" si="0"/>
        <v>1936.2886939998716</v>
      </c>
      <c r="BL8" s="52">
        <f t="shared" si="0"/>
        <v>3.4576583821427365E-4</v>
      </c>
      <c r="BN8" s="42"/>
      <c r="BP8" s="42"/>
      <c r="BQ8" s="1" t="str">
        <f t="shared" si="1"/>
        <v/>
      </c>
      <c r="BS8" s="1">
        <v>1269.7652510202024</v>
      </c>
      <c r="BT8" s="42">
        <v>2.2674379482506835E-4</v>
      </c>
      <c r="BU8" s="1">
        <v>1729.554317115806</v>
      </c>
      <c r="BV8" s="42">
        <v>3.0884898519928372E-4</v>
      </c>
      <c r="BW8" s="1">
        <v>-459.78906609542435</v>
      </c>
      <c r="BX8" s="42">
        <v>-8.2105190374182931E-5</v>
      </c>
      <c r="CA8" s="1">
        <v>1970758.4552510201</v>
      </c>
      <c r="CB8" s="1">
        <v>0.35192115272339647</v>
      </c>
      <c r="CJ8" s="1" t="s">
        <v>53</v>
      </c>
      <c r="CK8" s="1" t="s">
        <v>271</v>
      </c>
      <c r="CL8" s="1" t="s">
        <v>51</v>
      </c>
      <c r="CM8" s="1" t="s">
        <v>270</v>
      </c>
      <c r="CN8" s="1" t="s">
        <v>55</v>
      </c>
      <c r="CO8" s="1" t="s">
        <v>106</v>
      </c>
      <c r="CP8" s="1" t="s">
        <v>57</v>
      </c>
      <c r="CQ8" s="1" t="s">
        <v>272</v>
      </c>
      <c r="DB8" s="17">
        <f t="shared" ref="DB8:DB17" si="3">+AN8-N8-AE8</f>
        <v>0</v>
      </c>
      <c r="DC8" s="1" cm="1">
        <f t="array" ref="DC8">transformedate(L8)</f>
        <v>46280</v>
      </c>
      <c r="DD8" s="1">
        <f>+YEARFRAC(Main!$D$3,DC8)</f>
        <v>1.4583333333333333</v>
      </c>
      <c r="DE8" s="57" cm="1">
        <f t="array" ref="DE8">[1]!Seuilmaterialite(C8,D8,DD8)</f>
        <v>9.0000000000000011E-3</v>
      </c>
    </row>
    <row r="9" spans="1:137" x14ac:dyDescent="0.2">
      <c r="A9" s="1" t="s">
        <v>277</v>
      </c>
      <c r="B9" s="101" t="s">
        <v>78</v>
      </c>
      <c r="C9" s="101" t="s">
        <v>78</v>
      </c>
      <c r="D9" s="1">
        <v>69047849</v>
      </c>
      <c r="E9" s="1" t="s">
        <v>92</v>
      </c>
      <c r="G9" s="1" t="s">
        <v>70</v>
      </c>
      <c r="H9" s="1" t="s">
        <v>71</v>
      </c>
      <c r="I9" s="1" t="s">
        <v>76</v>
      </c>
      <c r="K9" s="1" t="s">
        <v>273</v>
      </c>
      <c r="L9" s="1" t="s">
        <v>274</v>
      </c>
      <c r="M9" s="1">
        <v>30000000</v>
      </c>
      <c r="N9" s="1">
        <v>-42572079.859999999</v>
      </c>
      <c r="O9" s="42">
        <v>-1.4190693286666667</v>
      </c>
      <c r="P9" s="1">
        <v>-42088324.780000001</v>
      </c>
      <c r="Q9" s="42">
        <v>-1.4029441593333334</v>
      </c>
      <c r="R9" s="1">
        <v>-483755.08</v>
      </c>
      <c r="S9" s="42">
        <v>-1.6125169333333335E-2</v>
      </c>
      <c r="T9" s="196">
        <v>-2.2826072891637894</v>
      </c>
      <c r="U9" s="101">
        <v>9771.0951139710851</v>
      </c>
      <c r="W9" s="1" t="s">
        <v>79</v>
      </c>
      <c r="X9" s="1" t="s">
        <v>67</v>
      </c>
      <c r="Y9" s="1">
        <v>3.2075</v>
      </c>
      <c r="AA9" s="1" t="s">
        <v>273</v>
      </c>
      <c r="AB9" s="1" t="s">
        <v>274</v>
      </c>
      <c r="AD9" s="1">
        <v>30000000</v>
      </c>
      <c r="AE9" s="1">
        <v>31289964.68</v>
      </c>
      <c r="AF9" s="42">
        <v>1.0429988226666667</v>
      </c>
      <c r="AG9" s="1">
        <v>30664502.18</v>
      </c>
      <c r="AH9" s="42">
        <v>1.0221500726666666</v>
      </c>
      <c r="AI9" s="1">
        <v>625462.5</v>
      </c>
      <c r="AJ9" s="42">
        <v>2.0848749999999999E-2</v>
      </c>
      <c r="AK9" s="196">
        <v>2.2449349682272093</v>
      </c>
      <c r="AL9" s="101">
        <v>-7025.7257283963263</v>
      </c>
      <c r="AN9" s="48">
        <v>-11282115.189999999</v>
      </c>
      <c r="AO9" s="42">
        <v>-0.37607050633333333</v>
      </c>
      <c r="AP9" s="1">
        <v>-11423822.6</v>
      </c>
      <c r="AQ9" s="42">
        <v>-0.38079408666666664</v>
      </c>
      <c r="AR9" s="1">
        <v>141707.42000000001</v>
      </c>
      <c r="AS9" s="42">
        <v>4.723580666666667E-3</v>
      </c>
      <c r="AT9" s="196">
        <v>-0.66136219829695464</v>
      </c>
      <c r="AU9" s="101">
        <v>2745.3693855747588</v>
      </c>
      <c r="AW9" s="48">
        <f>+VLOOKUP(A9,Triopti!A:E,4,0)</f>
        <v>-11379259.09</v>
      </c>
      <c r="AX9" s="42">
        <f t="shared" si="2"/>
        <v>-0.37930863633333334</v>
      </c>
      <c r="AZ9" s="42"/>
      <c r="BB9" s="42"/>
      <c r="BD9" s="1">
        <v>-11510830.111612696</v>
      </c>
      <c r="BE9" s="42">
        <v>-0.38369433705375655</v>
      </c>
      <c r="BF9" s="1">
        <v>-11642748.606053226</v>
      </c>
      <c r="BG9" s="42">
        <v>-0.38809162020177418</v>
      </c>
      <c r="BH9" s="1">
        <v>131918.49444052915</v>
      </c>
      <c r="BI9" s="42">
        <v>4.3972831480176382E-3</v>
      </c>
      <c r="BK9" s="17">
        <f t="shared" si="0"/>
        <v>97143.900000000373</v>
      </c>
      <c r="BL9" s="52">
        <f t="shared" si="0"/>
        <v>3.2381300000000057E-3</v>
      </c>
      <c r="BN9" s="42"/>
      <c r="BP9" s="42"/>
      <c r="BQ9" s="1" t="str">
        <f t="shared" si="1"/>
        <v/>
      </c>
      <c r="BS9" s="1">
        <v>228714.92161269672</v>
      </c>
      <c r="BT9" s="42">
        <v>7.6238307204232192E-3</v>
      </c>
      <c r="BU9" s="1">
        <v>218926.00605322607</v>
      </c>
      <c r="BV9" s="42">
        <v>7.2975335351075366E-3</v>
      </c>
      <c r="BW9" s="1">
        <v>9788.9255594708666</v>
      </c>
      <c r="BX9" s="42">
        <v>3.262975186490288E-4</v>
      </c>
      <c r="CA9" s="1">
        <v>11510830.111612696</v>
      </c>
      <c r="CB9" s="1">
        <v>0.38369433705375655</v>
      </c>
      <c r="CJ9" s="1" t="s">
        <v>53</v>
      </c>
      <c r="CK9" s="1" t="s">
        <v>276</v>
      </c>
      <c r="CL9" s="1" t="s">
        <v>51</v>
      </c>
      <c r="CM9" s="1" t="s">
        <v>275</v>
      </c>
      <c r="CN9" s="1" t="s">
        <v>55</v>
      </c>
      <c r="CO9" s="1" t="s">
        <v>96</v>
      </c>
      <c r="CP9" s="1" t="s">
        <v>57</v>
      </c>
      <c r="CQ9" s="1" t="s">
        <v>277</v>
      </c>
      <c r="DB9" s="17">
        <f t="shared" si="3"/>
        <v>-9.9999979138374329E-3</v>
      </c>
      <c r="DC9" s="1" cm="1">
        <f t="array" ref="DC9">transformedate(L9)</f>
        <v>46594</v>
      </c>
      <c r="DD9" s="1">
        <f>+YEARFRAC(Main!$D$3,DC9)</f>
        <v>2.3222222222222224</v>
      </c>
      <c r="DE9" s="57" cm="1">
        <f t="array" ref="DE9">[1]!Seuilmaterialite(C9,D9,DD9)</f>
        <v>9.0000000000000011E-3</v>
      </c>
    </row>
    <row r="10" spans="1:137" x14ac:dyDescent="0.2">
      <c r="A10" s="1" t="s">
        <v>280</v>
      </c>
      <c r="B10" s="101" t="s">
        <v>78</v>
      </c>
      <c r="C10" s="101" t="s">
        <v>78</v>
      </c>
      <c r="D10" s="1">
        <v>69129589</v>
      </c>
      <c r="E10" s="1" t="s">
        <v>92</v>
      </c>
      <c r="G10" s="1" t="s">
        <v>70</v>
      </c>
      <c r="H10" s="1" t="s">
        <v>71</v>
      </c>
      <c r="I10" s="1" t="s">
        <v>76</v>
      </c>
      <c r="K10" s="1" t="s">
        <v>265</v>
      </c>
      <c r="L10" s="1" t="s">
        <v>266</v>
      </c>
      <c r="M10" s="1">
        <v>10341000</v>
      </c>
      <c r="N10" s="1">
        <v>-14501618.560000001</v>
      </c>
      <c r="O10" s="42">
        <v>-1.4023419940044484</v>
      </c>
      <c r="P10" s="1">
        <v>-14499270.640000001</v>
      </c>
      <c r="Q10" s="42">
        <v>-1.4021149443960932</v>
      </c>
      <c r="R10" s="1">
        <v>-2347.91</v>
      </c>
      <c r="S10" s="42">
        <v>-2.2704864133062566E-4</v>
      </c>
      <c r="T10" s="196">
        <v>-1.4643660906681066</v>
      </c>
      <c r="U10" s="101">
        <v>2123.8886887438593</v>
      </c>
      <c r="W10" s="1" t="s">
        <v>79</v>
      </c>
      <c r="X10" s="1" t="s">
        <v>67</v>
      </c>
      <c r="Y10" s="1">
        <v>5.5</v>
      </c>
      <c r="AA10" s="1" t="s">
        <v>265</v>
      </c>
      <c r="AB10" s="1" t="s">
        <v>266</v>
      </c>
      <c r="AD10" s="1">
        <v>10341000</v>
      </c>
      <c r="AE10" s="1">
        <v>10842823.359999999</v>
      </c>
      <c r="AF10" s="42">
        <v>1.0485275466589303</v>
      </c>
      <c r="AG10" s="1">
        <v>10839663.609999999</v>
      </c>
      <c r="AH10" s="42">
        <v>1.0482219911033748</v>
      </c>
      <c r="AI10" s="1">
        <v>3159.75</v>
      </c>
      <c r="AJ10" s="42">
        <v>3.0555555555555555E-4</v>
      </c>
      <c r="AK10" s="196">
        <v>1.4478980550722753</v>
      </c>
      <c r="AL10" s="101">
        <v>-1570.3986601085403</v>
      </c>
      <c r="AN10" s="48">
        <v>-3658795.2</v>
      </c>
      <c r="AO10" s="42">
        <v>-0.35381444734551787</v>
      </c>
      <c r="AP10" s="1">
        <v>-3659607.03</v>
      </c>
      <c r="AQ10" s="42">
        <v>-0.3538929532927183</v>
      </c>
      <c r="AR10" s="1">
        <v>811.84</v>
      </c>
      <c r="AS10" s="42">
        <v>7.8506914224929888E-5</v>
      </c>
      <c r="AT10" s="196">
        <v>-0.39538528519274774</v>
      </c>
      <c r="AU10" s="101">
        <v>553.49002863531905</v>
      </c>
      <c r="AW10" s="48">
        <f>+VLOOKUP(A10,Triopti!A:E,4,0)</f>
        <v>-3659680.74</v>
      </c>
      <c r="AX10" s="42">
        <f t="shared" si="2"/>
        <v>-0.35390008123005512</v>
      </c>
      <c r="AZ10" s="42"/>
      <c r="BB10" s="42"/>
      <c r="BD10" s="1">
        <v>-3657751.3284794167</v>
      </c>
      <c r="BE10" s="42">
        <v>-0.3537135024155707</v>
      </c>
      <c r="BF10" s="1">
        <v>-3659330.0506153833</v>
      </c>
      <c r="BG10" s="42">
        <v>-0.3538661687085759</v>
      </c>
      <c r="BH10" s="1">
        <v>1578.7221359668119</v>
      </c>
      <c r="BI10" s="42">
        <v>1.5266629300520374E-4</v>
      </c>
      <c r="BK10" s="17">
        <f t="shared" si="0"/>
        <v>885.54000000003725</v>
      </c>
      <c r="BL10" s="52">
        <f t="shared" si="0"/>
        <v>8.5633884537250626E-5</v>
      </c>
      <c r="BN10" s="42"/>
      <c r="BP10" s="42"/>
      <c r="BQ10" s="1" t="str">
        <f t="shared" si="1"/>
        <v/>
      </c>
      <c r="BS10" s="1">
        <v>-1043.8715205835178</v>
      </c>
      <c r="BT10" s="42">
        <v>-1.0094492994716653E-4</v>
      </c>
      <c r="BU10" s="1">
        <v>-276.979384616483</v>
      </c>
      <c r="BV10" s="42">
        <v>-2.6784584142403034E-5</v>
      </c>
      <c r="BW10" s="1">
        <v>-766.88213596681192</v>
      </c>
      <c r="BX10" s="42">
        <v>-7.4159378780273849E-5</v>
      </c>
      <c r="CA10" s="1">
        <v>3657751.3284794167</v>
      </c>
      <c r="CB10" s="1">
        <v>0.3537135024155707</v>
      </c>
      <c r="CJ10" s="1" t="s">
        <v>53</v>
      </c>
      <c r="CK10" s="1" t="s">
        <v>279</v>
      </c>
      <c r="CL10" s="1" t="s">
        <v>51</v>
      </c>
      <c r="CM10" s="1" t="s">
        <v>278</v>
      </c>
      <c r="CN10" s="1" t="s">
        <v>55</v>
      </c>
      <c r="CO10" s="1" t="s">
        <v>96</v>
      </c>
      <c r="CP10" s="1" t="s">
        <v>57</v>
      </c>
      <c r="CQ10" s="1" t="s">
        <v>280</v>
      </c>
      <c r="DB10" s="17">
        <f t="shared" si="3"/>
        <v>0</v>
      </c>
      <c r="DC10" s="1" cm="1">
        <f t="array" ref="DC10">transformedate(L10)</f>
        <v>46280</v>
      </c>
      <c r="DD10" s="1">
        <f>+YEARFRAC(Main!$D$3,DC10)</f>
        <v>1.4583333333333333</v>
      </c>
      <c r="DE10" s="57" cm="1">
        <f t="array" ref="DE10">[1]!Seuilmaterialite(C10,D10,DD10)</f>
        <v>9.0000000000000011E-3</v>
      </c>
    </row>
    <row r="11" spans="1:137" x14ac:dyDescent="0.2">
      <c r="A11" s="1" t="s">
        <v>283</v>
      </c>
      <c r="B11" s="101" t="s">
        <v>78</v>
      </c>
      <c r="C11" s="101" t="s">
        <v>78</v>
      </c>
      <c r="D11" s="1">
        <v>69112905</v>
      </c>
      <c r="E11" s="1" t="s">
        <v>92</v>
      </c>
      <c r="G11" s="1" t="s">
        <v>70</v>
      </c>
      <c r="H11" s="1" t="s">
        <v>71</v>
      </c>
      <c r="I11" s="1" t="s">
        <v>76</v>
      </c>
      <c r="K11" s="1" t="s">
        <v>265</v>
      </c>
      <c r="L11" s="1" t="s">
        <v>266</v>
      </c>
      <c r="M11" s="1">
        <v>20000000</v>
      </c>
      <c r="N11" s="1">
        <v>-28046839.870000001</v>
      </c>
      <c r="O11" s="42">
        <v>-1.4023419935000001</v>
      </c>
      <c r="P11" s="1">
        <v>-28042298.890000001</v>
      </c>
      <c r="Q11" s="42">
        <v>-1.4021149445000001</v>
      </c>
      <c r="R11" s="1">
        <v>-4540.9799999999996</v>
      </c>
      <c r="S11" s="42">
        <v>-2.2704899999999997E-4</v>
      </c>
      <c r="T11" s="196">
        <v>-1.4643660906681386</v>
      </c>
      <c r="U11" s="101">
        <v>4107.7046489583327</v>
      </c>
      <c r="W11" s="1" t="s">
        <v>79</v>
      </c>
      <c r="X11" s="1" t="s">
        <v>67</v>
      </c>
      <c r="Y11" s="1">
        <v>5.5774999999999997</v>
      </c>
      <c r="AA11" s="1" t="s">
        <v>265</v>
      </c>
      <c r="AB11" s="1" t="s">
        <v>266</v>
      </c>
      <c r="AD11" s="1">
        <v>20000000</v>
      </c>
      <c r="AE11" s="1">
        <v>20993213.399999999</v>
      </c>
      <c r="AF11" s="42">
        <v>1.04966067</v>
      </c>
      <c r="AG11" s="1">
        <v>20987016.18</v>
      </c>
      <c r="AH11" s="42">
        <v>1.0493508089999999</v>
      </c>
      <c r="AI11" s="1">
        <v>6197.22</v>
      </c>
      <c r="AJ11" s="42">
        <v>3.0986100000000003E-4</v>
      </c>
      <c r="AK11" s="196">
        <v>1.4473964763502563</v>
      </c>
      <c r="AL11" s="101">
        <v>-3039.4681838318706</v>
      </c>
      <c r="AN11" s="48">
        <v>-7053626.4699999997</v>
      </c>
      <c r="AO11" s="42">
        <v>-0.35268132349999998</v>
      </c>
      <c r="AP11" s="1">
        <v>-7055282.71</v>
      </c>
      <c r="AQ11" s="42">
        <v>-0.35276413550000002</v>
      </c>
      <c r="AR11" s="1">
        <v>1656.24</v>
      </c>
      <c r="AS11" s="42">
        <v>8.2812000000000006E-5</v>
      </c>
      <c r="AT11" s="196">
        <v>-0.39488959215904673</v>
      </c>
      <c r="AU11" s="101">
        <v>1068.236465126462</v>
      </c>
      <c r="AW11" s="48">
        <f>+VLOOKUP(A11,Triopti!A:E,4,0)</f>
        <v>-7055338.8399999999</v>
      </c>
      <c r="AX11" s="42">
        <f t="shared" si="2"/>
        <v>-0.35276694199999997</v>
      </c>
      <c r="AZ11" s="42"/>
      <c r="BB11" s="42"/>
      <c r="BD11" s="1">
        <v>-7051522.4087297916</v>
      </c>
      <c r="BE11" s="42">
        <v>-0.35257612043648956</v>
      </c>
      <c r="BF11" s="1">
        <v>-7054747.9568121182</v>
      </c>
      <c r="BG11" s="42">
        <v>-0.35273739784060593</v>
      </c>
      <c r="BH11" s="1">
        <v>3225.5480823262969</v>
      </c>
      <c r="BI11" s="42">
        <v>1.6127740411631486E-4</v>
      </c>
      <c r="BK11" s="17">
        <f t="shared" si="0"/>
        <v>1712.3700000001118</v>
      </c>
      <c r="BL11" s="52">
        <f t="shared" si="0"/>
        <v>8.5618499999995379E-5</v>
      </c>
      <c r="BN11" s="42"/>
      <c r="BP11" s="42"/>
      <c r="BQ11" s="1" t="str">
        <f t="shared" si="1"/>
        <v/>
      </c>
      <c r="BS11" s="1">
        <v>-2104.061270208098</v>
      </c>
      <c r="BT11" s="42">
        <v>-1.0520306351041731E-4</v>
      </c>
      <c r="BU11" s="1">
        <v>-534.75318788178265</v>
      </c>
      <c r="BV11" s="42">
        <v>-2.6737659394093782E-5</v>
      </c>
      <c r="BW11" s="1">
        <v>-1569.3080823262969</v>
      </c>
      <c r="BX11" s="42">
        <v>-7.8465404116314849E-5</v>
      </c>
      <c r="CA11" s="1">
        <v>7051522.4087297916</v>
      </c>
      <c r="CB11" s="1">
        <v>0.35257612043648956</v>
      </c>
      <c r="CJ11" s="1" t="s">
        <v>53</v>
      </c>
      <c r="CK11" s="1" t="s">
        <v>282</v>
      </c>
      <c r="CL11" s="1" t="s">
        <v>51</v>
      </c>
      <c r="CM11" s="1" t="s">
        <v>281</v>
      </c>
      <c r="CN11" s="1" t="s">
        <v>55</v>
      </c>
      <c r="CO11" s="1" t="s">
        <v>96</v>
      </c>
      <c r="CP11" s="1" t="s">
        <v>57</v>
      </c>
      <c r="CQ11" s="1" t="s">
        <v>283</v>
      </c>
      <c r="DB11" s="17">
        <f t="shared" si="3"/>
        <v>0</v>
      </c>
      <c r="DC11" s="1" cm="1">
        <f t="array" ref="DC11">transformedate(L11)</f>
        <v>46280</v>
      </c>
      <c r="DD11" s="1">
        <f>+YEARFRAC(Main!$D$3,DC11)</f>
        <v>1.4583333333333333</v>
      </c>
      <c r="DE11" s="57" cm="1">
        <f t="array" ref="DE11">[1]!Seuilmaterialite(C11,D11,DD11)</f>
        <v>9.0000000000000011E-3</v>
      </c>
    </row>
    <row r="12" spans="1:137" x14ac:dyDescent="0.2">
      <c r="A12" s="1" t="s">
        <v>286</v>
      </c>
      <c r="B12" s="101" t="s">
        <v>78</v>
      </c>
      <c r="C12" s="101" t="s">
        <v>78</v>
      </c>
      <c r="D12" s="1">
        <v>69110258</v>
      </c>
      <c r="E12" s="1" t="s">
        <v>92</v>
      </c>
      <c r="G12" s="1" t="s">
        <v>70</v>
      </c>
      <c r="H12" s="1" t="s">
        <v>71</v>
      </c>
      <c r="I12" s="1" t="s">
        <v>76</v>
      </c>
      <c r="K12" s="1" t="s">
        <v>265</v>
      </c>
      <c r="L12" s="1" t="s">
        <v>266</v>
      </c>
      <c r="M12" s="1">
        <v>15500000</v>
      </c>
      <c r="N12" s="1">
        <v>-21736300.899999999</v>
      </c>
      <c r="O12" s="42">
        <v>-1.402341993548387</v>
      </c>
      <c r="P12" s="1">
        <v>-21732781.640000001</v>
      </c>
      <c r="Q12" s="42">
        <v>-1.4021149445161292</v>
      </c>
      <c r="R12" s="1">
        <v>-3519.26</v>
      </c>
      <c r="S12" s="42">
        <v>-2.2704903225806452E-4</v>
      </c>
      <c r="T12" s="196">
        <v>-1.4643660906682268</v>
      </c>
      <c r="U12" s="101">
        <v>3183.4711029428991</v>
      </c>
      <c r="W12" s="1" t="s">
        <v>79</v>
      </c>
      <c r="X12" s="1" t="s">
        <v>67</v>
      </c>
      <c r="Y12" s="1">
        <v>5.65</v>
      </c>
      <c r="AA12" s="1" t="s">
        <v>265</v>
      </c>
      <c r="AB12" s="1" t="s">
        <v>266</v>
      </c>
      <c r="AD12" s="1">
        <v>15500000</v>
      </c>
      <c r="AE12" s="1">
        <v>16286170.68</v>
      </c>
      <c r="AF12" s="42">
        <v>1.050720689032258</v>
      </c>
      <c r="AG12" s="1">
        <v>16281305.4</v>
      </c>
      <c r="AH12" s="42">
        <v>1.0504068</v>
      </c>
      <c r="AI12" s="1">
        <v>4865.28</v>
      </c>
      <c r="AJ12" s="42">
        <v>3.1388903225806452E-4</v>
      </c>
      <c r="AK12" s="196">
        <v>1.4469282403147874</v>
      </c>
      <c r="AL12" s="101">
        <v>-2357.2120841251685</v>
      </c>
      <c r="AN12" s="48">
        <v>-5450130.2199999997</v>
      </c>
      <c r="AO12" s="42">
        <v>-0.351621304516129</v>
      </c>
      <c r="AP12" s="1">
        <v>-5451476.2400000002</v>
      </c>
      <c r="AQ12" s="42">
        <v>-0.35170814451612903</v>
      </c>
      <c r="AR12" s="1">
        <v>1346.02</v>
      </c>
      <c r="AS12" s="42">
        <v>8.6840000000000002E-5</v>
      </c>
      <c r="AT12" s="196">
        <v>-0.39442512401121493</v>
      </c>
      <c r="AU12" s="101">
        <v>826.25901881773052</v>
      </c>
      <c r="AW12" s="48">
        <f>+VLOOKUP(A12,Triopti!A:E,4,0)</f>
        <v>-5451457.0899999999</v>
      </c>
      <c r="AX12" s="42">
        <f t="shared" si="2"/>
        <v>-0.35170690903225804</v>
      </c>
      <c r="AZ12" s="42"/>
      <c r="BB12" s="42"/>
      <c r="BD12" s="1">
        <v>-5448437.8280689083</v>
      </c>
      <c r="BE12" s="42">
        <v>-0.35151211793992959</v>
      </c>
      <c r="BF12" s="1">
        <v>-5451062.4889438227</v>
      </c>
      <c r="BG12" s="42">
        <v>-0.35168145089960146</v>
      </c>
      <c r="BH12" s="1">
        <v>2624.6608749139914</v>
      </c>
      <c r="BI12" s="42">
        <v>1.6933295967187041E-4</v>
      </c>
      <c r="BK12" s="17">
        <f t="shared" si="0"/>
        <v>1326.8700000001118</v>
      </c>
      <c r="BL12" s="52">
        <f t="shared" si="0"/>
        <v>8.5604516129045294E-5</v>
      </c>
      <c r="BN12" s="42"/>
      <c r="BP12" s="42"/>
      <c r="BQ12" s="1" t="str">
        <f t="shared" si="1"/>
        <v/>
      </c>
      <c r="BS12" s="1">
        <v>-1692.3919310914353</v>
      </c>
      <c r="BT12" s="42">
        <v>-1.0918657619940486E-4</v>
      </c>
      <c r="BU12" s="1">
        <v>-413.75105617754161</v>
      </c>
      <c r="BV12" s="42">
        <v>-2.6693616527573294E-5</v>
      </c>
      <c r="BW12" s="1">
        <v>-1278.6408749139914</v>
      </c>
      <c r="BX12" s="42">
        <v>-8.2492959671870409E-5</v>
      </c>
      <c r="CA12" s="1">
        <v>5448437.8280689083</v>
      </c>
      <c r="CB12" s="1">
        <v>0.35151211793992959</v>
      </c>
      <c r="CJ12" s="1" t="s">
        <v>53</v>
      </c>
      <c r="CK12" s="1" t="s">
        <v>285</v>
      </c>
      <c r="CL12" s="1" t="s">
        <v>51</v>
      </c>
      <c r="CM12" s="1" t="s">
        <v>284</v>
      </c>
      <c r="CN12" s="1" t="s">
        <v>55</v>
      </c>
      <c r="CO12" s="1" t="s">
        <v>96</v>
      </c>
      <c r="CP12" s="1" t="s">
        <v>57</v>
      </c>
      <c r="CQ12" s="1" t="s">
        <v>286</v>
      </c>
      <c r="DB12" s="17">
        <f t="shared" si="3"/>
        <v>0</v>
      </c>
      <c r="DC12" s="1" cm="1">
        <f t="array" ref="DC12">transformedate(L12)</f>
        <v>46280</v>
      </c>
      <c r="DD12" s="1">
        <f>+YEARFRAC(Main!$D$3,DC12)</f>
        <v>1.4583333333333333</v>
      </c>
      <c r="DE12" s="57" cm="1">
        <f t="array" ref="DE12">[1]!Seuilmaterialite(C12,D12,DD12)</f>
        <v>9.0000000000000011E-3</v>
      </c>
    </row>
    <row r="13" spans="1:137" ht="15" x14ac:dyDescent="0.25">
      <c r="A13" s="1" t="s">
        <v>289</v>
      </c>
      <c r="B13" s="101" t="s">
        <v>78</v>
      </c>
      <c r="C13" s="101" t="s">
        <v>78</v>
      </c>
      <c r="D13" s="1">
        <v>69024711</v>
      </c>
      <c r="E13" s="1" t="s">
        <v>157</v>
      </c>
      <c r="G13" s="1" t="s">
        <v>70</v>
      </c>
      <c r="H13" s="1" t="s">
        <v>71</v>
      </c>
      <c r="I13" s="1" t="s">
        <v>259</v>
      </c>
      <c r="K13" s="1" t="s">
        <v>260</v>
      </c>
      <c r="L13" s="1" t="s">
        <v>261</v>
      </c>
      <c r="M13" s="1">
        <v>40000000</v>
      </c>
      <c r="N13" s="1">
        <v>-68686289.189999998</v>
      </c>
      <c r="O13" s="42">
        <v>-1.71715722975</v>
      </c>
      <c r="P13" s="1">
        <v>-67374847.950000003</v>
      </c>
      <c r="Q13" s="42">
        <v>-1.6843711987500001</v>
      </c>
      <c r="R13" s="1">
        <v>-1311441.24</v>
      </c>
      <c r="S13" s="42">
        <v>-3.2786031E-2</v>
      </c>
      <c r="T13" s="196">
        <v>-4.0287653314384482</v>
      </c>
      <c r="U13" s="101">
        <v>27576.098217145354</v>
      </c>
      <c r="W13" s="1" t="s">
        <v>79</v>
      </c>
      <c r="X13" s="1" t="s">
        <v>67</v>
      </c>
      <c r="Y13" s="1">
        <v>3.4224999999999999</v>
      </c>
      <c r="AA13" s="1" t="s">
        <v>260</v>
      </c>
      <c r="AB13" s="1" t="s">
        <v>261</v>
      </c>
      <c r="AD13" s="1">
        <v>40000000</v>
      </c>
      <c r="AE13" s="1">
        <v>42759948.450000003</v>
      </c>
      <c r="AF13" s="42">
        <v>1.0689987112500001</v>
      </c>
      <c r="AG13" s="1">
        <v>41870098.450000003</v>
      </c>
      <c r="AH13" s="42">
        <v>1.0467524612500001</v>
      </c>
      <c r="AI13" s="1">
        <v>889850</v>
      </c>
      <c r="AJ13" s="42">
        <v>2.2246249999999999E-2</v>
      </c>
      <c r="AK13" s="196">
        <v>4.0119335434383778</v>
      </c>
      <c r="AL13" s="101">
        <v>-17092.413541138172</v>
      </c>
      <c r="AN13" s="48">
        <v>-25926340.739999998</v>
      </c>
      <c r="AO13" s="42">
        <v>-0.64815851849999995</v>
      </c>
      <c r="AP13" s="1">
        <v>-25504749.510000002</v>
      </c>
      <c r="AQ13" s="42">
        <v>-0.63761873775</v>
      </c>
      <c r="AR13" s="1">
        <v>-421591.24</v>
      </c>
      <c r="AS13" s="42">
        <v>-1.0539781E-2</v>
      </c>
      <c r="AT13" s="196">
        <v>-1.5921984429742848</v>
      </c>
      <c r="AU13" s="101">
        <v>10483.684676007182</v>
      </c>
      <c r="AW13" s="48">
        <f>+VLOOKUP(A13,Triopti!A:E,4,0)</f>
        <v>-25700771.426013</v>
      </c>
      <c r="AX13" s="42">
        <f t="shared" si="2"/>
        <v>-0.64251928565032501</v>
      </c>
      <c r="AZ13" s="42"/>
      <c r="BB13" s="42"/>
      <c r="BD13" s="1">
        <v>-25844083.206257109</v>
      </c>
      <c r="BE13" s="42">
        <v>-0.64610208015642767</v>
      </c>
      <c r="BF13" s="1">
        <v>-25405954.324758124</v>
      </c>
      <c r="BG13" s="42">
        <v>-0.63514885811895305</v>
      </c>
      <c r="BH13" s="1">
        <v>-438128.8814989829</v>
      </c>
      <c r="BI13" s="42">
        <v>-1.0953222037474572E-2</v>
      </c>
      <c r="BK13" s="17">
        <f t="shared" si="0"/>
        <v>-225569.31398699805</v>
      </c>
      <c r="BL13" s="52">
        <f t="shared" si="0"/>
        <v>-5.6392328496749355E-3</v>
      </c>
      <c r="BN13" s="42"/>
      <c r="BP13" s="42"/>
      <c r="BQ13" s="1" t="str">
        <f>IF(ABS(BL13)&gt;$DE13,"alerte","")</f>
        <v>alerte</v>
      </c>
      <c r="BS13" s="1">
        <v>-82257.533742889762</v>
      </c>
      <c r="BT13" s="42">
        <v>-2.0564383435722755E-3</v>
      </c>
      <c r="BU13" s="1">
        <v>-98795.185241878033</v>
      </c>
      <c r="BV13" s="42">
        <v>-2.4698796310469451E-3</v>
      </c>
      <c r="BW13" s="1">
        <v>16537.641498982906</v>
      </c>
      <c r="BX13" s="42">
        <v>4.1344103747457256E-4</v>
      </c>
      <c r="CA13" s="1">
        <v>25844083.206257109</v>
      </c>
      <c r="CB13" s="1">
        <v>0.64610208015642767</v>
      </c>
      <c r="CH13" s="203" t="s">
        <v>1634</v>
      </c>
      <c r="CJ13" s="1" t="s">
        <v>53</v>
      </c>
      <c r="CK13" s="1" t="s">
        <v>288</v>
      </c>
      <c r="CL13" s="1" t="s">
        <v>51</v>
      </c>
      <c r="CM13" s="1" t="s">
        <v>287</v>
      </c>
      <c r="CN13" s="1" t="s">
        <v>55</v>
      </c>
      <c r="CO13" s="1" t="s">
        <v>160</v>
      </c>
      <c r="CP13" s="1" t="s">
        <v>57</v>
      </c>
      <c r="CQ13" s="1" t="s">
        <v>289</v>
      </c>
      <c r="DB13" s="17">
        <f t="shared" si="3"/>
        <v>0</v>
      </c>
      <c r="DC13" s="1" cm="1">
        <f t="array" ref="DC13">transformedate(L13)</f>
        <v>47324</v>
      </c>
      <c r="DD13" s="1">
        <f>+YEARFRAC(Main!$D$3,DC13)</f>
        <v>4.3194444444444446</v>
      </c>
      <c r="DE13" s="57" cm="1">
        <f t="array" ref="DE13">[1]!Seuilmaterialite(C13,D13,DD13)</f>
        <v>5.0000000000000001E-3</v>
      </c>
    </row>
    <row r="14" spans="1:137" ht="15" x14ac:dyDescent="0.25">
      <c r="A14" s="1" t="s">
        <v>292</v>
      </c>
      <c r="B14" s="101" t="s">
        <v>78</v>
      </c>
      <c r="C14" s="101" t="s">
        <v>78</v>
      </c>
      <c r="D14" s="1">
        <v>67897352</v>
      </c>
      <c r="E14" s="1" t="s">
        <v>157</v>
      </c>
      <c r="G14" s="1" t="s">
        <v>70</v>
      </c>
      <c r="H14" s="1" t="s">
        <v>71</v>
      </c>
      <c r="I14" s="1" t="s">
        <v>259</v>
      </c>
      <c r="K14" s="1" t="s">
        <v>260</v>
      </c>
      <c r="L14" s="1" t="s">
        <v>261</v>
      </c>
      <c r="M14" s="1">
        <v>25000000</v>
      </c>
      <c r="N14" s="1">
        <v>-42928930.740000002</v>
      </c>
      <c r="O14" s="42">
        <v>-1.7171572296000002</v>
      </c>
      <c r="P14" s="1">
        <v>-42109279.969999999</v>
      </c>
      <c r="Q14" s="42">
        <v>-1.6843711987999999</v>
      </c>
      <c r="R14" s="1">
        <v>-819650.77</v>
      </c>
      <c r="S14" s="42">
        <v>-3.2786030799999998E-2</v>
      </c>
      <c r="T14" s="196">
        <v>-4.028765331438513</v>
      </c>
      <c r="U14" s="101">
        <v>17235.061385716126</v>
      </c>
      <c r="W14" s="1" t="s">
        <v>79</v>
      </c>
      <c r="X14" s="1" t="s">
        <v>67</v>
      </c>
      <c r="Y14" s="1">
        <v>5.57</v>
      </c>
      <c r="AA14" s="1" t="s">
        <v>260</v>
      </c>
      <c r="AB14" s="1" t="s">
        <v>261</v>
      </c>
      <c r="AD14" s="1">
        <v>25000000</v>
      </c>
      <c r="AE14" s="1">
        <v>29275802.66</v>
      </c>
      <c r="AF14" s="42">
        <v>1.1710321064</v>
      </c>
      <c r="AG14" s="1">
        <v>28370677.66</v>
      </c>
      <c r="AH14" s="42">
        <v>1.1348271064</v>
      </c>
      <c r="AI14" s="1">
        <v>905125</v>
      </c>
      <c r="AJ14" s="42">
        <v>3.6205000000000001E-2</v>
      </c>
      <c r="AK14" s="196">
        <v>3.8617245743567699</v>
      </c>
      <c r="AL14" s="101">
        <v>-11265.941848578677</v>
      </c>
      <c r="AN14" s="48">
        <v>-13653128.09</v>
      </c>
      <c r="AO14" s="42">
        <v>-0.54612512359999998</v>
      </c>
      <c r="AP14" s="1">
        <v>-13738602.310000001</v>
      </c>
      <c r="AQ14" s="42">
        <v>-0.54954409240000002</v>
      </c>
      <c r="AR14" s="1">
        <v>85474.23</v>
      </c>
      <c r="AS14" s="42">
        <v>3.4189691999999996E-3</v>
      </c>
      <c r="AT14" s="196">
        <v>-1.546137078869195</v>
      </c>
      <c r="AU14" s="101">
        <v>5969.1195371374488</v>
      </c>
      <c r="AW14" s="48">
        <f>+VLOOKUP(A14,Triopti!A:E,4,0)</f>
        <v>-13511966.157534</v>
      </c>
      <c r="AX14" s="42">
        <f t="shared" si="2"/>
        <v>-0.54047864630136</v>
      </c>
      <c r="AZ14" s="42"/>
      <c r="BB14" s="42"/>
      <c r="BD14" s="1">
        <v>-13606664.433034033</v>
      </c>
      <c r="BE14" s="42">
        <v>-0.5442665773213613</v>
      </c>
      <c r="BF14" s="1">
        <v>-13681802.632097168</v>
      </c>
      <c r="BG14" s="42">
        <v>-0.5472721052838867</v>
      </c>
      <c r="BH14" s="1">
        <v>75138.199063135893</v>
      </c>
      <c r="BI14" s="42">
        <v>3.0055279625254357E-3</v>
      </c>
      <c r="BK14" s="17">
        <f t="shared" si="0"/>
        <v>-141161.93246600032</v>
      </c>
      <c r="BL14" s="52">
        <f t="shared" si="0"/>
        <v>-5.6464772986399847E-3</v>
      </c>
      <c r="BN14" s="42"/>
      <c r="BP14" s="42"/>
      <c r="BQ14" s="1" t="str">
        <f t="shared" ref="BQ14:BQ33" si="4">IF(ABS(BL14)&gt;$DE14,"alerte","")</f>
        <v>alerte</v>
      </c>
      <c r="BS14" s="1">
        <v>-46463.656965967268</v>
      </c>
      <c r="BT14" s="42">
        <v>-1.8585462786386842E-3</v>
      </c>
      <c r="BU14" s="1">
        <v>-56799.677902832627</v>
      </c>
      <c r="BV14" s="42">
        <v>-2.2719871161133165E-3</v>
      </c>
      <c r="BW14" s="1">
        <v>10336.030936864103</v>
      </c>
      <c r="BX14" s="42">
        <v>4.1344123747456395E-4</v>
      </c>
      <c r="CA14" s="1">
        <v>13606664.433034033</v>
      </c>
      <c r="CB14" s="1">
        <v>0.5442665773213613</v>
      </c>
      <c r="CH14" s="203" t="s">
        <v>1634</v>
      </c>
      <c r="CJ14" s="1" t="s">
        <v>53</v>
      </c>
      <c r="CK14" s="1" t="s">
        <v>291</v>
      </c>
      <c r="CL14" s="1" t="s">
        <v>51</v>
      </c>
      <c r="CM14" s="1" t="s">
        <v>290</v>
      </c>
      <c r="CN14" s="1" t="s">
        <v>55</v>
      </c>
      <c r="CO14" s="1" t="s">
        <v>160</v>
      </c>
      <c r="CP14" s="1" t="s">
        <v>57</v>
      </c>
      <c r="CQ14" s="1" t="s">
        <v>292</v>
      </c>
      <c r="DB14" s="17">
        <f t="shared" si="3"/>
        <v>-9.9999979138374329E-3</v>
      </c>
      <c r="DC14" s="1" cm="1">
        <f t="array" ref="DC14">transformedate(L14)</f>
        <v>47324</v>
      </c>
      <c r="DD14" s="1">
        <f>+YEARFRAC(Main!$D$3,DC14)</f>
        <v>4.3194444444444446</v>
      </c>
      <c r="DE14" s="57" cm="1">
        <f t="array" ref="DE14">[1]!Seuilmaterialite(C14,D14,DD14)</f>
        <v>5.0000000000000001E-3</v>
      </c>
    </row>
    <row r="15" spans="1:137" x14ac:dyDescent="0.2">
      <c r="A15" s="1" t="s">
        <v>297</v>
      </c>
      <c r="B15" s="101" t="s">
        <v>78</v>
      </c>
      <c r="C15" s="101" t="s">
        <v>78</v>
      </c>
      <c r="D15" s="1">
        <v>69115068</v>
      </c>
      <c r="E15" s="1" t="s">
        <v>293</v>
      </c>
      <c r="G15" s="1" t="s">
        <v>70</v>
      </c>
      <c r="H15" s="1" t="s">
        <v>71</v>
      </c>
      <c r="I15" s="1" t="s">
        <v>76</v>
      </c>
      <c r="K15" s="1" t="s">
        <v>265</v>
      </c>
      <c r="L15" s="1" t="s">
        <v>266</v>
      </c>
      <c r="M15" s="1">
        <v>10000000</v>
      </c>
      <c r="N15" s="1">
        <v>-14023419.939999999</v>
      </c>
      <c r="O15" s="42">
        <v>-1.4023419939999999</v>
      </c>
      <c r="P15" s="1">
        <v>-14021149.449999999</v>
      </c>
      <c r="Q15" s="42">
        <v>-1.4021149449999999</v>
      </c>
      <c r="R15" s="1">
        <v>-2270.4899999999998</v>
      </c>
      <c r="S15" s="42">
        <v>-2.2704899999999997E-4</v>
      </c>
      <c r="T15" s="196">
        <v>-1.4643660906681775</v>
      </c>
      <c r="U15" s="101">
        <v>2053.8523406082763</v>
      </c>
      <c r="W15" s="1" t="s">
        <v>79</v>
      </c>
      <c r="X15" s="1" t="s">
        <v>67</v>
      </c>
      <c r="Y15" s="1">
        <v>5.56</v>
      </c>
      <c r="AA15" s="1" t="s">
        <v>265</v>
      </c>
      <c r="AB15" s="1" t="s">
        <v>266</v>
      </c>
      <c r="AD15" s="1">
        <v>10000000</v>
      </c>
      <c r="AE15" s="1">
        <v>10494048.039999999</v>
      </c>
      <c r="AF15" s="42">
        <v>1.0494048039999999</v>
      </c>
      <c r="AG15" s="1">
        <v>10490959.15</v>
      </c>
      <c r="AH15" s="42">
        <v>1.0490959150000001</v>
      </c>
      <c r="AI15" s="1">
        <v>3088.89</v>
      </c>
      <c r="AJ15" s="42">
        <v>3.0888899999999996E-4</v>
      </c>
      <c r="AK15" s="196">
        <v>1.4475096410543313</v>
      </c>
      <c r="AL15" s="101">
        <v>-1519.4811510575935</v>
      </c>
      <c r="AN15" s="48">
        <v>-3529371.9</v>
      </c>
      <c r="AO15" s="42">
        <v>-0.35293719000000001</v>
      </c>
      <c r="AP15" s="1">
        <v>-3530190.3</v>
      </c>
      <c r="AQ15" s="42">
        <v>-0.35301902999999996</v>
      </c>
      <c r="AR15" s="1">
        <v>818.4</v>
      </c>
      <c r="AS15" s="42">
        <v>8.1840000000000002E-5</v>
      </c>
      <c r="AT15" s="196">
        <v>-0.39500160440577387</v>
      </c>
      <c r="AU15" s="101">
        <v>534.37118955068286</v>
      </c>
      <c r="AW15" s="48">
        <f>+VLOOKUP(A15,Triopti!A:E,4,0)</f>
        <v>-3531330</v>
      </c>
      <c r="AX15" s="42">
        <f t="shared" si="2"/>
        <v>-0.35313299999999997</v>
      </c>
      <c r="AZ15" s="42"/>
      <c r="BB15" s="42"/>
      <c r="BD15" s="1">
        <v>-3528329.5963967443</v>
      </c>
      <c r="BE15" s="42">
        <v>-0.35283295963967443</v>
      </c>
      <c r="BF15" s="1">
        <v>-3529922.9259574609</v>
      </c>
      <c r="BG15" s="42">
        <v>-0.3529922925957461</v>
      </c>
      <c r="BH15" s="1">
        <v>1593.3295607166901</v>
      </c>
      <c r="BI15" s="42">
        <v>1.59332956071669E-4</v>
      </c>
      <c r="BK15" s="17">
        <f t="shared" si="0"/>
        <v>1958.1000000000931</v>
      </c>
      <c r="BL15" s="52">
        <f t="shared" si="0"/>
        <v>1.9580999999996296E-4</v>
      </c>
      <c r="BN15" s="42"/>
      <c r="BP15" s="42"/>
      <c r="BQ15" s="1" t="str">
        <f t="shared" si="4"/>
        <v/>
      </c>
      <c r="BS15" s="1">
        <v>-1042.3036032556556</v>
      </c>
      <c r="BT15" s="42">
        <v>-1.0423036032558564E-4</v>
      </c>
      <c r="BU15" s="1">
        <v>-267.37404253892601</v>
      </c>
      <c r="BV15" s="42">
        <v>-2.6737404253851516E-5</v>
      </c>
      <c r="BW15" s="1">
        <v>-774.92956071669016</v>
      </c>
      <c r="BX15" s="42">
        <v>-7.7492956071669E-5</v>
      </c>
      <c r="CA15" s="1">
        <v>3528329.5963967443</v>
      </c>
      <c r="CB15" s="1">
        <v>0.35283295963967443</v>
      </c>
      <c r="CJ15" s="1" t="s">
        <v>53</v>
      </c>
      <c r="CK15" s="1" t="s">
        <v>296</v>
      </c>
      <c r="CL15" s="1" t="s">
        <v>51</v>
      </c>
      <c r="CM15" s="1" t="s">
        <v>295</v>
      </c>
      <c r="CN15" s="1" t="s">
        <v>55</v>
      </c>
      <c r="CO15" s="1" t="s">
        <v>294</v>
      </c>
      <c r="CP15" s="1" t="s">
        <v>57</v>
      </c>
      <c r="CQ15" s="1" t="s">
        <v>297</v>
      </c>
      <c r="DB15" s="17">
        <f t="shared" si="3"/>
        <v>0</v>
      </c>
      <c r="DC15" s="1" cm="1">
        <f t="array" ref="DC15">transformedate(L15)</f>
        <v>46280</v>
      </c>
      <c r="DD15" s="1">
        <f>+YEARFRAC(Main!$D$3,DC15)</f>
        <v>1.4583333333333333</v>
      </c>
      <c r="DE15" s="57" cm="1">
        <f t="array" ref="DE15">[1]!Seuilmaterialite(C15,D15,DD15)</f>
        <v>9.0000000000000011E-3</v>
      </c>
    </row>
    <row r="16" spans="1:137" ht="15" x14ac:dyDescent="0.25">
      <c r="A16" s="1" t="s">
        <v>264</v>
      </c>
      <c r="B16" s="101" t="s">
        <v>78</v>
      </c>
      <c r="C16" s="101" t="s">
        <v>78</v>
      </c>
      <c r="D16" s="1">
        <v>69012376</v>
      </c>
      <c r="E16" s="1" t="s">
        <v>77</v>
      </c>
      <c r="G16" s="1" t="s">
        <v>70</v>
      </c>
      <c r="H16" s="1" t="s">
        <v>71</v>
      </c>
      <c r="I16" s="1" t="s">
        <v>259</v>
      </c>
      <c r="K16" s="1" t="s">
        <v>260</v>
      </c>
      <c r="L16" s="1" t="s">
        <v>261</v>
      </c>
      <c r="M16" s="1">
        <v>25000000</v>
      </c>
      <c r="N16" s="1">
        <v>-42836963.409999996</v>
      </c>
      <c r="O16" s="42">
        <v>-1.7134785363999998</v>
      </c>
      <c r="P16" s="1">
        <v>-42016792.189999998</v>
      </c>
      <c r="Q16" s="42">
        <v>-1.6806716875999999</v>
      </c>
      <c r="R16" s="1">
        <v>-820171.22</v>
      </c>
      <c r="S16" s="42">
        <v>-3.2806848799999996E-2</v>
      </c>
      <c r="T16" s="196">
        <v>-4.028765331438513</v>
      </c>
      <c r="U16" s="101">
        <v>17235.061385716126</v>
      </c>
      <c r="W16" s="1" t="s">
        <v>79</v>
      </c>
      <c r="X16" s="1" t="s">
        <v>67</v>
      </c>
      <c r="Y16" s="1">
        <v>3.415</v>
      </c>
      <c r="AA16" s="1" t="s">
        <v>260</v>
      </c>
      <c r="AB16" s="1" t="s">
        <v>261</v>
      </c>
      <c r="AD16" s="1">
        <v>25000000</v>
      </c>
      <c r="AE16" s="1">
        <v>26625892.190000001</v>
      </c>
      <c r="AF16" s="42">
        <v>1.0650356876</v>
      </c>
      <c r="AG16" s="1">
        <v>26070954.690000001</v>
      </c>
      <c r="AH16" s="42">
        <v>1.0428381876000001</v>
      </c>
      <c r="AI16" s="1">
        <v>554937.5</v>
      </c>
      <c r="AJ16" s="42">
        <v>2.2197499999999998E-2</v>
      </c>
      <c r="AK16" s="196">
        <v>4.0125084874160919</v>
      </c>
      <c r="AL16" s="101">
        <v>-10680.721734275297</v>
      </c>
      <c r="AN16" s="48">
        <v>-16211071.220000001</v>
      </c>
      <c r="AO16" s="42">
        <v>-0.64844284880000003</v>
      </c>
      <c r="AP16" s="1">
        <v>-15945837.5</v>
      </c>
      <c r="AQ16" s="42">
        <v>-0.63783350000000005</v>
      </c>
      <c r="AR16" s="1">
        <v>-265233.71999999997</v>
      </c>
      <c r="AS16" s="42">
        <v>-1.06093488E-2</v>
      </c>
      <c r="AT16" s="196">
        <v>-1.5923493246754934</v>
      </c>
      <c r="AU16" s="101">
        <v>6554.3396514408287</v>
      </c>
      <c r="AW16" s="48">
        <f>+VLOOKUP(A16,Triopti!A:E,4,0)</f>
        <v>-16006135.998788001</v>
      </c>
      <c r="AX16" s="42">
        <f t="shared" si="2"/>
        <v>-0.64024543995152006</v>
      </c>
      <c r="AZ16" s="42"/>
      <c r="BB16" s="42"/>
      <c r="BD16" s="1">
        <v>-16161443.345834592</v>
      </c>
      <c r="BE16" s="42">
        <v>-0.64645773383338367</v>
      </c>
      <c r="BF16" s="1">
        <v>-15886394.044897726</v>
      </c>
      <c r="BG16" s="42">
        <v>-0.63545576179590901</v>
      </c>
      <c r="BH16" s="1">
        <v>-275049.30093686434</v>
      </c>
      <c r="BI16" s="42">
        <v>-1.1001972037474574E-2</v>
      </c>
      <c r="BK16" s="17">
        <f t="shared" si="0"/>
        <v>-204935.22121199965</v>
      </c>
      <c r="BL16" s="52">
        <f t="shared" si="0"/>
        <v>-8.1974088484799701E-3</v>
      </c>
      <c r="BN16" s="42"/>
      <c r="BP16" s="42"/>
      <c r="BQ16" s="1" t="str">
        <f t="shared" si="4"/>
        <v>alerte</v>
      </c>
      <c r="BS16" s="1">
        <v>-49627.874165408313</v>
      </c>
      <c r="BT16" s="42">
        <v>-1.9851149666163526E-3</v>
      </c>
      <c r="BU16" s="1">
        <v>-59443.455102274194</v>
      </c>
      <c r="BV16" s="42">
        <v>-2.37773820409104E-3</v>
      </c>
      <c r="BW16" s="1">
        <v>9815.5809368643677</v>
      </c>
      <c r="BX16" s="42">
        <v>3.9262323747457466E-4</v>
      </c>
      <c r="CA16" s="1">
        <v>16161443.345834592</v>
      </c>
      <c r="CB16" s="1">
        <v>0.64645773383338367</v>
      </c>
      <c r="CH16" s="203" t="s">
        <v>1634</v>
      </c>
      <c r="CJ16" s="1" t="s">
        <v>53</v>
      </c>
      <c r="CK16" s="1" t="s">
        <v>263</v>
      </c>
      <c r="CL16" s="1" t="s">
        <v>51</v>
      </c>
      <c r="CM16" s="1" t="s">
        <v>262</v>
      </c>
      <c r="CN16" s="1" t="s">
        <v>55</v>
      </c>
      <c r="CO16" s="1" t="s">
        <v>106</v>
      </c>
      <c r="CP16" s="1" t="s">
        <v>57</v>
      </c>
      <c r="CQ16" s="1" t="s">
        <v>264</v>
      </c>
      <c r="DB16" s="17">
        <f t="shared" si="3"/>
        <v>0</v>
      </c>
      <c r="DC16" s="1" cm="1">
        <f t="array" ref="DC16">transformedate(L16)</f>
        <v>47324</v>
      </c>
      <c r="DD16" s="1">
        <f>+YEARFRAC(Main!$D$3,DC16)</f>
        <v>4.3194444444444446</v>
      </c>
      <c r="DE16" s="57" cm="1">
        <f t="array" ref="DE16">[1]!Seuilmaterialite(C16,D16,DD16)</f>
        <v>5.0000000000000001E-3</v>
      </c>
    </row>
    <row r="17" spans="1:109" ht="15" x14ac:dyDescent="0.25">
      <c r="A17" s="1" t="s">
        <v>300</v>
      </c>
      <c r="B17" s="101" t="s">
        <v>78</v>
      </c>
      <c r="C17" s="101" t="s">
        <v>78</v>
      </c>
      <c r="D17" s="1">
        <v>67897338</v>
      </c>
      <c r="E17" s="1" t="s">
        <v>63</v>
      </c>
      <c r="G17" s="1" t="s">
        <v>70</v>
      </c>
      <c r="H17" s="1" t="s">
        <v>71</v>
      </c>
      <c r="I17" s="1" t="s">
        <v>259</v>
      </c>
      <c r="K17" s="1" t="s">
        <v>260</v>
      </c>
      <c r="L17" s="1" t="s">
        <v>261</v>
      </c>
      <c r="M17" s="1">
        <v>25000000</v>
      </c>
      <c r="N17" s="1">
        <v>-42836963.409999996</v>
      </c>
      <c r="O17" s="42">
        <v>-1.7134785363999998</v>
      </c>
      <c r="P17" s="1">
        <v>-42016792.189999998</v>
      </c>
      <c r="Q17" s="42">
        <v>-1.6806716875999999</v>
      </c>
      <c r="R17" s="1">
        <v>-820171.22</v>
      </c>
      <c r="S17" s="42">
        <v>-3.2806848799999996E-2</v>
      </c>
      <c r="T17" s="196">
        <v>-4.0287486102905659</v>
      </c>
      <c r="U17" s="101">
        <v>17212.17155310437</v>
      </c>
      <c r="W17" s="1" t="s">
        <v>79</v>
      </c>
      <c r="X17" s="1" t="s">
        <v>67</v>
      </c>
      <c r="Y17" s="1">
        <v>5.35</v>
      </c>
      <c r="AA17" s="1" t="s">
        <v>260</v>
      </c>
      <c r="AB17" s="1" t="s">
        <v>261</v>
      </c>
      <c r="AD17" s="1">
        <v>25000000</v>
      </c>
      <c r="AE17" s="1">
        <v>28919834.510000002</v>
      </c>
      <c r="AF17" s="42">
        <v>1.1567933804000001</v>
      </c>
      <c r="AG17" s="1">
        <v>28050459.510000002</v>
      </c>
      <c r="AH17" s="42">
        <v>1.1220183804000001</v>
      </c>
      <c r="AI17" s="1">
        <v>869375</v>
      </c>
      <c r="AJ17" s="42">
        <v>3.4775E-2</v>
      </c>
      <c r="AK17" s="196">
        <v>3.8758965024528242</v>
      </c>
      <c r="AL17" s="101">
        <v>-11206.197799786552</v>
      </c>
      <c r="AN17" s="48">
        <v>-13917128.91</v>
      </c>
      <c r="AO17" s="42">
        <v>-0.55668515640000005</v>
      </c>
      <c r="AP17" s="1">
        <v>-13966332.689999999</v>
      </c>
      <c r="AQ17" s="42">
        <v>-0.55865330759999998</v>
      </c>
      <c r="AR17" s="1">
        <v>49203.78</v>
      </c>
      <c r="AS17" s="42">
        <v>1.9681512000000001E-3</v>
      </c>
      <c r="AT17" s="196">
        <v>-1.5474990989508515</v>
      </c>
      <c r="AU17" s="101">
        <v>6005.9737533178177</v>
      </c>
      <c r="AW17" s="48">
        <f>+VLOOKUP(A17,Triopti!A:E,4,0)</f>
        <v>-13703543.4977</v>
      </c>
      <c r="AX17" s="42">
        <f t="shared" si="2"/>
        <v>-0.54814173990799997</v>
      </c>
      <c r="AZ17" s="42"/>
      <c r="BB17" s="42"/>
      <c r="BD17" s="1">
        <v>-13810838.451470835</v>
      </c>
      <c r="BE17" s="42">
        <v>-0.55243353805883344</v>
      </c>
      <c r="BF17" s="1">
        <v>-13851175.129820768</v>
      </c>
      <c r="BG17" s="42">
        <v>-0.55404700519283068</v>
      </c>
      <c r="BH17" s="1">
        <v>40336.678349931259</v>
      </c>
      <c r="BI17" s="42">
        <v>1.6134671339972503E-3</v>
      </c>
      <c r="BK17" s="17">
        <f t="shared" si="0"/>
        <v>-213585.41229999997</v>
      </c>
      <c r="BL17" s="52">
        <f t="shared" si="0"/>
        <v>-8.5434164920000777E-3</v>
      </c>
      <c r="BN17" s="42"/>
      <c r="BP17" s="42"/>
      <c r="BQ17" s="1" t="str">
        <f t="shared" si="4"/>
        <v>alerte</v>
      </c>
      <c r="BS17" s="1">
        <v>-106290.45852916501</v>
      </c>
      <c r="BT17" s="42">
        <v>-4.2516183411666075E-3</v>
      </c>
      <c r="BU17" s="1">
        <v>-115157.56017923169</v>
      </c>
      <c r="BV17" s="42">
        <v>-4.6063024071693048E-3</v>
      </c>
      <c r="BW17" s="1">
        <v>8867.1016500687401</v>
      </c>
      <c r="BX17" s="42">
        <v>3.5468406600274978E-4</v>
      </c>
      <c r="CA17" s="1">
        <v>13810838.451470835</v>
      </c>
      <c r="CB17" s="1">
        <v>0.55243353805883344</v>
      </c>
      <c r="CH17" s="203" t="s">
        <v>1634</v>
      </c>
      <c r="CJ17" s="1" t="s">
        <v>53</v>
      </c>
      <c r="CK17" s="1" t="s">
        <v>299</v>
      </c>
      <c r="CL17" s="1" t="s">
        <v>51</v>
      </c>
      <c r="CM17" s="1" t="s">
        <v>298</v>
      </c>
      <c r="CN17" s="1" t="s">
        <v>55</v>
      </c>
      <c r="CO17" s="1" t="s">
        <v>179</v>
      </c>
      <c r="CP17" s="1" t="s">
        <v>57</v>
      </c>
      <c r="CQ17" s="1" t="s">
        <v>300</v>
      </c>
      <c r="DB17" s="17">
        <f t="shared" si="3"/>
        <v>-1.000000536441803E-2</v>
      </c>
      <c r="DC17" s="1" cm="1">
        <f t="array" ref="DC17">transformedate(L17)</f>
        <v>47324</v>
      </c>
      <c r="DD17" s="1">
        <f>+YEARFRAC(Main!$D$3,DC17)</f>
        <v>4.3194444444444446</v>
      </c>
      <c r="DE17" s="57" cm="1">
        <f t="array" ref="DE17">[1]!Seuilmaterialite(C17,D17,DD17)</f>
        <v>5.0000000000000001E-3</v>
      </c>
    </row>
    <row r="18" spans="1:109" x14ac:dyDescent="0.2">
      <c r="A18" s="1" t="s">
        <v>180</v>
      </c>
      <c r="B18" s="101" t="s">
        <v>173</v>
      </c>
      <c r="C18" s="101" t="s">
        <v>173</v>
      </c>
      <c r="D18" s="1">
        <v>70589501</v>
      </c>
      <c r="E18" s="1" t="s">
        <v>63</v>
      </c>
      <c r="G18" s="1" t="s">
        <v>174</v>
      </c>
      <c r="H18" s="1" t="s">
        <v>67</v>
      </c>
      <c r="I18" s="1" t="s">
        <v>430</v>
      </c>
      <c r="J18" s="1">
        <v>88.25</v>
      </c>
      <c r="K18" s="1" t="s">
        <v>175</v>
      </c>
      <c r="L18" s="1" t="s">
        <v>176</v>
      </c>
      <c r="M18" s="1">
        <v>152000000</v>
      </c>
      <c r="N18" s="1">
        <v>161134168.15000001</v>
      </c>
      <c r="O18" s="42">
        <v>1.0600932115131578</v>
      </c>
      <c r="P18" s="1">
        <v>160395473.47999999</v>
      </c>
      <c r="Q18" s="42">
        <v>1.0552333781578946</v>
      </c>
      <c r="R18" s="1">
        <v>738694.67</v>
      </c>
      <c r="S18" s="42">
        <v>4.8598333552631583E-3</v>
      </c>
      <c r="T18" s="196">
        <v>0.16182945616376132</v>
      </c>
      <c r="U18" s="101">
        <v>-2607.2662256672979</v>
      </c>
      <c r="W18" s="1" t="s">
        <v>79</v>
      </c>
      <c r="X18" s="1" t="s">
        <v>71</v>
      </c>
      <c r="Y18" s="1">
        <v>5.5</v>
      </c>
      <c r="AA18" s="1" t="s">
        <v>175</v>
      </c>
      <c r="AB18" s="1" t="s">
        <v>176</v>
      </c>
      <c r="AD18" s="1">
        <v>152000000</v>
      </c>
      <c r="AE18" s="1">
        <v>-178043377.83000001</v>
      </c>
      <c r="AF18" s="42">
        <v>-1.1713380120394739</v>
      </c>
      <c r="AG18" s="1">
        <v>-170519377.83000001</v>
      </c>
      <c r="AH18" s="42">
        <v>-1.1218380120394738</v>
      </c>
      <c r="AI18" s="1">
        <v>-7524000</v>
      </c>
      <c r="AJ18" s="42">
        <v>-4.9500000000000002E-2</v>
      </c>
      <c r="AK18" s="196">
        <v>-3.6181454122629613</v>
      </c>
      <c r="AL18" s="101">
        <v>64408.283397489788</v>
      </c>
      <c r="AN18" s="48">
        <v>-16909209.690000001</v>
      </c>
      <c r="AO18" s="42">
        <v>-0.11124480059210527</v>
      </c>
      <c r="AP18" s="1">
        <v>-10123904.35</v>
      </c>
      <c r="AQ18" s="42">
        <v>-6.6604633881578945E-2</v>
      </c>
      <c r="AR18" s="1">
        <v>-6785305.3300000001</v>
      </c>
      <c r="AS18" s="42">
        <v>-4.4640166644736842E-2</v>
      </c>
      <c r="AT18" s="196">
        <v>-3.6589722696033742</v>
      </c>
      <c r="AU18" s="101">
        <v>61801.017171822488</v>
      </c>
      <c r="AW18" s="48">
        <f>+VLOOKUP(A18,Triopti!A:E,4,0)</f>
        <v>-16910400.890000001</v>
      </c>
      <c r="AX18" s="42">
        <f t="shared" si="2"/>
        <v>-0.11125263743421053</v>
      </c>
      <c r="AZ18" s="42"/>
      <c r="BB18" s="42"/>
      <c r="BD18" s="1">
        <v>-16902666.153634191</v>
      </c>
      <c r="BE18" s="42">
        <v>-0.11120175101075125</v>
      </c>
      <c r="BF18" s="1">
        <v>-10120105.264745302</v>
      </c>
      <c r="BG18" s="42">
        <v>-6.657963989964015E-2</v>
      </c>
      <c r="BH18" s="1">
        <v>-6782560.888888889</v>
      </c>
      <c r="BI18" s="42">
        <v>-4.4622111111111112E-2</v>
      </c>
      <c r="BK18" s="17">
        <f t="shared" si="0"/>
        <v>1191.1999999992549</v>
      </c>
      <c r="BL18" s="52">
        <f t="shared" si="0"/>
        <v>7.836842105257702E-6</v>
      </c>
      <c r="BN18" s="42"/>
      <c r="BP18" s="42"/>
      <c r="BQ18" s="1" t="str">
        <f t="shared" si="4"/>
        <v/>
      </c>
      <c r="BS18" s="1">
        <v>-6543.5363658107817</v>
      </c>
      <c r="BT18" s="42">
        <v>-4.3049581354023814E-5</v>
      </c>
      <c r="BU18" s="1">
        <v>-3799.0852546971291</v>
      </c>
      <c r="BV18" s="42">
        <v>-2.4993981938795096E-5</v>
      </c>
      <c r="BW18" s="1">
        <v>-2744.4411111110821</v>
      </c>
      <c r="BX18" s="42">
        <v>-1.8055533625729869E-5</v>
      </c>
      <c r="CA18" s="1">
        <v>16902666.153634191</v>
      </c>
      <c r="CB18" s="1">
        <v>0.11120175101075125</v>
      </c>
      <c r="CJ18" s="1" t="s">
        <v>53</v>
      </c>
      <c r="CK18" s="1" t="s">
        <v>178</v>
      </c>
      <c r="CL18" s="1" t="s">
        <v>51</v>
      </c>
      <c r="CM18" s="1" t="s">
        <v>177</v>
      </c>
      <c r="CN18" s="1" t="s">
        <v>55</v>
      </c>
      <c r="CO18" s="1" t="s">
        <v>179</v>
      </c>
      <c r="CP18" s="1" t="s">
        <v>57</v>
      </c>
      <c r="CQ18" s="1" t="s">
        <v>180</v>
      </c>
      <c r="DB18" s="17">
        <f>+AN18-N18-AE18</f>
        <v>-9.9999904632568359E-3</v>
      </c>
      <c r="DC18" s="1" cm="1">
        <f t="array" ref="DC18">transformedate(L18)</f>
        <v>47233</v>
      </c>
      <c r="DD18" s="1">
        <f>+YEARFRAC(Main!$D$3,DC18)</f>
        <v>4.0694444444444446</v>
      </c>
      <c r="DE18" s="57" cm="1">
        <f t="array" ref="DE18">[1]!Seuilmaterialite(C18,D18,DD18)</f>
        <v>5.0000000000000001E-3</v>
      </c>
    </row>
    <row r="19" spans="1:109" x14ac:dyDescent="0.2">
      <c r="A19" s="1" t="s">
        <v>185</v>
      </c>
      <c r="B19" s="101" t="s">
        <v>173</v>
      </c>
      <c r="C19" s="101" t="s">
        <v>173</v>
      </c>
      <c r="D19" s="1">
        <v>70589503</v>
      </c>
      <c r="E19" s="1" t="s">
        <v>63</v>
      </c>
      <c r="G19" s="1" t="s">
        <v>174</v>
      </c>
      <c r="H19" s="1" t="s">
        <v>67</v>
      </c>
      <c r="I19" s="1" t="s">
        <v>430</v>
      </c>
      <c r="J19" s="1">
        <v>161.30000000000001</v>
      </c>
      <c r="K19" s="1" t="s">
        <v>181</v>
      </c>
      <c r="L19" s="1" t="s">
        <v>182</v>
      </c>
      <c r="M19" s="1">
        <v>138118808</v>
      </c>
      <c r="N19" s="1">
        <v>140536237.22</v>
      </c>
      <c r="O19" s="42">
        <v>1.0175025346294619</v>
      </c>
      <c r="P19" s="1">
        <v>139719264.47</v>
      </c>
      <c r="Q19" s="42">
        <v>1.0115875346245387</v>
      </c>
      <c r="R19" s="1">
        <v>816972.75</v>
      </c>
      <c r="S19" s="42">
        <v>5.915000004923298E-3</v>
      </c>
      <c r="T19" s="196">
        <v>0.10870078660258482</v>
      </c>
      <c r="U19" s="101">
        <v>-1528.0369409769773</v>
      </c>
      <c r="W19" s="1" t="s">
        <v>79</v>
      </c>
      <c r="X19" s="1" t="s">
        <v>71</v>
      </c>
      <c r="Y19" s="1">
        <v>6</v>
      </c>
      <c r="AA19" s="1" t="s">
        <v>181</v>
      </c>
      <c r="AB19" s="1" t="s">
        <v>182</v>
      </c>
      <c r="AD19" s="1">
        <v>138118808</v>
      </c>
      <c r="AE19" s="1">
        <v>-144389297.84</v>
      </c>
      <c r="AF19" s="42">
        <v>-1.0453992467122943</v>
      </c>
      <c r="AG19" s="1">
        <v>-141074446.44999999</v>
      </c>
      <c r="AH19" s="42">
        <v>-1.0213992467267745</v>
      </c>
      <c r="AI19" s="1">
        <v>-3314851.39</v>
      </c>
      <c r="AJ19" s="42">
        <v>-2.3999999985519715E-2</v>
      </c>
      <c r="AK19" s="196">
        <v>-0.60831294384142065</v>
      </c>
      <c r="AL19" s="101">
        <v>8786.1298856198791</v>
      </c>
      <c r="AN19" s="48">
        <v>-3853060.62</v>
      </c>
      <c r="AO19" s="42">
        <v>-2.7896712082832339E-2</v>
      </c>
      <c r="AP19" s="1">
        <v>-1355181.98</v>
      </c>
      <c r="AQ19" s="42">
        <v>-9.8117121022359248E-3</v>
      </c>
      <c r="AR19" s="1">
        <v>-2497878.64</v>
      </c>
      <c r="AS19" s="42">
        <v>-1.8084999980596417E-2</v>
      </c>
      <c r="AT19" s="196">
        <v>-0.51120378368656327</v>
      </c>
      <c r="AU19" s="101">
        <v>7258.0929446429018</v>
      </c>
      <c r="AW19" s="48">
        <f>+VLOOKUP(A19,Triopti!A:E,4,0)</f>
        <v>-3869409.05</v>
      </c>
      <c r="AX19" s="42">
        <f t="shared" si="2"/>
        <v>-2.801507706321937E-2</v>
      </c>
      <c r="AZ19" s="42"/>
      <c r="BB19" s="42"/>
      <c r="BD19" s="1">
        <v>-3861614.9988354305</v>
      </c>
      <c r="BE19" s="42">
        <v>-2.7958647013775491E-2</v>
      </c>
      <c r="BF19" s="1">
        <v>-1366230.1679665414</v>
      </c>
      <c r="BG19" s="42">
        <v>-9.8917025693310463E-3</v>
      </c>
      <c r="BH19" s="1">
        <v>-2495384.8308688891</v>
      </c>
      <c r="BI19" s="42">
        <v>-1.8066944444444445E-2</v>
      </c>
      <c r="BK19" s="17">
        <f t="shared" si="0"/>
        <v>16348.429999999702</v>
      </c>
      <c r="BL19" s="52">
        <f t="shared" si="0"/>
        <v>1.1836498038703125E-4</v>
      </c>
      <c r="BN19" s="42"/>
      <c r="BP19" s="42"/>
      <c r="BQ19" s="1" t="str">
        <f t="shared" si="4"/>
        <v/>
      </c>
      <c r="BS19" s="1">
        <v>8554.3788354303688</v>
      </c>
      <c r="BT19" s="42">
        <v>6.1934930943152028E-5</v>
      </c>
      <c r="BU19" s="1">
        <v>11048.187966541387</v>
      </c>
      <c r="BV19" s="42">
        <v>7.9990467095121531E-5</v>
      </c>
      <c r="BW19" s="1">
        <v>-2493.8091311110184</v>
      </c>
      <c r="BX19" s="42">
        <v>-1.8055536151972973E-5</v>
      </c>
      <c r="CA19" s="1">
        <v>3861614.9988354305</v>
      </c>
      <c r="CB19" s="1">
        <v>2.7958647013775491E-2</v>
      </c>
      <c r="CJ19" s="1" t="s">
        <v>53</v>
      </c>
      <c r="CK19" s="1" t="s">
        <v>184</v>
      </c>
      <c r="CL19" s="1" t="s">
        <v>51</v>
      </c>
      <c r="CM19" s="1" t="s">
        <v>183</v>
      </c>
      <c r="CN19" s="1" t="s">
        <v>55</v>
      </c>
      <c r="CO19" s="1" t="s">
        <v>179</v>
      </c>
      <c r="CP19" s="1" t="s">
        <v>57</v>
      </c>
      <c r="CQ19" s="1" t="s">
        <v>185</v>
      </c>
      <c r="DB19" s="17">
        <f t="shared" ref="DB19:DB33" si="5">+AN19-N19-AE19</f>
        <v>0</v>
      </c>
      <c r="DC19" s="1" cm="1">
        <f t="array" ref="DC19">transformedate(L19)</f>
        <v>45955</v>
      </c>
      <c r="DD19" s="1">
        <f>+YEARFRAC(Main!$D$3,DC19)</f>
        <v>0.56944444444444442</v>
      </c>
      <c r="DE19" s="57" cm="1">
        <f t="array" ref="DE19">[1]!Seuilmaterialite(C19,D19,DD19)</f>
        <v>5.0000000000000001E-3</v>
      </c>
    </row>
    <row r="20" spans="1:109" x14ac:dyDescent="0.2">
      <c r="A20" s="1" t="s">
        <v>214</v>
      </c>
      <c r="B20" s="101" t="s">
        <v>173</v>
      </c>
      <c r="C20" s="101" t="s">
        <v>173</v>
      </c>
      <c r="D20" s="1">
        <v>70600138</v>
      </c>
      <c r="E20" s="1" t="s">
        <v>75</v>
      </c>
      <c r="G20" s="1" t="s">
        <v>174</v>
      </c>
      <c r="H20" s="1" t="s">
        <v>67</v>
      </c>
      <c r="I20" s="1" t="s">
        <v>430</v>
      </c>
      <c r="J20" s="1">
        <v>109</v>
      </c>
      <c r="K20" s="1" t="s">
        <v>210</v>
      </c>
      <c r="L20" s="1" t="s">
        <v>211</v>
      </c>
      <c r="M20" s="1">
        <v>116200000</v>
      </c>
      <c r="N20" s="1">
        <v>122654609.34999999</v>
      </c>
      <c r="O20" s="42">
        <v>1.0555474126506024</v>
      </c>
      <c r="P20" s="1">
        <v>121784823.3</v>
      </c>
      <c r="Q20" s="42">
        <v>1.0480621626506024</v>
      </c>
      <c r="R20" s="1">
        <v>869786.05</v>
      </c>
      <c r="S20" s="42">
        <v>7.4852500000000006E-3</v>
      </c>
      <c r="T20" s="196">
        <v>7.3223162566112138E-2</v>
      </c>
      <c r="U20" s="101">
        <v>-898.75792819485071</v>
      </c>
      <c r="W20" s="1" t="s">
        <v>79</v>
      </c>
      <c r="X20" s="1" t="s">
        <v>71</v>
      </c>
      <c r="Y20" s="1">
        <v>5.5</v>
      </c>
      <c r="AA20" s="1" t="s">
        <v>210</v>
      </c>
      <c r="AB20" s="1" t="s">
        <v>211</v>
      </c>
      <c r="AD20" s="1">
        <v>116200000</v>
      </c>
      <c r="AE20" s="1">
        <v>-133265493.8</v>
      </c>
      <c r="AF20" s="42">
        <v>-1.146863113597246</v>
      </c>
      <c r="AG20" s="1">
        <v>-127034268.8</v>
      </c>
      <c r="AH20" s="42">
        <v>-1.0932381135972462</v>
      </c>
      <c r="AI20" s="1">
        <v>-6231225</v>
      </c>
      <c r="AJ20" s="42">
        <v>-5.3624999999999999E-2</v>
      </c>
      <c r="AK20" s="196">
        <v>-2.7221731872446391</v>
      </c>
      <c r="AL20" s="101">
        <v>36299.778649415079</v>
      </c>
      <c r="AN20" s="48">
        <v>-10610884.439999999</v>
      </c>
      <c r="AO20" s="42">
        <v>-9.13157008605852E-2</v>
      </c>
      <c r="AP20" s="1">
        <v>-5249445.49</v>
      </c>
      <c r="AQ20" s="42">
        <v>-4.51759508605852E-2</v>
      </c>
      <c r="AR20" s="1">
        <v>-5361438.95</v>
      </c>
      <c r="AS20" s="42">
        <v>-4.613975E-2</v>
      </c>
      <c r="AT20" s="196">
        <v>-2.7917414610891864</v>
      </c>
      <c r="AU20" s="101">
        <v>35401.020721220229</v>
      </c>
      <c r="AW20" s="48">
        <f>+VLOOKUP(A20,Triopti!A:E,4,0)</f>
        <v>-10590403.51</v>
      </c>
      <c r="AX20" s="42">
        <f t="shared" si="2"/>
        <v>-9.1139445008605852E-2</v>
      </c>
      <c r="AZ20" s="42"/>
      <c r="BB20" s="42"/>
      <c r="BD20" s="1">
        <v>-10606229.067531819</v>
      </c>
      <c r="BE20" s="42">
        <v>-9.1275637414215308E-2</v>
      </c>
      <c r="BF20" s="1">
        <v>-5246957.8253040407</v>
      </c>
      <c r="BG20" s="42">
        <v>-4.5154542386437527E-2</v>
      </c>
      <c r="BH20" s="1">
        <v>-5359271.2422277778</v>
      </c>
      <c r="BI20" s="42">
        <v>-4.6121095027777781E-2</v>
      </c>
      <c r="BK20" s="17">
        <f t="shared" si="0"/>
        <v>-20480.929999999702</v>
      </c>
      <c r="BL20" s="52">
        <f t="shared" si="0"/>
        <v>-1.7625585197934834E-4</v>
      </c>
      <c r="BN20" s="42"/>
      <c r="BP20" s="42"/>
      <c r="BQ20" s="1" t="str">
        <f t="shared" si="4"/>
        <v/>
      </c>
      <c r="BS20" s="1">
        <v>-4655.3724681809545</v>
      </c>
      <c r="BT20" s="42">
        <v>-4.0063446369892342E-5</v>
      </c>
      <c r="BU20" s="1">
        <v>-2487.6646959595382</v>
      </c>
      <c r="BV20" s="42">
        <v>-2.1408474147673051E-5</v>
      </c>
      <c r="BW20" s="1">
        <v>-2167.7077722223476</v>
      </c>
      <c r="BX20" s="42">
        <v>-1.865497222221929E-5</v>
      </c>
      <c r="CA20" s="1">
        <v>10606229.067531819</v>
      </c>
      <c r="CB20" s="1">
        <v>9.1275637414215308E-2</v>
      </c>
      <c r="CJ20" s="1" t="s">
        <v>53</v>
      </c>
      <c r="CK20" s="1" t="s">
        <v>213</v>
      </c>
      <c r="CL20" s="1" t="s">
        <v>51</v>
      </c>
      <c r="CM20" s="1" t="s">
        <v>212</v>
      </c>
      <c r="CN20" s="1" t="s">
        <v>55</v>
      </c>
      <c r="CO20" s="1" t="s">
        <v>102</v>
      </c>
      <c r="CP20" s="1" t="s">
        <v>57</v>
      </c>
      <c r="CQ20" s="1" t="s">
        <v>214</v>
      </c>
      <c r="DB20" s="17">
        <f t="shared" si="5"/>
        <v>1.000000536441803E-2</v>
      </c>
      <c r="DC20" s="1" cm="1">
        <f t="array" ref="DC20">transformedate(L20)</f>
        <v>46840</v>
      </c>
      <c r="DD20" s="1">
        <f>+YEARFRAC(Main!$D$3,DC20)</f>
        <v>2.9944444444444445</v>
      </c>
      <c r="DE20" s="57" cm="1">
        <f t="array" ref="DE20">[1]!Seuilmaterialite(C20,D20,DD20)</f>
        <v>5.0000000000000001E-3</v>
      </c>
    </row>
    <row r="21" spans="1:109" x14ac:dyDescent="0.2">
      <c r="A21" s="1" t="s">
        <v>219</v>
      </c>
      <c r="B21" s="101" t="s">
        <v>173</v>
      </c>
      <c r="C21" s="101" t="s">
        <v>173</v>
      </c>
      <c r="D21" s="1">
        <v>70600140</v>
      </c>
      <c r="E21" s="1" t="s">
        <v>75</v>
      </c>
      <c r="G21" s="1" t="s">
        <v>174</v>
      </c>
      <c r="H21" s="1" t="s">
        <v>67</v>
      </c>
      <c r="I21" s="1" t="s">
        <v>430</v>
      </c>
      <c r="J21" s="1">
        <v>299.5</v>
      </c>
      <c r="K21" s="1" t="s">
        <v>215</v>
      </c>
      <c r="L21" s="1" t="s">
        <v>216</v>
      </c>
      <c r="M21" s="1">
        <v>50000000</v>
      </c>
      <c r="N21" s="1">
        <v>52079166.030000001</v>
      </c>
      <c r="O21" s="42">
        <v>1.0415833206</v>
      </c>
      <c r="P21" s="1">
        <v>50981395.200000003</v>
      </c>
      <c r="Q21" s="42">
        <v>1.019627904</v>
      </c>
      <c r="R21" s="1">
        <v>1097770.83</v>
      </c>
      <c r="S21" s="42">
        <v>2.1955416600000003E-2</v>
      </c>
      <c r="T21" s="196">
        <v>0.11602684228411105</v>
      </c>
      <c r="U21" s="101">
        <v>-604.30268786847591</v>
      </c>
      <c r="W21" s="1" t="s">
        <v>79</v>
      </c>
      <c r="X21" s="1" t="s">
        <v>71</v>
      </c>
      <c r="Y21" s="1">
        <v>6</v>
      </c>
      <c r="AA21" s="1" t="s">
        <v>215</v>
      </c>
      <c r="AB21" s="1" t="s">
        <v>216</v>
      </c>
      <c r="AD21" s="1">
        <v>50000000</v>
      </c>
      <c r="AE21" s="1">
        <v>-52277459.530000001</v>
      </c>
      <c r="AF21" s="42">
        <v>-1.0455491906000001</v>
      </c>
      <c r="AG21" s="1">
        <v>-51079009.049999997</v>
      </c>
      <c r="AH21" s="42">
        <v>-1.021580181</v>
      </c>
      <c r="AI21" s="1">
        <v>-1198450.48</v>
      </c>
      <c r="AJ21" s="42">
        <v>-2.3969009600000001E-2</v>
      </c>
      <c r="AK21" s="196">
        <v>-0.60831294384142209</v>
      </c>
      <c r="AL21" s="101">
        <v>3180.536780577153</v>
      </c>
      <c r="AN21" s="48">
        <v>-198293.5</v>
      </c>
      <c r="AO21" s="42">
        <v>-3.9658699999999998E-3</v>
      </c>
      <c r="AP21" s="1">
        <v>-97613.85</v>
      </c>
      <c r="AQ21" s="42">
        <v>-1.9522770000000001E-3</v>
      </c>
      <c r="AR21" s="1">
        <v>-100679.65</v>
      </c>
      <c r="AS21" s="42">
        <v>-2.0135929999999997E-3</v>
      </c>
      <c r="AT21" s="196">
        <v>-0.51317828442829916</v>
      </c>
      <c r="AU21" s="101">
        <v>2576.2340927086771</v>
      </c>
      <c r="AW21" s="48">
        <f>+VLOOKUP(A21,Triopti!A:E,4,0)</f>
        <v>-186746.67</v>
      </c>
      <c r="AX21" s="42">
        <f t="shared" si="2"/>
        <v>-3.7349334000000003E-3</v>
      </c>
      <c r="AZ21" s="42"/>
      <c r="BB21" s="42"/>
      <c r="BD21" s="1">
        <v>-201541.4697197343</v>
      </c>
      <c r="BE21" s="42">
        <v>-4.0308293943946858E-3</v>
      </c>
      <c r="BF21" s="1">
        <v>-99437.70821063919</v>
      </c>
      <c r="BG21" s="42">
        <v>-1.9887541642127837E-3</v>
      </c>
      <c r="BH21" s="1">
        <v>-102103.76150909509</v>
      </c>
      <c r="BI21" s="42">
        <v>-2.0420752301819017E-3</v>
      </c>
      <c r="BK21" s="17">
        <f t="shared" si="0"/>
        <v>-11546.829999999987</v>
      </c>
      <c r="BL21" s="52">
        <f t="shared" si="0"/>
        <v>-2.309365999999995E-4</v>
      </c>
      <c r="BN21" s="42"/>
      <c r="BP21" s="42"/>
      <c r="BQ21" s="1" t="str">
        <f t="shared" si="4"/>
        <v/>
      </c>
      <c r="BS21" s="1">
        <v>3247.9697197343048</v>
      </c>
      <c r="BT21" s="42">
        <v>6.4959394394686031E-5</v>
      </c>
      <c r="BU21" s="1">
        <v>1823.8582106391841</v>
      </c>
      <c r="BV21" s="42">
        <v>3.6477164212783599E-5</v>
      </c>
      <c r="BW21" s="1">
        <v>1424.1115090950916</v>
      </c>
      <c r="BX21" s="42">
        <v>2.8482230181901998E-5</v>
      </c>
      <c r="CA21" s="1">
        <v>201541.4697197343</v>
      </c>
      <c r="CB21" s="1">
        <v>4.0308293943946858E-3</v>
      </c>
      <c r="CJ21" s="1" t="s">
        <v>53</v>
      </c>
      <c r="CK21" s="1" t="s">
        <v>218</v>
      </c>
      <c r="CL21" s="1" t="s">
        <v>51</v>
      </c>
      <c r="CM21" s="1" t="s">
        <v>217</v>
      </c>
      <c r="CN21" s="1" t="s">
        <v>55</v>
      </c>
      <c r="CO21" s="1" t="s">
        <v>102</v>
      </c>
      <c r="CP21" s="1" t="s">
        <v>57</v>
      </c>
      <c r="CQ21" s="1" t="s">
        <v>219</v>
      </c>
      <c r="DB21" s="17">
        <f t="shared" si="5"/>
        <v>0</v>
      </c>
      <c r="DC21" s="1" cm="1">
        <f t="array" ref="DC21">transformedate(L21)</f>
        <v>45954</v>
      </c>
      <c r="DD21" s="1">
        <f>+YEARFRAC(Main!$D$3,DC21)</f>
        <v>0.56666666666666665</v>
      </c>
      <c r="DE21" s="57" cm="1">
        <f t="array" ref="DE21">[1]!Seuilmaterialite(C21,D21,DD21)</f>
        <v>5.0000000000000001E-3</v>
      </c>
    </row>
    <row r="22" spans="1:109" x14ac:dyDescent="0.2">
      <c r="A22" s="1" t="s">
        <v>225</v>
      </c>
      <c r="B22" s="101" t="s">
        <v>173</v>
      </c>
      <c r="C22" s="101" t="s">
        <v>173</v>
      </c>
      <c r="D22" s="1">
        <v>70607235</v>
      </c>
      <c r="E22" s="1" t="s">
        <v>220</v>
      </c>
      <c r="G22" s="1" t="s">
        <v>174</v>
      </c>
      <c r="H22" s="1" t="s">
        <v>67</v>
      </c>
      <c r="I22" s="1" t="s">
        <v>430</v>
      </c>
      <c r="J22" s="1">
        <v>141.6</v>
      </c>
      <c r="K22" s="1" t="s">
        <v>221</v>
      </c>
      <c r="L22" s="1" t="s">
        <v>222</v>
      </c>
      <c r="M22" s="1">
        <v>104000000</v>
      </c>
      <c r="N22" s="1">
        <v>112052051.44</v>
      </c>
      <c r="O22" s="42">
        <v>1.0774235715384615</v>
      </c>
      <c r="P22" s="1">
        <v>111499701.67</v>
      </c>
      <c r="Q22" s="42">
        <v>1.0721125160576923</v>
      </c>
      <c r="R22" s="1">
        <v>552349.78</v>
      </c>
      <c r="S22" s="42">
        <v>5.3110555769230773E-3</v>
      </c>
      <c r="T22" s="196">
        <v>0.20342835523680311</v>
      </c>
      <c r="U22" s="101">
        <v>-2278.0698885060847</v>
      </c>
      <c r="W22" s="1" t="s">
        <v>79</v>
      </c>
      <c r="X22" s="1" t="s">
        <v>71</v>
      </c>
      <c r="Y22" s="1">
        <v>6</v>
      </c>
      <c r="AA22" s="1" t="s">
        <v>221</v>
      </c>
      <c r="AB22" s="1" t="s">
        <v>222</v>
      </c>
      <c r="AD22" s="1">
        <v>104000000</v>
      </c>
      <c r="AE22" s="1">
        <v>-118783119.14</v>
      </c>
      <c r="AF22" s="42">
        <v>-1.1421453763461538</v>
      </c>
      <c r="AG22" s="1">
        <v>-117933785.81</v>
      </c>
      <c r="AH22" s="42">
        <v>-1.1339787097115386</v>
      </c>
      <c r="AI22" s="1">
        <v>-849333.33</v>
      </c>
      <c r="AJ22" s="42">
        <v>-8.1666666346153841E-3</v>
      </c>
      <c r="AK22" s="196">
        <v>-3.5415883227236926</v>
      </c>
      <c r="AL22" s="101">
        <v>42064.830188786982</v>
      </c>
      <c r="AN22" s="48">
        <v>-6731067.7000000002</v>
      </c>
      <c r="AO22" s="42">
        <v>-6.472180480769231E-2</v>
      </c>
      <c r="AP22" s="1">
        <v>-6434084.1399999997</v>
      </c>
      <c r="AQ22" s="42">
        <v>-6.1866193653846151E-2</v>
      </c>
      <c r="AR22" s="1">
        <v>-296983.56</v>
      </c>
      <c r="AS22" s="42">
        <v>-2.8556111538461538E-3</v>
      </c>
      <c r="AT22" s="196">
        <v>-3.5911862774325587</v>
      </c>
      <c r="AU22" s="101">
        <v>39786.760300280897</v>
      </c>
      <c r="AW22" s="48">
        <f>+VLOOKUP(A22,Triopti!A:E,4,0)</f>
        <v>-6693654.1749999998</v>
      </c>
      <c r="AX22" s="42">
        <f t="shared" si="2"/>
        <v>-6.4362059375000003E-2</v>
      </c>
      <c r="AZ22" s="42"/>
      <c r="BB22" s="42"/>
      <c r="BD22" s="1">
        <v>-6790020.975256145</v>
      </c>
      <c r="BE22" s="42">
        <v>-6.5288663223616775E-2</v>
      </c>
      <c r="BF22" s="1">
        <v>-6499548.975256145</v>
      </c>
      <c r="BG22" s="42">
        <v>-6.2495663223616778E-2</v>
      </c>
      <c r="BH22" s="1">
        <v>-290472</v>
      </c>
      <c r="BI22" s="42">
        <v>-2.7929999999999999E-3</v>
      </c>
      <c r="BK22" s="17">
        <f t="shared" si="0"/>
        <v>-37413.525000000373</v>
      </c>
      <c r="BL22" s="52">
        <f t="shared" si="0"/>
        <v>-3.5974543269230719E-4</v>
      </c>
      <c r="BN22" s="42"/>
      <c r="BP22" s="42"/>
      <c r="BQ22" s="1" t="str">
        <f t="shared" si="4"/>
        <v/>
      </c>
      <c r="BS22" s="1">
        <v>58953.275256144814</v>
      </c>
      <c r="BT22" s="42">
        <v>5.6685841592446495E-4</v>
      </c>
      <c r="BU22" s="1">
        <v>65464.835256145336</v>
      </c>
      <c r="BV22" s="42">
        <v>6.2946956977062707E-4</v>
      </c>
      <c r="BW22" s="1">
        <v>-6511.5599999999977</v>
      </c>
      <c r="BX22" s="42">
        <v>-6.2611153846153875E-5</v>
      </c>
      <c r="CA22" s="1">
        <v>6790020.975256145</v>
      </c>
      <c r="CB22" s="1">
        <v>6.5288663223616775E-2</v>
      </c>
      <c r="CJ22" s="1" t="s">
        <v>53</v>
      </c>
      <c r="CK22" s="1" t="s">
        <v>223</v>
      </c>
      <c r="CL22" s="1" t="s">
        <v>51</v>
      </c>
      <c r="CM22" s="1" t="s">
        <v>143</v>
      </c>
      <c r="CN22" s="1" t="s">
        <v>55</v>
      </c>
      <c r="CO22" s="1" t="s">
        <v>224</v>
      </c>
      <c r="CP22" s="1" t="s">
        <v>57</v>
      </c>
      <c r="CQ22" s="1" t="s">
        <v>225</v>
      </c>
      <c r="DB22" s="17">
        <f t="shared" si="5"/>
        <v>0</v>
      </c>
      <c r="DC22" s="1" cm="1">
        <f t="array" ref="DC22">transformedate(L22)</f>
        <v>47149</v>
      </c>
      <c r="DD22" s="1">
        <f>+YEARFRAC(Main!$D$3,DC22)</f>
        <v>3.8333333333333335</v>
      </c>
      <c r="DE22" s="57" cm="1">
        <f t="array" ref="DE22">[1]!Seuilmaterialite(C22,D22,DD22)</f>
        <v>5.0000000000000001E-3</v>
      </c>
    </row>
    <row r="23" spans="1:109" x14ac:dyDescent="0.2">
      <c r="A23" s="1" t="s">
        <v>235</v>
      </c>
      <c r="B23" s="101" t="s">
        <v>173</v>
      </c>
      <c r="C23" s="101" t="s">
        <v>173</v>
      </c>
      <c r="D23" s="1">
        <v>70618160</v>
      </c>
      <c r="E23" s="1" t="s">
        <v>228</v>
      </c>
      <c r="G23" s="1" t="s">
        <v>174</v>
      </c>
      <c r="H23" s="1" t="s">
        <v>67</v>
      </c>
      <c r="I23" s="1" t="s">
        <v>430</v>
      </c>
      <c r="J23" s="1">
        <v>303.3</v>
      </c>
      <c r="K23" s="1" t="s">
        <v>232</v>
      </c>
      <c r="L23" s="1" t="s">
        <v>216</v>
      </c>
      <c r="M23" s="1">
        <v>50000000</v>
      </c>
      <c r="N23" s="1">
        <v>52098013.079999998</v>
      </c>
      <c r="O23" s="42">
        <v>1.0419602615999999</v>
      </c>
      <c r="P23" s="1">
        <v>50992589.469999999</v>
      </c>
      <c r="Q23" s="42">
        <v>1.0198517893999999</v>
      </c>
      <c r="R23" s="1">
        <v>1105423.6100000001</v>
      </c>
      <c r="S23" s="42">
        <v>2.2108472200000003E-2</v>
      </c>
      <c r="T23" s="196">
        <v>0.11611389614324664</v>
      </c>
      <c r="U23" s="101">
        <v>-604.97611397951846</v>
      </c>
      <c r="W23" s="1" t="s">
        <v>79</v>
      </c>
      <c r="X23" s="1" t="s">
        <v>71</v>
      </c>
      <c r="Y23" s="1">
        <v>6</v>
      </c>
      <c r="AA23" s="1" t="s">
        <v>232</v>
      </c>
      <c r="AB23" s="1" t="s">
        <v>216</v>
      </c>
      <c r="AD23" s="1">
        <v>50000000</v>
      </c>
      <c r="AE23" s="1">
        <v>-52277459.530000001</v>
      </c>
      <c r="AF23" s="42">
        <v>-1.0455491906000001</v>
      </c>
      <c r="AG23" s="1">
        <v>-51079009.049999997</v>
      </c>
      <c r="AH23" s="42">
        <v>-1.021580181</v>
      </c>
      <c r="AI23" s="1">
        <v>-1198450.48</v>
      </c>
      <c r="AJ23" s="42">
        <v>-2.3969009600000001E-2</v>
      </c>
      <c r="AK23" s="196">
        <v>-0.60831294384142209</v>
      </c>
      <c r="AL23" s="101">
        <v>3180.536780577153</v>
      </c>
      <c r="AN23" s="48">
        <v>-179446.45</v>
      </c>
      <c r="AO23" s="42">
        <v>-3.5889290000000003E-3</v>
      </c>
      <c r="AP23" s="1">
        <v>-86419.58</v>
      </c>
      <c r="AQ23" s="42">
        <v>-1.7283916000000001E-3</v>
      </c>
      <c r="AR23" s="1">
        <v>-93026.87</v>
      </c>
      <c r="AS23" s="42">
        <v>-1.8605373999999999E-3</v>
      </c>
      <c r="AT23" s="196">
        <v>-0.51323786523453907</v>
      </c>
      <c r="AU23" s="101">
        <v>2575.5606665976347</v>
      </c>
      <c r="AW23" s="48">
        <f>+VLOOKUP(A23,Triopti!A:E,4,0)</f>
        <v>-184849.35769999999</v>
      </c>
      <c r="AX23" s="42">
        <f t="shared" si="2"/>
        <v>-3.6969871539999999E-3</v>
      </c>
      <c r="AZ23" s="42"/>
      <c r="BB23" s="42"/>
      <c r="BD23" s="1">
        <v>-182592.53768921643</v>
      </c>
      <c r="BE23" s="42">
        <v>-3.6518507537843287E-3</v>
      </c>
      <c r="BF23" s="1">
        <v>-88088.776180121349</v>
      </c>
      <c r="BG23" s="42">
        <v>-1.761775523602427E-3</v>
      </c>
      <c r="BH23" s="1">
        <v>-94503.761509095086</v>
      </c>
      <c r="BI23" s="42">
        <v>-1.8900752301819017E-3</v>
      </c>
      <c r="BK23" s="17">
        <f t="shared" ref="BK23:BL33" si="6">AN23-AW23</f>
        <v>5402.9076999999816</v>
      </c>
      <c r="BL23" s="52">
        <f t="shared" si="6"/>
        <v>1.0805815399999967E-4</v>
      </c>
      <c r="BN23" s="42"/>
      <c r="BP23" s="42"/>
      <c r="BQ23" s="1" t="str">
        <f t="shared" si="4"/>
        <v/>
      </c>
      <c r="BS23" s="1">
        <v>3146.0876892164233</v>
      </c>
      <c r="BT23" s="42">
        <v>6.2921753784328429E-5</v>
      </c>
      <c r="BU23" s="1">
        <v>1669.1961801213474</v>
      </c>
      <c r="BV23" s="42">
        <v>3.3383923602426854E-5</v>
      </c>
      <c r="BW23" s="1">
        <v>1476.8915090950904</v>
      </c>
      <c r="BX23" s="42">
        <v>2.9537830181901792E-5</v>
      </c>
      <c r="CA23" s="1">
        <v>182592.53768921643</v>
      </c>
      <c r="CB23" s="1">
        <v>3.6518507537843287E-3</v>
      </c>
      <c r="CJ23" s="1" t="s">
        <v>53</v>
      </c>
      <c r="CK23" s="1" t="s">
        <v>234</v>
      </c>
      <c r="CL23" s="1" t="s">
        <v>51</v>
      </c>
      <c r="CM23" s="1" t="s">
        <v>233</v>
      </c>
      <c r="CN23" s="1" t="s">
        <v>55</v>
      </c>
      <c r="CO23" s="1" t="s">
        <v>229</v>
      </c>
      <c r="CP23" s="1" t="s">
        <v>57</v>
      </c>
      <c r="CQ23" s="1" t="s">
        <v>235</v>
      </c>
      <c r="DB23" s="17">
        <f t="shared" si="5"/>
        <v>0</v>
      </c>
      <c r="DC23" s="1" cm="1">
        <f t="array" ref="DC23">transformedate(L23)</f>
        <v>45954</v>
      </c>
      <c r="DD23" s="1">
        <f>+YEARFRAC(Main!$D$3,DC23)</f>
        <v>0.56666666666666665</v>
      </c>
      <c r="DE23" s="57" cm="1">
        <f t="array" ref="DE23">[1]!Seuilmaterialite(C23,D23,DD23)</f>
        <v>5.0000000000000001E-3</v>
      </c>
    </row>
    <row r="24" spans="1:109" x14ac:dyDescent="0.2">
      <c r="A24" s="1" t="s">
        <v>239</v>
      </c>
      <c r="B24" s="101" t="s">
        <v>173</v>
      </c>
      <c r="C24" s="101" t="s">
        <v>173</v>
      </c>
      <c r="D24" s="1">
        <v>70618161</v>
      </c>
      <c r="E24" s="1" t="s">
        <v>228</v>
      </c>
      <c r="G24" s="1" t="s">
        <v>174</v>
      </c>
      <c r="H24" s="1" t="s">
        <v>67</v>
      </c>
      <c r="I24" s="1" t="s">
        <v>430</v>
      </c>
      <c r="J24" s="1">
        <v>312.5</v>
      </c>
      <c r="K24" s="1" t="s">
        <v>236</v>
      </c>
      <c r="L24" s="1" t="s">
        <v>182</v>
      </c>
      <c r="M24" s="1">
        <v>50000000</v>
      </c>
      <c r="N24" s="1">
        <v>52131348.789999999</v>
      </c>
      <c r="O24" s="42">
        <v>1.0426269758</v>
      </c>
      <c r="P24" s="1">
        <v>51017948.789999999</v>
      </c>
      <c r="Q24" s="42">
        <v>1.0203589758</v>
      </c>
      <c r="R24" s="1">
        <v>1113400</v>
      </c>
      <c r="S24" s="42">
        <v>2.2268E-2</v>
      </c>
      <c r="T24" s="196">
        <v>0.1163243961183254</v>
      </c>
      <c r="U24" s="101">
        <v>-606.60651403702798</v>
      </c>
      <c r="W24" s="1" t="s">
        <v>79</v>
      </c>
      <c r="X24" s="1" t="s">
        <v>71</v>
      </c>
      <c r="Y24" s="1">
        <v>6</v>
      </c>
      <c r="AA24" s="1" t="s">
        <v>236</v>
      </c>
      <c r="AB24" s="1" t="s">
        <v>182</v>
      </c>
      <c r="AD24" s="1">
        <v>50000000</v>
      </c>
      <c r="AE24" s="1">
        <v>-52268456.310000002</v>
      </c>
      <c r="AF24" s="42">
        <v>-1.0453691262</v>
      </c>
      <c r="AG24" s="1">
        <v>-51078202.549999997</v>
      </c>
      <c r="AH24" s="42">
        <v>-1.0215640509999999</v>
      </c>
      <c r="AI24" s="1">
        <v>-1190253.76</v>
      </c>
      <c r="AJ24" s="42">
        <v>-2.3805075200000001E-2</v>
      </c>
      <c r="AK24" s="196">
        <v>-0.60831294384142209</v>
      </c>
      <c r="AL24" s="101">
        <v>3180.536780577153</v>
      </c>
      <c r="AN24" s="48">
        <v>-137107.51999999999</v>
      </c>
      <c r="AO24" s="42">
        <v>-2.7421503999999998E-3</v>
      </c>
      <c r="AP24" s="1">
        <v>-60253.760000000002</v>
      </c>
      <c r="AQ24" s="42">
        <v>-1.2050752E-3</v>
      </c>
      <c r="AR24" s="1">
        <v>-76853.759999999995</v>
      </c>
      <c r="AS24" s="42">
        <v>-1.5370751999999998E-3</v>
      </c>
      <c r="AT24" s="196">
        <v>-0.51338230001103025</v>
      </c>
      <c r="AU24" s="101">
        <v>2573.9302665401251</v>
      </c>
      <c r="AW24" s="48">
        <f>+VLOOKUP(A24,Triopti!A:E,4,0)</f>
        <v>-123292.31050000001</v>
      </c>
      <c r="AX24" s="42">
        <f t="shared" si="2"/>
        <v>-2.4658462100000003E-3</v>
      </c>
      <c r="AZ24" s="42"/>
      <c r="BB24" s="42"/>
      <c r="BD24" s="1">
        <v>-136716.17593110842</v>
      </c>
      <c r="BE24" s="42">
        <v>-2.7343235186221685E-3</v>
      </c>
      <c r="BF24" s="1">
        <v>-60612.414422013557</v>
      </c>
      <c r="BG24" s="42">
        <v>-1.2122482884402712E-3</v>
      </c>
      <c r="BH24" s="1">
        <v>-76103.761509094853</v>
      </c>
      <c r="BI24" s="42">
        <v>-1.5220752301818971E-3</v>
      </c>
      <c r="BK24" s="17">
        <f t="shared" si="6"/>
        <v>-13815.209499999983</v>
      </c>
      <c r="BL24" s="52">
        <f t="shared" si="6"/>
        <v>-2.7630418999999946E-4</v>
      </c>
      <c r="BN24" s="42"/>
      <c r="BP24" s="42"/>
      <c r="BQ24" s="1" t="str">
        <f t="shared" si="4"/>
        <v/>
      </c>
      <c r="BS24" s="1">
        <v>-391.34406889157253</v>
      </c>
      <c r="BT24" s="42">
        <v>-7.8268813778312359E-6</v>
      </c>
      <c r="BU24" s="1">
        <v>358.65442201355472</v>
      </c>
      <c r="BV24" s="42">
        <v>7.1730884402712407E-6</v>
      </c>
      <c r="BW24" s="1">
        <v>-749.99849090514181</v>
      </c>
      <c r="BX24" s="42">
        <v>-1.4999969818102693E-5</v>
      </c>
      <c r="CA24" s="1">
        <v>136716.17593110842</v>
      </c>
      <c r="CB24" s="1">
        <v>2.7343235186221685E-3</v>
      </c>
      <c r="CJ24" s="1" t="s">
        <v>53</v>
      </c>
      <c r="CK24" s="1" t="s">
        <v>238</v>
      </c>
      <c r="CL24" s="1" t="s">
        <v>51</v>
      </c>
      <c r="CM24" s="1" t="s">
        <v>237</v>
      </c>
      <c r="CN24" s="1" t="s">
        <v>55</v>
      </c>
      <c r="CO24" s="1" t="s">
        <v>229</v>
      </c>
      <c r="CP24" s="1" t="s">
        <v>57</v>
      </c>
      <c r="CQ24" s="1" t="s">
        <v>239</v>
      </c>
      <c r="DB24" s="17">
        <f t="shared" si="5"/>
        <v>0</v>
      </c>
      <c r="DC24" s="1" cm="1">
        <f t="array" ref="DC24">transformedate(L24)</f>
        <v>45955</v>
      </c>
      <c r="DD24" s="1">
        <f>+YEARFRAC(Main!$D$3,DC24)</f>
        <v>0.56944444444444442</v>
      </c>
      <c r="DE24" s="57" cm="1">
        <f t="array" ref="DE24">[1]!Seuilmaterialite(C24,D24,DD24)</f>
        <v>5.0000000000000001E-3</v>
      </c>
    </row>
    <row r="25" spans="1:109" x14ac:dyDescent="0.2">
      <c r="A25" s="1" t="s">
        <v>115</v>
      </c>
      <c r="B25" s="101" t="s">
        <v>93</v>
      </c>
      <c r="C25" s="101" t="s">
        <v>93</v>
      </c>
      <c r="D25" s="1">
        <v>69227200</v>
      </c>
      <c r="E25" s="1" t="s">
        <v>75</v>
      </c>
      <c r="G25" s="1" t="s">
        <v>79</v>
      </c>
      <c r="H25" s="1" t="s">
        <v>67</v>
      </c>
      <c r="I25" s="1">
        <v>3.3325</v>
      </c>
      <c r="K25" s="1" t="s">
        <v>111</v>
      </c>
      <c r="L25" s="1" t="s">
        <v>112</v>
      </c>
      <c r="M25" s="1">
        <v>7185629</v>
      </c>
      <c r="N25" s="1">
        <v>7507357.8499999996</v>
      </c>
      <c r="O25" s="42">
        <v>1.0447739300206007</v>
      </c>
      <c r="P25" s="1">
        <v>7439510.5499999998</v>
      </c>
      <c r="Q25" s="42">
        <v>1.0353318477756088</v>
      </c>
      <c r="R25" s="1">
        <v>67847.31</v>
      </c>
      <c r="S25" s="42">
        <v>9.4420836366586689E-3</v>
      </c>
      <c r="T25" s="196">
        <v>3.7490000000000001</v>
      </c>
      <c r="U25" s="101">
        <v>-2827.52</v>
      </c>
      <c r="W25" s="1" t="s">
        <v>79</v>
      </c>
      <c r="X25" s="1" t="s">
        <v>71</v>
      </c>
      <c r="Y25" s="1">
        <v>5.25</v>
      </c>
      <c r="AA25" s="1" t="s">
        <v>111</v>
      </c>
      <c r="AB25" s="1" t="s">
        <v>112</v>
      </c>
      <c r="AC25" s="1" t="s">
        <v>64</v>
      </c>
      <c r="AD25" s="1">
        <v>6000000</v>
      </c>
      <c r="AE25" s="1">
        <v>-6330080.9000000004</v>
      </c>
      <c r="AF25" s="42">
        <v>-1.0550134833333333</v>
      </c>
      <c r="AG25" s="1">
        <v>-6242580.9000000004</v>
      </c>
      <c r="AH25" s="42">
        <v>-1.0404301500000002</v>
      </c>
      <c r="AI25" s="1">
        <v>-87500</v>
      </c>
      <c r="AJ25" s="42">
        <v>-1.4583333333333334E-2</v>
      </c>
      <c r="AK25" s="196">
        <f>VLOOKUP($A25,'TCD Sensi SD IPA'!$B$5:$H$36,4,FALSE)</f>
        <v>3.2749999999999999</v>
      </c>
      <c r="AL25" s="101">
        <f>VLOOKUP($A25,'TCD Sensi SD IPA'!$B$5:$H$36,7,FALSE)</f>
        <v>2077.27</v>
      </c>
      <c r="AN25" s="48">
        <v>-39233.589999999997</v>
      </c>
      <c r="AO25" s="42">
        <v>-5.4600077460163886E-3</v>
      </c>
      <c r="AP25" s="1">
        <v>-2765.2</v>
      </c>
      <c r="AQ25" s="42">
        <v>-3.8482365287715242E-4</v>
      </c>
      <c r="AR25" s="1">
        <v>-36468.379999999997</v>
      </c>
      <c r="AS25" s="42">
        <v>-5.0751827014726197E-3</v>
      </c>
      <c r="AT25" s="196">
        <f>VLOOKUP($A25,'TCD Sensi SD IPA'!$B$5:$H$36,2,FALSE)</f>
        <v>0.214</v>
      </c>
      <c r="AU25" s="101">
        <f>VLOOKUP($A25,'TCD Sensi SD IPA'!$B$5:$H$36,5,FALSE)</f>
        <v>-2635.12</v>
      </c>
      <c r="AW25" s="48">
        <f>+VLOOKUP(A25,Triopti!A:E,4,0)</f>
        <v>-15779.36</v>
      </c>
      <c r="AX25" s="42">
        <f t="shared" si="2"/>
        <v>-2.1959608546447363E-3</v>
      </c>
      <c r="AZ25" s="42"/>
      <c r="BB25" s="42"/>
      <c r="BE25" s="42"/>
      <c r="BG25" s="42"/>
      <c r="BI25" s="42"/>
      <c r="BK25" s="17">
        <f t="shared" si="6"/>
        <v>-23454.229999999996</v>
      </c>
      <c r="BL25" s="52">
        <f t="shared" si="6"/>
        <v>-3.2640468913716523E-3</v>
      </c>
      <c r="BN25" s="42"/>
      <c r="BP25" s="42"/>
      <c r="BQ25" s="1" t="str">
        <f t="shared" si="4"/>
        <v/>
      </c>
      <c r="BT25" s="42"/>
      <c r="BV25" s="42"/>
      <c r="BX25" s="42"/>
      <c r="CJ25" s="1" t="s">
        <v>53</v>
      </c>
      <c r="CK25" s="1" t="s">
        <v>114</v>
      </c>
      <c r="CL25" s="1" t="s">
        <v>51</v>
      </c>
      <c r="CM25" s="1" t="s">
        <v>113</v>
      </c>
      <c r="CN25" s="1" t="s">
        <v>55</v>
      </c>
      <c r="CO25" s="1" t="s">
        <v>102</v>
      </c>
      <c r="CP25" s="1" t="s">
        <v>57</v>
      </c>
      <c r="CQ25" s="1" t="s">
        <v>115</v>
      </c>
      <c r="DB25" s="17">
        <f t="shared" si="5"/>
        <v>-1216510.5399999991</v>
      </c>
      <c r="DC25" s="1" cm="1">
        <f t="array" ref="DC25">transformedate(L25)</f>
        <v>46946</v>
      </c>
      <c r="DD25" s="1">
        <f>+YEARFRAC(Main!$D$3,DC25)</f>
        <v>3.2833333333333332</v>
      </c>
      <c r="DE25" s="57" cm="1">
        <f t="array" ref="DE25">[1]!Seuilmaterialite(C25,D25,DD25)</f>
        <v>6.0000000000000001E-3</v>
      </c>
    </row>
    <row r="26" spans="1:109" x14ac:dyDescent="0.2">
      <c r="A26" s="1" t="s">
        <v>118</v>
      </c>
      <c r="B26" s="101" t="s">
        <v>93</v>
      </c>
      <c r="C26" s="101" t="s">
        <v>93</v>
      </c>
      <c r="D26" s="1">
        <v>69211698</v>
      </c>
      <c r="E26" s="1" t="s">
        <v>92</v>
      </c>
      <c r="G26" s="1" t="s">
        <v>79</v>
      </c>
      <c r="H26" s="1" t="s">
        <v>67</v>
      </c>
      <c r="I26" s="1">
        <v>3.4350000000000001</v>
      </c>
      <c r="K26" s="1" t="s">
        <v>111</v>
      </c>
      <c r="L26" s="1" t="s">
        <v>112</v>
      </c>
      <c r="M26" s="1">
        <v>7168458</v>
      </c>
      <c r="N26" s="1">
        <v>7517385.6799999997</v>
      </c>
      <c r="O26" s="42">
        <v>1.0486754166656205</v>
      </c>
      <c r="P26" s="1">
        <v>7447618.6600000001</v>
      </c>
      <c r="Q26" s="42">
        <v>1.0389429163147779</v>
      </c>
      <c r="R26" s="1">
        <v>69767.02</v>
      </c>
      <c r="S26" s="42">
        <v>9.7325003508425389E-3</v>
      </c>
      <c r="T26" s="196">
        <v>3.7450000000000001</v>
      </c>
      <c r="U26" s="101">
        <v>-2827.52</v>
      </c>
      <c r="W26" s="1" t="s">
        <v>79</v>
      </c>
      <c r="X26" s="1" t="s">
        <v>71</v>
      </c>
      <c r="Y26" s="1">
        <v>5.25</v>
      </c>
      <c r="AA26" s="1" t="s">
        <v>111</v>
      </c>
      <c r="AB26" s="1" t="s">
        <v>112</v>
      </c>
      <c r="AC26" s="1" t="s">
        <v>64</v>
      </c>
      <c r="AD26" s="1">
        <v>6000000</v>
      </c>
      <c r="AE26" s="1">
        <v>-6330080.9000000004</v>
      </c>
      <c r="AF26" s="42">
        <v>-1.0550134833333333</v>
      </c>
      <c r="AG26" s="1">
        <v>-6242580.9000000004</v>
      </c>
      <c r="AH26" s="42">
        <v>-1.0404301500000002</v>
      </c>
      <c r="AI26" s="1">
        <v>-87500</v>
      </c>
      <c r="AJ26" s="42">
        <v>-1.4583333333333334E-2</v>
      </c>
      <c r="AK26" s="196">
        <f>VLOOKUP($A26,'TCD Sensi SD IPA'!$B$5:$H$36,4,FALSE)</f>
        <v>3.2749999999999999</v>
      </c>
      <c r="AL26" s="101">
        <f>VLOOKUP($A26,'TCD Sensi SD IPA'!$B$5:$H$36,7,FALSE)</f>
        <v>2077.27</v>
      </c>
      <c r="AN26" s="48">
        <v>-29205.759999999998</v>
      </c>
      <c r="AO26" s="42">
        <v>-4.0742039640882322E-3</v>
      </c>
      <c r="AP26" s="1">
        <v>5342.91</v>
      </c>
      <c r="AQ26" s="42">
        <v>7.453360262416268E-4</v>
      </c>
      <c r="AR26" s="1">
        <v>-34548.67</v>
      </c>
      <c r="AS26" s="42">
        <v>-4.8195399903298583E-3</v>
      </c>
      <c r="AT26" s="196">
        <f>VLOOKUP($A26,'TCD Sensi SD IPA'!$B$5:$H$36,2,FALSE)</f>
        <v>0.215</v>
      </c>
      <c r="AU26" s="101">
        <f>VLOOKUP($A26,'TCD Sensi SD IPA'!$B$5:$H$36,5,FALSE)</f>
        <v>-2634.87</v>
      </c>
      <c r="AW26" s="48">
        <f>+VLOOKUP(A26,Triopti!A:E,4,0)</f>
        <v>-14241.48</v>
      </c>
      <c r="AX26" s="42">
        <f t="shared" si="2"/>
        <v>-1.9866866765488479E-3</v>
      </c>
      <c r="AZ26" s="42"/>
      <c r="BB26" s="42"/>
      <c r="BE26" s="42"/>
      <c r="BG26" s="42"/>
      <c r="BI26" s="42"/>
      <c r="BK26" s="17">
        <f t="shared" si="6"/>
        <v>-14964.279999999999</v>
      </c>
      <c r="BL26" s="52">
        <f t="shared" si="6"/>
        <v>-2.0875172875393843E-3</v>
      </c>
      <c r="BN26" s="42"/>
      <c r="BP26" s="42"/>
      <c r="BQ26" s="1" t="str">
        <f t="shared" si="4"/>
        <v/>
      </c>
      <c r="BT26" s="42"/>
      <c r="BV26" s="42"/>
      <c r="BX26" s="42"/>
      <c r="CJ26" s="1" t="s">
        <v>53</v>
      </c>
      <c r="CK26" s="1" t="s">
        <v>117</v>
      </c>
      <c r="CL26" s="1" t="s">
        <v>51</v>
      </c>
      <c r="CM26" s="1" t="s">
        <v>116</v>
      </c>
      <c r="CN26" s="1" t="s">
        <v>55</v>
      </c>
      <c r="CO26" s="1" t="s">
        <v>96</v>
      </c>
      <c r="CP26" s="1" t="s">
        <v>57</v>
      </c>
      <c r="CQ26" s="1" t="s">
        <v>118</v>
      </c>
      <c r="DB26" s="17">
        <f t="shared" si="5"/>
        <v>-1216510.5399999991</v>
      </c>
      <c r="DC26" s="1" cm="1">
        <f t="array" ref="DC26">transformedate(L26)</f>
        <v>46946</v>
      </c>
      <c r="DD26" s="1">
        <f>+YEARFRAC(Main!$D$3,DC26)</f>
        <v>3.2833333333333332</v>
      </c>
      <c r="DE26" s="57" cm="1">
        <f t="array" ref="DE26">[1]!Seuilmaterialite(C26,D26,DD26)</f>
        <v>6.0000000000000001E-3</v>
      </c>
    </row>
    <row r="27" spans="1:109" x14ac:dyDescent="0.2">
      <c r="A27" s="1" t="s">
        <v>126</v>
      </c>
      <c r="B27" s="101" t="s">
        <v>93</v>
      </c>
      <c r="C27" s="101" t="s">
        <v>93</v>
      </c>
      <c r="D27" s="1">
        <v>69189004</v>
      </c>
      <c r="E27" s="1" t="s">
        <v>75</v>
      </c>
      <c r="G27" s="1" t="s">
        <v>79</v>
      </c>
      <c r="H27" s="1" t="s">
        <v>67</v>
      </c>
      <c r="I27" s="1">
        <v>3.4049999999999998</v>
      </c>
      <c r="K27" s="1" t="s">
        <v>122</v>
      </c>
      <c r="L27" s="1" t="s">
        <v>123</v>
      </c>
      <c r="M27" s="1">
        <v>11978917</v>
      </c>
      <c r="N27" s="1">
        <v>12257964.279999999</v>
      </c>
      <c r="O27" s="42">
        <v>1.0232948671403266</v>
      </c>
      <c r="P27" s="1">
        <v>12256831.279999999</v>
      </c>
      <c r="Q27" s="42">
        <v>1.0232002842994905</v>
      </c>
      <c r="R27" s="1">
        <v>1133.01</v>
      </c>
      <c r="S27" s="42">
        <v>9.4583675636119696E-5</v>
      </c>
      <c r="T27" s="196">
        <v>2.1230000000000002</v>
      </c>
      <c r="U27" s="101">
        <v>-2684.58</v>
      </c>
      <c r="W27" s="1" t="s">
        <v>79</v>
      </c>
      <c r="X27" s="1" t="s">
        <v>71</v>
      </c>
      <c r="Y27" s="1">
        <v>5.375</v>
      </c>
      <c r="AA27" s="1" t="s">
        <v>122</v>
      </c>
      <c r="AB27" s="1" t="s">
        <v>123</v>
      </c>
      <c r="AC27" s="1" t="s">
        <v>64</v>
      </c>
      <c r="AD27" s="1">
        <v>10000000</v>
      </c>
      <c r="AE27" s="1">
        <v>-10237799.539999999</v>
      </c>
      <c r="AF27" s="42">
        <v>-1.0237799539999999</v>
      </c>
      <c r="AG27" s="1">
        <v>-10236326.939999999</v>
      </c>
      <c r="AH27" s="42">
        <v>-1.023632694</v>
      </c>
      <c r="AI27" s="1">
        <v>-1472.6</v>
      </c>
      <c r="AJ27" s="42">
        <v>-1.4726E-4</v>
      </c>
      <c r="AK27" s="196">
        <f>VLOOKUP($A27,'TCD Sensi SD IPA'!$B$5:$H$36,4,FALSE)</f>
        <v>1.84</v>
      </c>
      <c r="AL27" s="101">
        <f>VLOOKUP($A27,'TCD Sensi SD IPA'!$B$5:$H$36,7,FALSE)</f>
        <v>1887.26</v>
      </c>
      <c r="AN27" s="48">
        <v>52671.56</v>
      </c>
      <c r="AO27" s="42">
        <v>4.3970218676696732E-3</v>
      </c>
      <c r="AP27" s="1">
        <v>53294.16</v>
      </c>
      <c r="AQ27" s="42">
        <v>4.4489965161291292E-3</v>
      </c>
      <c r="AR27" s="1">
        <v>-622.6</v>
      </c>
      <c r="AS27" s="42">
        <v>-5.1974648459455892E-5</v>
      </c>
      <c r="AT27" s="196">
        <f>VLOOKUP($A27,'TCD Sensi SD IPA'!$B$5:$H$36,2,FALSE)</f>
        <v>9.1999999999999998E-2</v>
      </c>
      <c r="AU27" s="101">
        <f>VLOOKUP($A27,'TCD Sensi SD IPA'!$B$5:$H$36,5,FALSE)</f>
        <v>-2364.9299999999998</v>
      </c>
      <c r="AW27" s="48">
        <f>+VLOOKUP(A27,Triopti!A:E,4,0)</f>
        <v>81172.2</v>
      </c>
      <c r="AX27" s="42">
        <f t="shared" si="2"/>
        <v>6.7762553159020971E-3</v>
      </c>
      <c r="AZ27" s="42"/>
      <c r="BB27" s="42"/>
      <c r="BE27" s="42"/>
      <c r="BG27" s="42"/>
      <c r="BI27" s="42"/>
      <c r="BK27" s="17">
        <f t="shared" si="6"/>
        <v>-28500.639999999999</v>
      </c>
      <c r="BL27" s="52">
        <f t="shared" si="6"/>
        <v>-2.379233448232424E-3</v>
      </c>
      <c r="BN27" s="42"/>
      <c r="BP27" s="42"/>
      <c r="BQ27" s="1" t="str">
        <f t="shared" si="4"/>
        <v/>
      </c>
      <c r="BT27" s="42"/>
      <c r="BV27" s="42"/>
      <c r="BX27" s="42"/>
      <c r="CJ27" s="1" t="s">
        <v>53</v>
      </c>
      <c r="CK27" s="1" t="s">
        <v>125</v>
      </c>
      <c r="CL27" s="1" t="s">
        <v>51</v>
      </c>
      <c r="CM27" s="1" t="s">
        <v>124</v>
      </c>
      <c r="CN27" s="1" t="s">
        <v>55</v>
      </c>
      <c r="CO27" s="1" t="s">
        <v>102</v>
      </c>
      <c r="CP27" s="1" t="s">
        <v>57</v>
      </c>
      <c r="CQ27" s="1" t="s">
        <v>126</v>
      </c>
      <c r="DB27" s="17">
        <f t="shared" si="5"/>
        <v>-1967493.1799999997</v>
      </c>
      <c r="DC27" s="1" cm="1">
        <f t="array" ref="DC27">transformedate(L27)</f>
        <v>46464</v>
      </c>
      <c r="DD27" s="1">
        <f>+YEARFRAC(Main!$D$3,DC27)</f>
        <v>1.9666666666666666</v>
      </c>
      <c r="DE27" s="57" cm="1">
        <f t="array" ref="DE27">[1]!Seuilmaterialite(C27,D27,DD27)</f>
        <v>6.0000000000000001E-3</v>
      </c>
    </row>
    <row r="28" spans="1:109" x14ac:dyDescent="0.2">
      <c r="A28" s="1" t="s">
        <v>130</v>
      </c>
      <c r="B28" s="101" t="s">
        <v>93</v>
      </c>
      <c r="C28" s="101" t="s">
        <v>93</v>
      </c>
      <c r="D28" s="1">
        <v>69174181</v>
      </c>
      <c r="E28" s="1" t="s">
        <v>75</v>
      </c>
      <c r="G28" s="1" t="s">
        <v>79</v>
      </c>
      <c r="H28" s="1" t="s">
        <v>67</v>
      </c>
      <c r="I28" s="1">
        <v>3.3975</v>
      </c>
      <c r="K28" s="1" t="s">
        <v>127</v>
      </c>
      <c r="L28" s="1" t="s">
        <v>112</v>
      </c>
      <c r="M28" s="1">
        <v>8203445</v>
      </c>
      <c r="N28" s="1">
        <v>8591042.3100000005</v>
      </c>
      <c r="O28" s="42">
        <v>1.0472481146640222</v>
      </c>
      <c r="P28" s="1">
        <v>8512073.8900000006</v>
      </c>
      <c r="Q28" s="42">
        <v>1.0376218637413916</v>
      </c>
      <c r="R28" s="1">
        <v>78968.42</v>
      </c>
      <c r="S28" s="42">
        <v>9.6262509226306744E-3</v>
      </c>
      <c r="T28" s="196">
        <v>3.746</v>
      </c>
      <c r="U28" s="101">
        <v>-3232.92</v>
      </c>
      <c r="W28" s="1" t="s">
        <v>79</v>
      </c>
      <c r="X28" s="1" t="s">
        <v>71</v>
      </c>
      <c r="Y28" s="1">
        <v>5.25</v>
      </c>
      <c r="AA28" s="1" t="s">
        <v>127</v>
      </c>
      <c r="AB28" s="1" t="s">
        <v>112</v>
      </c>
      <c r="AC28" s="1" t="s">
        <v>64</v>
      </c>
      <c r="AD28" s="1">
        <v>7000000</v>
      </c>
      <c r="AE28" s="1">
        <v>-7385094.3899999997</v>
      </c>
      <c r="AF28" s="42">
        <v>-1.0550134842857142</v>
      </c>
      <c r="AG28" s="1">
        <v>-7283011.0599999996</v>
      </c>
      <c r="AH28" s="42">
        <v>-1.0404301514285714</v>
      </c>
      <c r="AI28" s="1">
        <v>-102083.33</v>
      </c>
      <c r="AJ28" s="42">
        <v>-1.4583332857142858E-2</v>
      </c>
      <c r="AK28" s="196">
        <f>VLOOKUP($A28,'TCD Sensi SD IPA'!$B$5:$H$36,4,FALSE)</f>
        <v>3.2749999999999999</v>
      </c>
      <c r="AL28" s="101">
        <f>VLOOKUP($A28,'TCD Sensi SD IPA'!$B$5:$H$36,7,FALSE)</f>
        <v>2423.48</v>
      </c>
      <c r="AN28" s="48">
        <v>-213314.38</v>
      </c>
      <c r="AO28" s="42">
        <v>-2.6003024339164828E-2</v>
      </c>
      <c r="AP28" s="1">
        <v>-170581.16</v>
      </c>
      <c r="AQ28" s="42">
        <v>-2.0793844537264527E-2</v>
      </c>
      <c r="AR28" s="1">
        <v>-42733.22</v>
      </c>
      <c r="AS28" s="42">
        <v>-5.2091798019002992E-3</v>
      </c>
      <c r="AT28" s="196">
        <f>VLOOKUP($A28,'TCD Sensi SD IPA'!$B$5:$H$36,2,FALSE)</f>
        <v>0.13800000000000001</v>
      </c>
      <c r="AU28" s="101">
        <f>VLOOKUP($A28,'TCD Sensi SD IPA'!$B$5:$H$36,5,FALSE)</f>
        <v>-3012.75</v>
      </c>
      <c r="AW28" s="48">
        <f>+VLOOKUP(A28,Triopti!A:E,4,0)</f>
        <v>-185932.4</v>
      </c>
      <c r="AX28" s="42">
        <f t="shared" si="2"/>
        <v>-2.2665160795251264E-2</v>
      </c>
      <c r="AZ28" s="42"/>
      <c r="BB28" s="42"/>
      <c r="BE28" s="42"/>
      <c r="BG28" s="42"/>
      <c r="BI28" s="42"/>
      <c r="BK28" s="17">
        <f t="shared" si="6"/>
        <v>-27381.98000000001</v>
      </c>
      <c r="BL28" s="52">
        <f t="shared" si="6"/>
        <v>-3.3378635439135634E-3</v>
      </c>
      <c r="BN28" s="42"/>
      <c r="BP28" s="42"/>
      <c r="BQ28" s="1" t="str">
        <f t="shared" si="4"/>
        <v/>
      </c>
      <c r="BT28" s="42"/>
      <c r="BV28" s="42"/>
      <c r="BX28" s="42"/>
      <c r="CJ28" s="1" t="s">
        <v>53</v>
      </c>
      <c r="CK28" s="1" t="s">
        <v>129</v>
      </c>
      <c r="CL28" s="1" t="s">
        <v>51</v>
      </c>
      <c r="CM28" s="1" t="s">
        <v>128</v>
      </c>
      <c r="CN28" s="1" t="s">
        <v>55</v>
      </c>
      <c r="CO28" s="1" t="s">
        <v>102</v>
      </c>
      <c r="CP28" s="1" t="s">
        <v>57</v>
      </c>
      <c r="CQ28" s="1" t="s">
        <v>130</v>
      </c>
      <c r="DB28" s="17">
        <f t="shared" si="5"/>
        <v>-1419262.3000000017</v>
      </c>
      <c r="DC28" s="1" cm="1">
        <f t="array" ref="DC28">transformedate(L28)</f>
        <v>46946</v>
      </c>
      <c r="DD28" s="1">
        <f>+YEARFRAC(Main!$D$3,DC28)</f>
        <v>3.2833333333333332</v>
      </c>
      <c r="DE28" s="57" cm="1">
        <f t="array" ref="DE28">[1]!Seuilmaterialite(C28,D28,DD28)</f>
        <v>6.0000000000000001E-3</v>
      </c>
    </row>
    <row r="29" spans="1:109" x14ac:dyDescent="0.2">
      <c r="A29" s="1" t="s">
        <v>139</v>
      </c>
      <c r="B29" s="101" t="s">
        <v>93</v>
      </c>
      <c r="C29" s="101" t="s">
        <v>93</v>
      </c>
      <c r="D29" s="1">
        <v>69163276</v>
      </c>
      <c r="E29" s="1" t="s">
        <v>75</v>
      </c>
      <c r="G29" s="1" t="s">
        <v>79</v>
      </c>
      <c r="H29" s="1" t="s">
        <v>67</v>
      </c>
      <c r="I29" s="1">
        <v>3.5</v>
      </c>
      <c r="K29" s="1" t="s">
        <v>111</v>
      </c>
      <c r="L29" s="1" t="s">
        <v>112</v>
      </c>
      <c r="M29" s="1">
        <v>9361105</v>
      </c>
      <c r="N29" s="1">
        <v>9839920.4800000004</v>
      </c>
      <c r="O29" s="42">
        <v>1.0511494615219037</v>
      </c>
      <c r="P29" s="1">
        <v>9747089.5299999993</v>
      </c>
      <c r="Q29" s="42">
        <v>1.0412327957009349</v>
      </c>
      <c r="R29" s="1">
        <v>92830.95</v>
      </c>
      <c r="S29" s="42">
        <v>9.9166658209687841E-3</v>
      </c>
      <c r="T29" s="196">
        <v>3.7410000000000001</v>
      </c>
      <c r="U29" s="101">
        <v>-3697.98</v>
      </c>
      <c r="W29" s="1" t="s">
        <v>79</v>
      </c>
      <c r="X29" s="1" t="s">
        <v>71</v>
      </c>
      <c r="Y29" s="1">
        <v>5.25</v>
      </c>
      <c r="AA29" s="1" t="s">
        <v>111</v>
      </c>
      <c r="AB29" s="1" t="s">
        <v>112</v>
      </c>
      <c r="AC29" s="1" t="s">
        <v>64</v>
      </c>
      <c r="AD29" s="1">
        <v>8000000</v>
      </c>
      <c r="AE29" s="1">
        <v>-8440107.8699999992</v>
      </c>
      <c r="AF29" s="42">
        <v>-1.0550134837499998</v>
      </c>
      <c r="AG29" s="1">
        <v>-8323441.2000000002</v>
      </c>
      <c r="AH29" s="42">
        <v>-1.0404301499999999</v>
      </c>
      <c r="AI29" s="1">
        <v>-116666.67</v>
      </c>
      <c r="AJ29" s="42">
        <v>-1.458333375E-2</v>
      </c>
      <c r="AK29" s="196">
        <f>VLOOKUP($A29,'TCD Sensi SD IPA'!$B$5:$H$36,4,FALSE)</f>
        <v>3.2749999999999999</v>
      </c>
      <c r="AL29" s="101">
        <f>VLOOKUP($A29,'TCD Sensi SD IPA'!$B$5:$H$36,7,FALSE)</f>
        <v>2769.69</v>
      </c>
      <c r="AN29" s="48">
        <v>-222201.44</v>
      </c>
      <c r="AO29" s="42">
        <v>-2.3736667839961201E-2</v>
      </c>
      <c r="AP29" s="1">
        <v>-175944.81</v>
      </c>
      <c r="AQ29" s="42">
        <v>-1.8795303545895491E-2</v>
      </c>
      <c r="AR29" s="1">
        <v>-46256.63</v>
      </c>
      <c r="AS29" s="42">
        <v>-4.9413642940657112E-3</v>
      </c>
      <c r="AT29" s="196">
        <f>VLOOKUP($A29,'TCD Sensi SD IPA'!$B$5:$H$36,2,FALSE)</f>
        <v>0.14099999999999999</v>
      </c>
      <c r="AU29" s="101">
        <f>VLOOKUP($A29,'TCD Sensi SD IPA'!$B$5:$H$36,5,FALSE)</f>
        <v>-3445.8</v>
      </c>
      <c r="AW29" s="48">
        <f>+VLOOKUP(A29,Triopti!A:E,4,0)</f>
        <v>-190956.58</v>
      </c>
      <c r="AX29" s="42">
        <f t="shared" si="2"/>
        <v>-2.0398935809394295E-2</v>
      </c>
      <c r="AZ29" s="42"/>
      <c r="BB29" s="42"/>
      <c r="BE29" s="42"/>
      <c r="BG29" s="42"/>
      <c r="BI29" s="42"/>
      <c r="BK29" s="17">
        <f t="shared" si="6"/>
        <v>-31244.860000000015</v>
      </c>
      <c r="BL29" s="52">
        <f t="shared" si="6"/>
        <v>-3.3377320305669061E-3</v>
      </c>
      <c r="BN29" s="42"/>
      <c r="BP29" s="42"/>
      <c r="BQ29" s="1" t="str">
        <f t="shared" si="4"/>
        <v/>
      </c>
      <c r="BT29" s="42"/>
      <c r="BV29" s="42"/>
      <c r="BX29" s="42"/>
      <c r="CJ29" s="1" t="s">
        <v>53</v>
      </c>
      <c r="CK29" s="1" t="s">
        <v>138</v>
      </c>
      <c r="CL29" s="1" t="s">
        <v>51</v>
      </c>
      <c r="CM29" s="1" t="s">
        <v>137</v>
      </c>
      <c r="CN29" s="1" t="s">
        <v>55</v>
      </c>
      <c r="CO29" s="1" t="s">
        <v>102</v>
      </c>
      <c r="CP29" s="1" t="s">
        <v>57</v>
      </c>
      <c r="CQ29" s="1" t="s">
        <v>139</v>
      </c>
      <c r="DB29" s="17">
        <f t="shared" si="5"/>
        <v>-1622014.0500000007</v>
      </c>
      <c r="DC29" s="1" cm="1">
        <f t="array" ref="DC29">transformedate(L29)</f>
        <v>46946</v>
      </c>
      <c r="DD29" s="1">
        <f>+YEARFRAC(Main!$D$3,DC29)</f>
        <v>3.2833333333333332</v>
      </c>
      <c r="DE29" s="57" cm="1">
        <f t="array" ref="DE29">[1]!Seuilmaterialite(C29,D29,DD29)</f>
        <v>6.0000000000000001E-3</v>
      </c>
    </row>
    <row r="30" spans="1:109" x14ac:dyDescent="0.2">
      <c r="A30" s="1" t="s">
        <v>149</v>
      </c>
      <c r="B30" s="101" t="s">
        <v>93</v>
      </c>
      <c r="C30" s="101" t="s">
        <v>93</v>
      </c>
      <c r="D30" s="1">
        <v>69063721</v>
      </c>
      <c r="E30" s="1" t="s">
        <v>92</v>
      </c>
      <c r="G30" s="1" t="s">
        <v>79</v>
      </c>
      <c r="H30" s="1" t="s">
        <v>67</v>
      </c>
      <c r="I30" s="1">
        <v>3.6524999999999999</v>
      </c>
      <c r="K30" s="1" t="s">
        <v>146</v>
      </c>
      <c r="L30" s="1" t="s">
        <v>123</v>
      </c>
      <c r="M30" s="1">
        <v>5901794</v>
      </c>
      <c r="N30" s="1">
        <v>6067549.5499999998</v>
      </c>
      <c r="O30" s="42">
        <v>1.0280856210840297</v>
      </c>
      <c r="P30" s="1">
        <v>6066950.7699999996</v>
      </c>
      <c r="Q30" s="42">
        <v>1.0279841637983298</v>
      </c>
      <c r="R30" s="1">
        <v>598.79</v>
      </c>
      <c r="S30" s="42">
        <v>1.0145898009994927E-4</v>
      </c>
      <c r="T30" s="196">
        <v>2.1160000000000001</v>
      </c>
      <c r="U30" s="101">
        <v>-1327.83</v>
      </c>
      <c r="W30" s="1" t="s">
        <v>79</v>
      </c>
      <c r="X30" s="1" t="s">
        <v>71</v>
      </c>
      <c r="Y30" s="1">
        <v>5.375</v>
      </c>
      <c r="AA30" s="1" t="s">
        <v>146</v>
      </c>
      <c r="AB30" s="1" t="s">
        <v>123</v>
      </c>
      <c r="AC30" s="1" t="s">
        <v>64</v>
      </c>
      <c r="AD30" s="1">
        <v>5000000</v>
      </c>
      <c r="AE30" s="1">
        <v>-5118899.7699999996</v>
      </c>
      <c r="AF30" s="42">
        <v>-1.0237799539999999</v>
      </c>
      <c r="AG30" s="1">
        <v>-5118153.24</v>
      </c>
      <c r="AH30" s="42">
        <v>-1.0236306480000001</v>
      </c>
      <c r="AI30" s="1">
        <v>-746.53</v>
      </c>
      <c r="AJ30" s="42">
        <v>-1.4930599999999998E-4</v>
      </c>
      <c r="AK30" s="196">
        <f>VLOOKUP($A30,'TCD Sensi SD IPA'!$B$5:$H$36,4,FALSE)</f>
        <v>1.84</v>
      </c>
      <c r="AL30" s="101">
        <f>VLOOKUP($A30,'TCD Sensi SD IPA'!$B$5:$H$36,7,FALSE)</f>
        <v>943.63</v>
      </c>
      <c r="AN30" s="48">
        <v>-35096.81</v>
      </c>
      <c r="AO30" s="42">
        <v>-5.9468036329292408E-3</v>
      </c>
      <c r="AP30" s="1">
        <v>-34805.599999999999</v>
      </c>
      <c r="AQ30" s="42">
        <v>-5.8974610093134395E-3</v>
      </c>
      <c r="AR30" s="1">
        <v>-291.20999999999998</v>
      </c>
      <c r="AS30" s="42">
        <v>-4.9342623615802243E-5</v>
      </c>
      <c r="AT30" s="196">
        <f>VLOOKUP($A30,'TCD Sensi SD IPA'!$B$5:$H$36,2,FALSE)</f>
        <v>7.0000000000000007E-2</v>
      </c>
      <c r="AU30" s="101">
        <f>VLOOKUP($A30,'TCD Sensi SD IPA'!$B$5:$H$36,5,FALSE)</f>
        <v>-1169.27</v>
      </c>
      <c r="AW30" s="48">
        <f>+VLOOKUP(A30,Triopti!A:E,4,0)</f>
        <v>-26996.94</v>
      </c>
      <c r="AX30" s="42">
        <f t="shared" si="2"/>
        <v>-4.5743616263122702E-3</v>
      </c>
      <c r="AZ30" s="42"/>
      <c r="BB30" s="42"/>
      <c r="BE30" s="42"/>
      <c r="BG30" s="42"/>
      <c r="BI30" s="42"/>
      <c r="BK30" s="17">
        <f t="shared" si="6"/>
        <v>-8099.869999999999</v>
      </c>
      <c r="BL30" s="52">
        <f t="shared" si="6"/>
        <v>-1.3724420066169706E-3</v>
      </c>
      <c r="BN30" s="42"/>
      <c r="BP30" s="42"/>
      <c r="BQ30" s="1" t="str">
        <f t="shared" si="4"/>
        <v/>
      </c>
      <c r="BT30" s="42"/>
      <c r="BV30" s="42"/>
      <c r="BX30" s="42"/>
      <c r="CJ30" s="1" t="s">
        <v>53</v>
      </c>
      <c r="CK30" s="1" t="s">
        <v>148</v>
      </c>
      <c r="CL30" s="1" t="s">
        <v>51</v>
      </c>
      <c r="CM30" s="1" t="s">
        <v>147</v>
      </c>
      <c r="CN30" s="1" t="s">
        <v>55</v>
      </c>
      <c r="CO30" s="1" t="s">
        <v>96</v>
      </c>
      <c r="CP30" s="1" t="s">
        <v>57</v>
      </c>
      <c r="CQ30" s="1" t="s">
        <v>149</v>
      </c>
      <c r="DB30" s="17">
        <f t="shared" si="5"/>
        <v>-983746.58999999985</v>
      </c>
      <c r="DC30" s="1" cm="1">
        <f t="array" ref="DC30">transformedate(L30)</f>
        <v>46464</v>
      </c>
      <c r="DD30" s="1">
        <f>+YEARFRAC(Main!$D$3,DC30)</f>
        <v>1.9666666666666666</v>
      </c>
      <c r="DE30" s="57" cm="1">
        <f t="array" ref="DE30">[1]!Seuilmaterialite(C30,D30,DD30)</f>
        <v>6.0000000000000001E-3</v>
      </c>
    </row>
    <row r="31" spans="1:109" x14ac:dyDescent="0.2">
      <c r="A31" s="1" t="s">
        <v>156</v>
      </c>
      <c r="B31" s="101" t="s">
        <v>93</v>
      </c>
      <c r="C31" s="101" t="s">
        <v>93</v>
      </c>
      <c r="D31" s="1">
        <v>69015063</v>
      </c>
      <c r="E31" s="1" t="s">
        <v>75</v>
      </c>
      <c r="G31" s="1" t="s">
        <v>79</v>
      </c>
      <c r="H31" s="1" t="s">
        <v>67</v>
      </c>
      <c r="I31" s="1">
        <v>3.6230000000000002</v>
      </c>
      <c r="K31" s="1" t="s">
        <v>146</v>
      </c>
      <c r="L31" s="1" t="s">
        <v>123</v>
      </c>
      <c r="M31" s="1">
        <v>8505611</v>
      </c>
      <c r="N31" s="1">
        <v>8739639.3000000007</v>
      </c>
      <c r="O31" s="42">
        <v>1.0275145783177717</v>
      </c>
      <c r="P31" s="1">
        <v>8738783.3000000007</v>
      </c>
      <c r="Q31" s="42">
        <v>1.0274139388692947</v>
      </c>
      <c r="R31" s="1">
        <v>856</v>
      </c>
      <c r="S31" s="42">
        <v>1.0063944847701123E-4</v>
      </c>
      <c r="T31" s="196">
        <v>2.117</v>
      </c>
      <c r="U31" s="101">
        <v>-1912.76</v>
      </c>
      <c r="W31" s="1" t="s">
        <v>79</v>
      </c>
      <c r="X31" s="1" t="s">
        <v>71</v>
      </c>
      <c r="Y31" s="1">
        <v>5.375</v>
      </c>
      <c r="AA31" s="1" t="s">
        <v>146</v>
      </c>
      <c r="AB31" s="1" t="s">
        <v>123</v>
      </c>
      <c r="AC31" s="1" t="s">
        <v>64</v>
      </c>
      <c r="AD31" s="1">
        <v>7200000</v>
      </c>
      <c r="AE31" s="1">
        <v>-7371215.6699999999</v>
      </c>
      <c r="AF31" s="42">
        <v>-1.0237799541666666</v>
      </c>
      <c r="AG31" s="1">
        <v>-7370140.6699999999</v>
      </c>
      <c r="AH31" s="42">
        <v>-1.0236306486111111</v>
      </c>
      <c r="AI31" s="1">
        <v>-1075</v>
      </c>
      <c r="AJ31" s="42">
        <v>-1.4930555555555555E-4</v>
      </c>
      <c r="AK31" s="196">
        <f>VLOOKUP($A31,'TCD Sensi SD IPA'!$B$5:$H$36,4,FALSE)</f>
        <v>1.84</v>
      </c>
      <c r="AL31" s="101">
        <f>VLOOKUP($A31,'TCD Sensi SD IPA'!$B$5:$H$36,7,FALSE)</f>
        <v>1358.83</v>
      </c>
      <c r="AN31" s="48">
        <v>-48171.46</v>
      </c>
      <c r="AO31" s="42">
        <v>-5.6634920172107563E-3</v>
      </c>
      <c r="AP31" s="1">
        <v>-47745.87</v>
      </c>
      <c r="AQ31" s="42">
        <v>-5.6134556353447159E-3</v>
      </c>
      <c r="AR31" s="1">
        <v>-425.6</v>
      </c>
      <c r="AS31" s="42">
        <v>-5.0037557560532692E-5</v>
      </c>
      <c r="AT31" s="196">
        <f>VLOOKUP($A31,'TCD Sensi SD IPA'!$B$5:$H$36,2,FALSE)</f>
        <v>7.0999999999999994E-2</v>
      </c>
      <c r="AU31" s="101">
        <f>VLOOKUP($A31,'TCD Sensi SD IPA'!$B$5:$H$36,5,FALSE)</f>
        <v>-1684.44</v>
      </c>
      <c r="AW31" s="48">
        <f>+VLOOKUP(A31,Triopti!A:E,4,0)</f>
        <v>-27650.99</v>
      </c>
      <c r="AX31" s="42">
        <f t="shared" si="2"/>
        <v>-3.2509116629011133E-3</v>
      </c>
      <c r="AZ31" s="42"/>
      <c r="BB31" s="42"/>
      <c r="BE31" s="42"/>
      <c r="BG31" s="42"/>
      <c r="BI31" s="42"/>
      <c r="BK31" s="17">
        <f t="shared" si="6"/>
        <v>-20520.469999999998</v>
      </c>
      <c r="BL31" s="52">
        <f t="shared" si="6"/>
        <v>-2.4125803543096429E-3</v>
      </c>
      <c r="BN31" s="42"/>
      <c r="BP31" s="42"/>
      <c r="BQ31" s="1" t="str">
        <f t="shared" si="4"/>
        <v/>
      </c>
      <c r="BT31" s="42"/>
      <c r="BV31" s="42"/>
      <c r="BX31" s="42"/>
      <c r="CJ31" s="1" t="s">
        <v>53</v>
      </c>
      <c r="CK31" s="1" t="s">
        <v>155</v>
      </c>
      <c r="CL31" s="1" t="s">
        <v>51</v>
      </c>
      <c r="CM31" s="1" t="s">
        <v>154</v>
      </c>
      <c r="CN31" s="1" t="s">
        <v>55</v>
      </c>
      <c r="CO31" s="1" t="s">
        <v>102</v>
      </c>
      <c r="CP31" s="1" t="s">
        <v>57</v>
      </c>
      <c r="CQ31" s="1" t="s">
        <v>156</v>
      </c>
      <c r="DB31" s="17">
        <f t="shared" si="5"/>
        <v>-1416595.0900000017</v>
      </c>
      <c r="DC31" s="1" cm="1">
        <f t="array" ref="DC31">transformedate(L31)</f>
        <v>46464</v>
      </c>
      <c r="DD31" s="1">
        <f>+YEARFRAC(Main!$D$3,DC31)</f>
        <v>1.9666666666666666</v>
      </c>
      <c r="DE31" s="57" cm="1">
        <f t="array" ref="DE31">[1]!Seuilmaterialite(C31,D31,DD31)</f>
        <v>6.0000000000000001E-3</v>
      </c>
    </row>
    <row r="32" spans="1:109" ht="15" x14ac:dyDescent="0.25">
      <c r="A32" s="1" t="s">
        <v>164</v>
      </c>
      <c r="B32" s="101" t="s">
        <v>93</v>
      </c>
      <c r="C32" s="101" t="s">
        <v>93</v>
      </c>
      <c r="D32" s="1">
        <v>69146070</v>
      </c>
      <c r="E32" s="1" t="s">
        <v>92</v>
      </c>
      <c r="G32" s="1" t="s">
        <v>79</v>
      </c>
      <c r="H32" s="1" t="s">
        <v>67</v>
      </c>
      <c r="I32" s="1">
        <v>3.64</v>
      </c>
      <c r="K32" s="1" t="s">
        <v>111</v>
      </c>
      <c r="L32" s="1" t="s">
        <v>112</v>
      </c>
      <c r="M32" s="1">
        <v>17674090</v>
      </c>
      <c r="N32" s="1">
        <v>18672292.550000001</v>
      </c>
      <c r="O32" s="42">
        <v>1.0564782995899649</v>
      </c>
      <c r="P32" s="1">
        <v>18490013.77</v>
      </c>
      <c r="Q32" s="42">
        <v>1.0461649663433874</v>
      </c>
      <c r="R32" s="1">
        <v>182278.78</v>
      </c>
      <c r="S32" s="42">
        <v>1.0313333246577334E-2</v>
      </c>
      <c r="T32" s="196">
        <v>3.7349999999999999</v>
      </c>
      <c r="U32" s="101">
        <v>-7004.67</v>
      </c>
      <c r="W32" s="1" t="s">
        <v>79</v>
      </c>
      <c r="X32" s="1" t="s">
        <v>71</v>
      </c>
      <c r="Y32" s="1">
        <v>5.25</v>
      </c>
      <c r="AA32" s="1" t="s">
        <v>111</v>
      </c>
      <c r="AB32" s="1" t="s">
        <v>112</v>
      </c>
      <c r="AC32" s="1" t="s">
        <v>64</v>
      </c>
      <c r="AD32" s="1">
        <v>15000000</v>
      </c>
      <c r="AE32" s="1">
        <v>-15825202.26</v>
      </c>
      <c r="AF32" s="42">
        <v>-1.0550134840000001</v>
      </c>
      <c r="AG32" s="1">
        <v>-15606452.26</v>
      </c>
      <c r="AH32" s="42">
        <v>-1.0404301506666667</v>
      </c>
      <c r="AI32" s="1">
        <v>-218750</v>
      </c>
      <c r="AJ32" s="42">
        <v>-1.4583333333333334E-2</v>
      </c>
      <c r="AK32" s="196">
        <f>VLOOKUP($A32,'TCD Sensi SD IPA'!$B$5:$H$36,4,FALSE)</f>
        <v>3.2749999999999999</v>
      </c>
      <c r="AL32" s="101">
        <f>VLOOKUP($A32,'TCD Sensi SD IPA'!$B$5:$H$36,7,FALSE)</f>
        <v>5193.17</v>
      </c>
      <c r="AN32" s="48">
        <v>-194186.07</v>
      </c>
      <c r="AO32" s="42">
        <v>-1.0987047706558018E-2</v>
      </c>
      <c r="AP32" s="1">
        <v>-115675.62</v>
      </c>
      <c r="AQ32" s="42">
        <v>-6.5449264997518965E-3</v>
      </c>
      <c r="AR32" s="1">
        <v>-78510.44</v>
      </c>
      <c r="AS32" s="42">
        <v>-4.4421206410061283E-3</v>
      </c>
      <c r="AT32" s="196">
        <f>VLOOKUP($A32,'TCD Sensi SD IPA'!$B$5:$H$36,2,FALSE)</f>
        <v>0.17899999999999999</v>
      </c>
      <c r="AU32" s="101">
        <f>VLOOKUP($A32,'TCD Sensi SD IPA'!$B$5:$H$36,5,FALSE)</f>
        <v>-6526.16</v>
      </c>
      <c r="AW32" s="48">
        <f>+VLOOKUP(A32,Triopti!A:E,4,0)</f>
        <v>-156940.04</v>
      </c>
      <c r="AX32" s="42">
        <f t="shared" si="2"/>
        <v>-8.8796673548680594E-3</v>
      </c>
      <c r="AZ32" s="42"/>
      <c r="BB32" s="42"/>
      <c r="BE32" s="42"/>
      <c r="BG32" s="42"/>
      <c r="BI32" s="42"/>
      <c r="BK32" s="17">
        <f t="shared" si="6"/>
        <v>-37246.03</v>
      </c>
      <c r="BL32" s="52">
        <f t="shared" si="6"/>
        <v>-2.1073803516899591E-3</v>
      </c>
      <c r="BN32" s="42"/>
      <c r="BP32" s="42"/>
      <c r="BQ32" s="1" t="str">
        <f t="shared" si="4"/>
        <v/>
      </c>
      <c r="BT32" s="42"/>
      <c r="BV32" s="42"/>
      <c r="BX32" s="42"/>
      <c r="CH32" s="203"/>
      <c r="CJ32" s="1" t="s">
        <v>53</v>
      </c>
      <c r="CK32" s="1" t="s">
        <v>163</v>
      </c>
      <c r="CL32" s="1" t="s">
        <v>51</v>
      </c>
      <c r="CM32" s="1" t="s">
        <v>162</v>
      </c>
      <c r="CN32" s="1" t="s">
        <v>55</v>
      </c>
      <c r="CO32" s="1" t="s">
        <v>96</v>
      </c>
      <c r="CP32" s="1" t="s">
        <v>57</v>
      </c>
      <c r="CQ32" s="1" t="s">
        <v>164</v>
      </c>
      <c r="DB32" s="17">
        <f t="shared" si="5"/>
        <v>-3041276.3600000013</v>
      </c>
      <c r="DC32" s="1" cm="1">
        <f t="array" ref="DC32">transformedate(L32)</f>
        <v>46946</v>
      </c>
      <c r="DD32" s="1">
        <f>+YEARFRAC(Main!$D$3,DC32)</f>
        <v>3.2833333333333332</v>
      </c>
      <c r="DE32" s="57" cm="1">
        <f t="array" ref="DE32">[1]!Seuilmaterialite(C32,D32,DD32)</f>
        <v>6.0000000000000001E-3</v>
      </c>
    </row>
    <row r="33" spans="1:109" x14ac:dyDescent="0.2">
      <c r="A33" s="1" t="s">
        <v>171</v>
      </c>
      <c r="B33" s="101" t="s">
        <v>93</v>
      </c>
      <c r="C33" s="101" t="s">
        <v>93</v>
      </c>
      <c r="D33" s="1">
        <v>69245196</v>
      </c>
      <c r="E33" s="1" t="s">
        <v>92</v>
      </c>
      <c r="G33" s="1" t="s">
        <v>79</v>
      </c>
      <c r="H33" s="1" t="s">
        <v>67</v>
      </c>
      <c r="I33" s="1">
        <v>3.3149999999999999</v>
      </c>
      <c r="K33" s="1" t="s">
        <v>168</v>
      </c>
      <c r="L33" s="1" t="s">
        <v>123</v>
      </c>
      <c r="M33" s="1">
        <v>8719183</v>
      </c>
      <c r="N33" s="1">
        <v>8907105.5600000005</v>
      </c>
      <c r="O33" s="42">
        <v>1.0215527716300943</v>
      </c>
      <c r="P33" s="1">
        <v>8906302.6699999999</v>
      </c>
      <c r="Q33" s="42">
        <v>1.0214606884612927</v>
      </c>
      <c r="R33" s="1">
        <v>802.89</v>
      </c>
      <c r="S33" s="42">
        <v>9.2083168801480598E-5</v>
      </c>
      <c r="T33" s="196">
        <v>2.125</v>
      </c>
      <c r="U33" s="101">
        <v>-1951.26</v>
      </c>
      <c r="W33" s="1" t="s">
        <v>79</v>
      </c>
      <c r="X33" s="1" t="s">
        <v>71</v>
      </c>
      <c r="Y33" s="1">
        <v>5.375</v>
      </c>
      <c r="AA33" s="1" t="s">
        <v>168</v>
      </c>
      <c r="AB33" s="1" t="s">
        <v>123</v>
      </c>
      <c r="AC33" s="1" t="s">
        <v>64</v>
      </c>
      <c r="AD33" s="1">
        <v>7250000</v>
      </c>
      <c r="AE33" s="1">
        <v>-7422404.6600000001</v>
      </c>
      <c r="AF33" s="42">
        <v>-1.0237799531034484</v>
      </c>
      <c r="AG33" s="1">
        <v>-7421337.0300000003</v>
      </c>
      <c r="AH33" s="42">
        <v>-1.0236326937931035</v>
      </c>
      <c r="AI33" s="1">
        <v>-1067.6400000000001</v>
      </c>
      <c r="AJ33" s="42">
        <v>-1.4726068965517243E-4</v>
      </c>
      <c r="AK33" s="196">
        <f>VLOOKUP($A33,'TCD Sensi SD IPA'!$B$5:$H$36,4,FALSE)</f>
        <v>1.84</v>
      </c>
      <c r="AL33" s="101">
        <f>VLOOKUP($A33,'TCD Sensi SD IPA'!$B$5:$H$36,7,FALSE)</f>
        <v>1368.26</v>
      </c>
      <c r="AN33" s="48">
        <v>58268.34</v>
      </c>
      <c r="AO33" s="42">
        <v>6.6827752095580508E-3</v>
      </c>
      <c r="AP33" s="1">
        <v>58738.26</v>
      </c>
      <c r="AQ33" s="42">
        <v>6.7366701673769206E-3</v>
      </c>
      <c r="AR33" s="1">
        <v>-469.92</v>
      </c>
      <c r="AS33" s="42">
        <v>-5.3894957818869041E-5</v>
      </c>
      <c r="AT33" s="196">
        <f>VLOOKUP($A33,'TCD Sensi SD IPA'!$B$5:$H$36,2,FALSE)</f>
        <v>9.7000000000000003E-2</v>
      </c>
      <c r="AU33" s="101">
        <f>VLOOKUP($A33,'TCD Sensi SD IPA'!$B$5:$H$36,5,FALSE)</f>
        <v>-1719.17</v>
      </c>
      <c r="AW33" s="48">
        <f>+VLOOKUP(A33,Triopti!A:E,4,0)</f>
        <v>70020.12</v>
      </c>
      <c r="AX33" s="42">
        <f t="shared" si="2"/>
        <v>8.0305826818865937E-3</v>
      </c>
      <c r="AZ33" s="42"/>
      <c r="BB33" s="42"/>
      <c r="BE33" s="42"/>
      <c r="BG33" s="42"/>
      <c r="BI33" s="42"/>
      <c r="BK33" s="17">
        <f t="shared" si="6"/>
        <v>-11751.779999999999</v>
      </c>
      <c r="BL33" s="52">
        <f t="shared" si="6"/>
        <v>-1.3478074723285429E-3</v>
      </c>
      <c r="BN33" s="42"/>
      <c r="BP33" s="42"/>
      <c r="BQ33" s="1" t="str">
        <f t="shared" si="4"/>
        <v/>
      </c>
      <c r="BT33" s="42"/>
      <c r="BV33" s="42"/>
      <c r="BX33" s="42"/>
      <c r="CJ33" s="1" t="s">
        <v>53</v>
      </c>
      <c r="CK33" s="1" t="s">
        <v>170</v>
      </c>
      <c r="CL33" s="1" t="s">
        <v>51</v>
      </c>
      <c r="CM33" s="1" t="s">
        <v>169</v>
      </c>
      <c r="CN33" s="1" t="s">
        <v>55</v>
      </c>
      <c r="CO33" s="1" t="s">
        <v>96</v>
      </c>
      <c r="CP33" s="1" t="s">
        <v>57</v>
      </c>
      <c r="CQ33" s="1" t="s">
        <v>171</v>
      </c>
      <c r="DB33" s="17">
        <f t="shared" si="5"/>
        <v>-1426432.5600000005</v>
      </c>
      <c r="DC33" s="1" cm="1">
        <f t="array" ref="DC33">transformedate(L33)</f>
        <v>46464</v>
      </c>
      <c r="DD33" s="1">
        <f>+YEARFRAC(Main!$D$3,DC33)</f>
        <v>1.9666666666666666</v>
      </c>
      <c r="DE33" s="57" cm="1">
        <f t="array" ref="DE33">[1]!Seuilmaterialite(C33,D33,DD33)</f>
        <v>6.0000000000000001E-3</v>
      </c>
    </row>
    <row r="34" spans="1:109" x14ac:dyDescent="0.2">
      <c r="A34" s="1"/>
      <c r="DB34" s="17"/>
      <c r="DE34" s="57"/>
    </row>
    <row r="35" spans="1:109" x14ac:dyDescent="0.2">
      <c r="DB35" s="17"/>
      <c r="DE35" s="57"/>
    </row>
  </sheetData>
  <autoFilter ref="A1:CH78" xr:uid="{00000000-0001-0000-0300-000000000000}"/>
  <mergeCells count="8">
    <mergeCell ref="BR5:BR6"/>
    <mergeCell ref="BZ5:BZ6"/>
    <mergeCell ref="F5:F6"/>
    <mergeCell ref="V5:V6"/>
    <mergeCell ref="AM5:AM6"/>
    <mergeCell ref="AV5:AV6"/>
    <mergeCell ref="BC5:BC6"/>
    <mergeCell ref="BJ5:BJ6"/>
  </mergeCells>
  <pageMargins left="0.78740157499999996" right="0.78740157499999996" top="0.984251969" bottom="0.984251969" header="0.5" footer="0.5"/>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BE832-1A67-40B4-8E4D-D4F00C3C1E57}">
  <sheetPr codeName="Feuil12"/>
  <dimension ref="A1:B29"/>
  <sheetViews>
    <sheetView workbookViewId="0">
      <selection activeCell="B1" sqref="B1:B29"/>
    </sheetView>
  </sheetViews>
  <sheetFormatPr baseColWidth="10" defaultRowHeight="12.75" x14ac:dyDescent="0.2"/>
  <sheetData>
    <row r="1" spans="1:2" x14ac:dyDescent="0.2">
      <c r="A1" s="1" t="s">
        <v>269</v>
      </c>
      <c r="B1" t="str">
        <f>+VLOOKUP(A1,'IRS - INF – XCCY'!$A$7:$A$24,1,FALSE)</f>
        <v>SWAP_258</v>
      </c>
    </row>
    <row r="2" spans="1:2" x14ac:dyDescent="0.2">
      <c r="A2" s="1" t="s">
        <v>257</v>
      </c>
      <c r="B2" t="e">
        <f>+VLOOKUP(A2,'IRS - INF – XCCY'!$A$7:$A$24,1,FALSE)</f>
        <v>#N/A</v>
      </c>
    </row>
    <row r="3" spans="1:2" x14ac:dyDescent="0.2">
      <c r="A3" s="1" t="s">
        <v>272</v>
      </c>
      <c r="B3" t="str">
        <f>+VLOOKUP(A3,'IRS - INF – XCCY'!$A$7:$A$24,1,FALSE)</f>
        <v>SWAP_253</v>
      </c>
    </row>
    <row r="4" spans="1:2" x14ac:dyDescent="0.2">
      <c r="A4" s="1" t="s">
        <v>277</v>
      </c>
      <c r="B4" t="str">
        <f>+VLOOKUP(A4,'IRS - INF – XCCY'!$A$7:$A$24,1,FALSE)</f>
        <v>SWAP_240</v>
      </c>
    </row>
    <row r="5" spans="1:2" x14ac:dyDescent="0.2">
      <c r="A5" s="1" t="s">
        <v>280</v>
      </c>
      <c r="B5" t="str">
        <f>+VLOOKUP(A5,'IRS - INF – XCCY'!$A$7:$A$24,1,FALSE)</f>
        <v>SWAP_262</v>
      </c>
    </row>
    <row r="6" spans="1:2" x14ac:dyDescent="0.2">
      <c r="A6" s="1" t="s">
        <v>283</v>
      </c>
      <c r="B6" t="str">
        <f>+VLOOKUP(A6,'IRS - INF – XCCY'!$A$7:$A$24,1,FALSE)</f>
        <v>SWAP_254</v>
      </c>
    </row>
    <row r="7" spans="1:2" x14ac:dyDescent="0.2">
      <c r="A7" s="1" t="s">
        <v>286</v>
      </c>
      <c r="B7" t="str">
        <f>+VLOOKUP(A7,'IRS - INF – XCCY'!$A$7:$A$24,1,FALSE)</f>
        <v>SWAP_257</v>
      </c>
    </row>
    <row r="8" spans="1:2" x14ac:dyDescent="0.2">
      <c r="A8" s="1" t="s">
        <v>289</v>
      </c>
      <c r="B8" t="str">
        <f>+VLOOKUP(A8,'IRS - INF – XCCY'!$A$7:$A$24,1,FALSE)</f>
        <v>SWAP_235</v>
      </c>
    </row>
    <row r="9" spans="1:2" x14ac:dyDescent="0.2">
      <c r="A9" s="1" t="s">
        <v>292</v>
      </c>
      <c r="B9" t="str">
        <f>+VLOOKUP(A9,'IRS - INF – XCCY'!$A$7:$A$24,1,FALSE)</f>
        <v>SWAP_149</v>
      </c>
    </row>
    <row r="10" spans="1:2" x14ac:dyDescent="0.2">
      <c r="A10" s="1" t="s">
        <v>297</v>
      </c>
      <c r="B10" t="str">
        <f>+VLOOKUP(A10,'IRS - INF – XCCY'!$A$7:$A$24,1,FALSE)</f>
        <v>SWAP_255</v>
      </c>
    </row>
    <row r="11" spans="1:2" x14ac:dyDescent="0.2">
      <c r="A11" s="1" t="s">
        <v>264</v>
      </c>
      <c r="B11" t="str">
        <f>+VLOOKUP(A11,'IRS - INF – XCCY'!$A$7:$A$24,1,FALSE)</f>
        <v>SWAP_234</v>
      </c>
    </row>
    <row r="12" spans="1:2" x14ac:dyDescent="0.2">
      <c r="A12" s="1" t="s">
        <v>300</v>
      </c>
      <c r="B12" t="str">
        <f>+VLOOKUP(A12,'IRS - INF – XCCY'!$A$7:$A$24,1,FALSE)</f>
        <v>SWAP_148</v>
      </c>
    </row>
    <row r="13" spans="1:2" x14ac:dyDescent="0.2">
      <c r="A13" s="1" t="s">
        <v>180</v>
      </c>
      <c r="B13" t="str">
        <f>+VLOOKUP(A13,'IRS - INF – XCCY'!$A$7:$A$24,1,FALSE)</f>
        <v>SWAP_303</v>
      </c>
    </row>
    <row r="14" spans="1:2" x14ac:dyDescent="0.2">
      <c r="A14" s="1" t="s">
        <v>185</v>
      </c>
      <c r="B14" t="str">
        <f>+VLOOKUP(A14,'IRS - INF – XCCY'!$A$7:$A$24,1,FALSE)</f>
        <v>SWAP_304</v>
      </c>
    </row>
    <row r="15" spans="1:2" x14ac:dyDescent="0.2">
      <c r="A15" s="1" t="s">
        <v>214</v>
      </c>
      <c r="B15" t="str">
        <f>+VLOOKUP(A15,'IRS - INF – XCCY'!$A$7:$A$24,1,FALSE)</f>
        <v>SWAP_319</v>
      </c>
    </row>
    <row r="16" spans="1:2" x14ac:dyDescent="0.2">
      <c r="A16" s="1" t="s">
        <v>219</v>
      </c>
      <c r="B16" t="str">
        <f>+VLOOKUP(A16,'IRS - INF – XCCY'!$A$7:$A$24,1,FALSE)</f>
        <v>SWAP_320</v>
      </c>
    </row>
    <row r="17" spans="1:2" x14ac:dyDescent="0.2">
      <c r="A17" s="1" t="s">
        <v>225</v>
      </c>
      <c r="B17" t="str">
        <f>+VLOOKUP(A17,'IRS - INF – XCCY'!$A$7:$A$24,1,FALSE)</f>
        <v>SWAP_324</v>
      </c>
    </row>
    <row r="18" spans="1:2" x14ac:dyDescent="0.2">
      <c r="A18" s="1" t="s">
        <v>235</v>
      </c>
      <c r="B18" t="str">
        <f>+VLOOKUP(A18,'IRS - INF – XCCY'!$A$7:$A$24,1,FALSE)</f>
        <v>SWAP_341</v>
      </c>
    </row>
    <row r="19" spans="1:2" x14ac:dyDescent="0.2">
      <c r="A19" s="1" t="s">
        <v>239</v>
      </c>
      <c r="B19" t="str">
        <f>+VLOOKUP(A19,'IRS - INF – XCCY'!$A$7:$A$24,1,FALSE)</f>
        <v>SWAP_342</v>
      </c>
    </row>
    <row r="20" spans="1:2" x14ac:dyDescent="0.2">
      <c r="A20" s="1" t="s">
        <v>245</v>
      </c>
      <c r="B20" t="e">
        <f>+VLOOKUP(A20,'IRS - INF – XCCY'!$A$7:$A$24,1,FALSE)</f>
        <v>#N/A</v>
      </c>
    </row>
    <row r="21" spans="1:2" x14ac:dyDescent="0.2">
      <c r="A21" s="1" t="s">
        <v>115</v>
      </c>
      <c r="B21" t="e">
        <f>+VLOOKUP(A21,'IRS - INF – XCCY'!$A$7:$A$24,1,FALSE)</f>
        <v>#N/A</v>
      </c>
    </row>
    <row r="22" spans="1:2" x14ac:dyDescent="0.2">
      <c r="A22" s="1" t="s">
        <v>118</v>
      </c>
      <c r="B22" t="e">
        <f>+VLOOKUP(A22,'IRS - INF – XCCY'!$A$7:$A$24,1,FALSE)</f>
        <v>#N/A</v>
      </c>
    </row>
    <row r="23" spans="1:2" x14ac:dyDescent="0.2">
      <c r="A23" s="1" t="s">
        <v>126</v>
      </c>
      <c r="B23" t="e">
        <f>+VLOOKUP(A23,'IRS - INF – XCCY'!$A$7:$A$24,1,FALSE)</f>
        <v>#N/A</v>
      </c>
    </row>
    <row r="24" spans="1:2" x14ac:dyDescent="0.2">
      <c r="A24" s="1" t="s">
        <v>130</v>
      </c>
      <c r="B24" t="e">
        <f>+VLOOKUP(A24,'IRS - INF – XCCY'!$A$7:$A$24,1,FALSE)</f>
        <v>#N/A</v>
      </c>
    </row>
    <row r="25" spans="1:2" x14ac:dyDescent="0.2">
      <c r="A25" s="1" t="s">
        <v>139</v>
      </c>
      <c r="B25" t="e">
        <f>+VLOOKUP(A25,'IRS - INF – XCCY'!$A$7:$A$24,1,FALSE)</f>
        <v>#N/A</v>
      </c>
    </row>
    <row r="26" spans="1:2" x14ac:dyDescent="0.2">
      <c r="A26" s="1" t="s">
        <v>149</v>
      </c>
      <c r="B26" t="e">
        <f>+VLOOKUP(A26,'IRS - INF – XCCY'!$A$7:$A$24,1,FALSE)</f>
        <v>#N/A</v>
      </c>
    </row>
    <row r="27" spans="1:2" x14ac:dyDescent="0.2">
      <c r="A27" s="1" t="s">
        <v>156</v>
      </c>
      <c r="B27" t="e">
        <f>+VLOOKUP(A27,'IRS - INF – XCCY'!$A$7:$A$24,1,FALSE)</f>
        <v>#N/A</v>
      </c>
    </row>
    <row r="28" spans="1:2" x14ac:dyDescent="0.2">
      <c r="A28" s="1" t="s">
        <v>164</v>
      </c>
      <c r="B28" t="e">
        <f>+VLOOKUP(A28,'IRS - INF – XCCY'!$A$7:$A$24,1,FALSE)</f>
        <v>#N/A</v>
      </c>
    </row>
    <row r="29" spans="1:2" x14ac:dyDescent="0.2">
      <c r="A29" s="1" t="s">
        <v>171</v>
      </c>
      <c r="B29" t="e">
        <f>+VLOOKUP(A29,'IRS - INF – XCCY'!$A$7:$A$24,1,FALSE)</f>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F7EE6-5D1A-44DE-A046-558C08914CB2}">
  <sheetPr codeName="Feuil2"/>
  <dimension ref="A1:AG88"/>
  <sheetViews>
    <sheetView workbookViewId="0">
      <selection sqref="A1:XFD1048576"/>
    </sheetView>
  </sheetViews>
  <sheetFormatPr baseColWidth="10" defaultRowHeight="12.75" x14ac:dyDescent="0.2"/>
  <cols>
    <col min="1" max="1" width="20.28515625" bestFit="1" customWidth="1"/>
    <col min="2" max="2" width="18.28515625" bestFit="1" customWidth="1"/>
    <col min="3" max="3" width="22.5703125" bestFit="1" customWidth="1"/>
    <col min="4" max="4" width="11.140625" bestFit="1" customWidth="1"/>
    <col min="5" max="5" width="33.42578125" bestFit="1" customWidth="1"/>
    <col min="6" max="6" width="19.5703125" bestFit="1" customWidth="1"/>
    <col min="7" max="7" width="13.140625" bestFit="1" customWidth="1"/>
    <col min="8" max="9" width="20.7109375" bestFit="1" customWidth="1"/>
    <col min="11" max="11" width="21.42578125" bestFit="1" customWidth="1"/>
    <col min="12" max="12" width="80.85546875" bestFit="1" customWidth="1"/>
    <col min="13" max="15" width="21" customWidth="1"/>
    <col min="24" max="25" width="12.140625" bestFit="1" customWidth="1"/>
  </cols>
  <sheetData>
    <row r="1" spans="1:12" x14ac:dyDescent="0.2">
      <c r="A1" s="72" t="s">
        <v>649</v>
      </c>
      <c r="B1" s="72" t="s">
        <v>654</v>
      </c>
      <c r="C1" s="72" t="s">
        <v>355</v>
      </c>
      <c r="D1" s="72" t="s">
        <v>2</v>
      </c>
      <c r="E1" s="72" t="s">
        <v>653</v>
      </c>
      <c r="F1" s="72" t="s">
        <v>650</v>
      </c>
      <c r="G1" s="72" t="s">
        <v>651</v>
      </c>
      <c r="H1" s="72" t="s">
        <v>652</v>
      </c>
      <c r="I1" s="72" t="s">
        <v>689</v>
      </c>
      <c r="J1" s="72" t="s">
        <v>690</v>
      </c>
      <c r="K1" s="72" t="s">
        <v>304</v>
      </c>
      <c r="L1" s="72" t="s">
        <v>691</v>
      </c>
    </row>
    <row r="2" spans="1:12" x14ac:dyDescent="0.2">
      <c r="A2" t="str">
        <f t="shared" ref="A2:A15" si="0">B48</f>
        <v>BDFWD100000015</v>
      </c>
      <c r="B2" s="22"/>
      <c r="C2" t="str">
        <f>Y48</f>
        <v>BNP Paribas</v>
      </c>
      <c r="D2" s="64">
        <f t="shared" ref="D2:D14" si="1">J48</f>
        <v>28700000</v>
      </c>
      <c r="E2" s="64">
        <f>Q48</f>
        <v>-10710026.33</v>
      </c>
      <c r="F2" s="64">
        <f>R48</f>
        <v>-10694068.619204</v>
      </c>
      <c r="G2" s="142">
        <f>E2/D2</f>
        <v>-0.37317164912891987</v>
      </c>
      <c r="H2" s="142">
        <f>F2/D2</f>
        <v>-0.37261563133114983</v>
      </c>
      <c r="I2" s="144">
        <v>5.0000000000000001E-3</v>
      </c>
      <c r="J2" s="144">
        <f>+G2-H2</f>
        <v>-5.5601779777003646E-4</v>
      </c>
      <c r="K2" t="str">
        <f t="shared" ref="K2:K14" si="2">IF(ABS(G2-H2)&gt;I2,"alerte","")</f>
        <v/>
      </c>
      <c r="L2" s="22"/>
    </row>
    <row r="3" spans="1:12" x14ac:dyDescent="0.2">
      <c r="A3" t="str">
        <f t="shared" si="0"/>
        <v>BDFWD100000028</v>
      </c>
      <c r="B3" s="22"/>
      <c r="C3" t="str">
        <f t="shared" ref="C3:C14" si="3">Y49</f>
        <v>BNP Paribas</v>
      </c>
      <c r="D3" s="64">
        <f t="shared" si="1"/>
        <v>27000000</v>
      </c>
      <c r="E3" s="64">
        <f t="shared" ref="E3:E14" si="4">Q49</f>
        <v>-7932340.2000000002</v>
      </c>
      <c r="F3" s="64">
        <f t="shared" ref="F3:F14" si="5">R49</f>
        <v>-7906455.8180910004</v>
      </c>
      <c r="G3" s="142">
        <f t="shared" ref="G3:G10" si="6">E3/D3</f>
        <v>-0.29379037777777778</v>
      </c>
      <c r="H3" s="142">
        <f t="shared" ref="H3:H14" si="7">F3/D3</f>
        <v>-0.29283169696633338</v>
      </c>
      <c r="I3" s="144">
        <v>5.0000000000000001E-3</v>
      </c>
      <c r="J3" s="144">
        <f t="shared" ref="J3:J14" si="8">+G3-H3</f>
        <v>-9.586808114444012E-4</v>
      </c>
      <c r="K3" t="str">
        <f t="shared" si="2"/>
        <v/>
      </c>
      <c r="L3" s="22"/>
    </row>
    <row r="4" spans="1:12" x14ac:dyDescent="0.2">
      <c r="A4" t="str">
        <f t="shared" si="0"/>
        <v>BDFWD100000005</v>
      </c>
      <c r="B4" s="22"/>
      <c r="C4" t="str">
        <f t="shared" si="3"/>
        <v>BofA Securities Europe SA</v>
      </c>
      <c r="D4" s="64">
        <f t="shared" si="1"/>
        <v>58000000</v>
      </c>
      <c r="E4" s="64">
        <f t="shared" si="4"/>
        <v>-23474189.760000002</v>
      </c>
      <c r="F4" s="64">
        <f t="shared" si="5"/>
        <v>-23446574.785</v>
      </c>
      <c r="G4" s="142">
        <f t="shared" si="6"/>
        <v>-0.40472740965517245</v>
      </c>
      <c r="H4" s="142">
        <f t="shared" si="7"/>
        <v>-0.40425128939655175</v>
      </c>
      <c r="I4" s="144">
        <v>5.0000000000000001E-3</v>
      </c>
      <c r="J4" s="144">
        <f t="shared" si="8"/>
        <v>-4.7612025862070473E-4</v>
      </c>
      <c r="K4" t="str">
        <f t="shared" si="2"/>
        <v/>
      </c>
      <c r="L4" s="22"/>
    </row>
    <row r="5" spans="1:12" x14ac:dyDescent="0.2">
      <c r="A5" t="str">
        <f>B51</f>
        <v>BDFWD100000020</v>
      </c>
      <c r="B5" s="22"/>
      <c r="C5" t="str">
        <f t="shared" si="3"/>
        <v>Citibank Europe Public Limited Company</v>
      </c>
      <c r="D5" s="64">
        <f t="shared" si="1"/>
        <v>26000000</v>
      </c>
      <c r="E5" s="64">
        <f t="shared" si="4"/>
        <v>-9472087.8599999994</v>
      </c>
      <c r="F5" s="64">
        <f t="shared" si="5"/>
        <v>-9449179.7100000009</v>
      </c>
      <c r="G5" s="142">
        <f t="shared" si="6"/>
        <v>-0.36431107153846154</v>
      </c>
      <c r="H5" s="142">
        <f t="shared" si="7"/>
        <v>-0.36342998884615391</v>
      </c>
      <c r="I5" s="144">
        <v>5.0000000000000001E-3</v>
      </c>
      <c r="J5" s="144">
        <f t="shared" si="8"/>
        <v>-8.8108269230763314E-4</v>
      </c>
      <c r="K5" t="str">
        <f t="shared" si="2"/>
        <v/>
      </c>
      <c r="L5" s="22"/>
    </row>
    <row r="6" spans="1:12" x14ac:dyDescent="0.2">
      <c r="A6" t="str">
        <f t="shared" si="0"/>
        <v>BDFWD100000022</v>
      </c>
      <c r="B6" s="22"/>
      <c r="C6" t="str">
        <f t="shared" si="3"/>
        <v>Citibank Europe Public Limited Company</v>
      </c>
      <c r="D6" s="64">
        <f t="shared" si="1"/>
        <v>30600000</v>
      </c>
      <c r="E6" s="64">
        <f t="shared" si="4"/>
        <v>-9729946.1899999995</v>
      </c>
      <c r="F6" s="64">
        <f t="shared" si="5"/>
        <v>-9721615.75</v>
      </c>
      <c r="G6" s="142">
        <f t="shared" si="6"/>
        <v>-0.3179720977124183</v>
      </c>
      <c r="H6" s="142">
        <f t="shared" si="7"/>
        <v>-0.31769986111111109</v>
      </c>
      <c r="I6" s="144">
        <v>5.0000000000000001E-3</v>
      </c>
      <c r="J6" s="144">
        <f t="shared" si="8"/>
        <v>-2.722366013072075E-4</v>
      </c>
      <c r="K6" t="str">
        <f t="shared" si="2"/>
        <v/>
      </c>
      <c r="L6" s="22"/>
    </row>
    <row r="7" spans="1:12" x14ac:dyDescent="0.2">
      <c r="A7" t="str">
        <f t="shared" si="0"/>
        <v>BDFWD100000018</v>
      </c>
      <c r="B7" s="22"/>
      <c r="C7" t="str">
        <f t="shared" si="3"/>
        <v>Goldman Sachs International - Paris Branch</v>
      </c>
      <c r="D7" s="64">
        <f t="shared" si="1"/>
        <v>30000000</v>
      </c>
      <c r="E7" s="64">
        <f t="shared" si="4"/>
        <v>-10580743.560000001</v>
      </c>
      <c r="F7" s="64">
        <f t="shared" si="5"/>
        <v>-10529048.309303001</v>
      </c>
      <c r="G7" s="142">
        <f t="shared" si="6"/>
        <v>-0.35269145200000002</v>
      </c>
      <c r="H7" s="142">
        <f t="shared" si="7"/>
        <v>-0.35096827697676669</v>
      </c>
      <c r="I7" s="144">
        <v>5.0000000000000001E-3</v>
      </c>
      <c r="J7" s="144">
        <f t="shared" si="8"/>
        <v>-1.7231750232333254E-3</v>
      </c>
      <c r="K7" t="str">
        <f t="shared" si="2"/>
        <v/>
      </c>
      <c r="L7" s="22"/>
    </row>
    <row r="8" spans="1:12" x14ac:dyDescent="0.2">
      <c r="A8" t="str">
        <f t="shared" si="0"/>
        <v>BDFWD100000024</v>
      </c>
      <c r="C8" t="str">
        <f t="shared" si="3"/>
        <v>Goldman Sachs International - Paris Branch</v>
      </c>
      <c r="D8" s="64">
        <f t="shared" si="1"/>
        <v>25000000</v>
      </c>
      <c r="E8" s="64">
        <f t="shared" si="4"/>
        <v>-8278982.9900000002</v>
      </c>
      <c r="F8" s="64">
        <f t="shared" si="5"/>
        <v>-8235904.287583</v>
      </c>
      <c r="G8" s="142">
        <f t="shared" si="6"/>
        <v>-0.3311593196</v>
      </c>
      <c r="H8" s="142">
        <f t="shared" si="7"/>
        <v>-0.32943617150332</v>
      </c>
      <c r="I8" s="144">
        <v>5.0000000000000001E-3</v>
      </c>
      <c r="J8" s="144">
        <f t="shared" si="8"/>
        <v>-1.723148096680005E-3</v>
      </c>
      <c r="K8" t="str">
        <f t="shared" si="2"/>
        <v/>
      </c>
      <c r="L8" s="22"/>
    </row>
    <row r="9" spans="1:12" x14ac:dyDescent="0.2">
      <c r="A9" t="str">
        <f t="shared" si="0"/>
        <v>BDFWD100000030</v>
      </c>
      <c r="C9" t="str">
        <f t="shared" si="3"/>
        <v>Goldman Sachs International - Paris Branch</v>
      </c>
      <c r="D9" s="64">
        <f t="shared" si="1"/>
        <v>29000000</v>
      </c>
      <c r="E9" s="64">
        <f t="shared" si="4"/>
        <v>-6818017.4400000004</v>
      </c>
      <c r="F9" s="64">
        <f t="shared" si="5"/>
        <v>-6777295.2884170003</v>
      </c>
      <c r="G9" s="142">
        <f t="shared" si="6"/>
        <v>-0.23510404965517243</v>
      </c>
      <c r="H9" s="142">
        <f t="shared" si="7"/>
        <v>-0.23369983753162071</v>
      </c>
      <c r="I9" s="144">
        <v>5.0000000000000001E-3</v>
      </c>
      <c r="J9" s="144">
        <f t="shared" si="8"/>
        <v>-1.4042121235517124E-3</v>
      </c>
      <c r="K9" t="str">
        <f t="shared" si="2"/>
        <v/>
      </c>
      <c r="L9" s="22"/>
    </row>
    <row r="10" spans="1:12" x14ac:dyDescent="0.2">
      <c r="A10" t="str">
        <f t="shared" si="0"/>
        <v>BDFWD100000032</v>
      </c>
      <c r="C10" t="str">
        <f t="shared" si="3"/>
        <v>Société Générale SA</v>
      </c>
      <c r="D10" s="64">
        <f t="shared" si="1"/>
        <v>27000000</v>
      </c>
      <c r="E10" s="64">
        <f t="shared" si="4"/>
        <v>-6248529.5</v>
      </c>
      <c r="F10" s="64">
        <f t="shared" si="5"/>
        <v>-6280097.8399999999</v>
      </c>
      <c r="G10" s="142">
        <f t="shared" si="6"/>
        <v>-0.23142701851851852</v>
      </c>
      <c r="H10" s="142">
        <f t="shared" si="7"/>
        <v>-0.23259621629629629</v>
      </c>
      <c r="I10" s="144">
        <v>5.0000000000000001E-3</v>
      </c>
      <c r="J10" s="144">
        <f t="shared" si="8"/>
        <v>1.1691977777777696E-3</v>
      </c>
      <c r="K10" t="str">
        <f t="shared" si="2"/>
        <v/>
      </c>
      <c r="L10" s="22"/>
    </row>
    <row r="11" spans="1:12" x14ac:dyDescent="0.2">
      <c r="A11" t="str">
        <f t="shared" si="0"/>
        <v>BDFWD100000069</v>
      </c>
      <c r="C11" t="str">
        <f t="shared" si="3"/>
        <v>JPMorgan SE</v>
      </c>
      <c r="D11" s="64">
        <f t="shared" si="1"/>
        <v>11000000</v>
      </c>
      <c r="E11" s="64">
        <f t="shared" si="4"/>
        <v>-600560.98</v>
      </c>
      <c r="F11" s="64">
        <f t="shared" si="5"/>
        <v>-641551.68299999996</v>
      </c>
      <c r="G11" s="142">
        <f>E11/D11</f>
        <v>-5.4596452727272725E-2</v>
      </c>
      <c r="H11" s="142">
        <f t="shared" si="7"/>
        <v>-5.8322880272727272E-2</v>
      </c>
      <c r="I11" s="144">
        <v>5.0000000000000001E-3</v>
      </c>
      <c r="J11" s="144">
        <f t="shared" si="8"/>
        <v>3.726427545454547E-3</v>
      </c>
      <c r="K11" t="str">
        <f t="shared" si="2"/>
        <v/>
      </c>
      <c r="L11" s="22"/>
    </row>
    <row r="12" spans="1:12" x14ac:dyDescent="0.2">
      <c r="A12" t="str">
        <f t="shared" si="0"/>
        <v>BDFWD100000068</v>
      </c>
      <c r="C12" t="str">
        <f t="shared" si="3"/>
        <v>JPMorgan SE</v>
      </c>
      <c r="D12" s="64">
        <f t="shared" si="1"/>
        <v>11000000</v>
      </c>
      <c r="E12" s="64">
        <f t="shared" si="4"/>
        <v>-703039.29</v>
      </c>
      <c r="F12" s="64">
        <f>R58</f>
        <v>-750995.46699999995</v>
      </c>
      <c r="G12" s="142">
        <f t="shared" ref="G12:G14" si="9">E12/D12</f>
        <v>-6.3912662727272737E-2</v>
      </c>
      <c r="H12" s="142">
        <f t="shared" si="7"/>
        <v>-6.8272315181818172E-2</v>
      </c>
      <c r="I12" s="144">
        <v>5.0000000000000001E-3</v>
      </c>
      <c r="J12" s="144">
        <f t="shared" si="8"/>
        <v>4.3596524545454346E-3</v>
      </c>
      <c r="K12" t="str">
        <f>IF(ABS(G12-H12)&gt;I12,"alerte","")</f>
        <v/>
      </c>
      <c r="L12" s="22"/>
    </row>
    <row r="13" spans="1:12" x14ac:dyDescent="0.2">
      <c r="A13" t="str">
        <f t="shared" si="0"/>
        <v>BDFWD100000067</v>
      </c>
      <c r="C13" t="str">
        <f t="shared" si="3"/>
        <v>JPMorgan SE</v>
      </c>
      <c r="D13" s="64">
        <f t="shared" si="1"/>
        <v>8500000</v>
      </c>
      <c r="E13" s="64">
        <f t="shared" si="4"/>
        <v>-561746.28</v>
      </c>
      <c r="F13" s="64">
        <f t="shared" si="5"/>
        <v>-591018.72199999995</v>
      </c>
      <c r="G13" s="142">
        <f t="shared" si="9"/>
        <v>-6.6087797647058827E-2</v>
      </c>
      <c r="H13" s="142">
        <f t="shared" si="7"/>
        <v>-6.9531614352941168E-2</v>
      </c>
      <c r="I13" s="144">
        <v>5.0000000000000001E-3</v>
      </c>
      <c r="J13" s="144">
        <f t="shared" si="8"/>
        <v>3.443816705882341E-3</v>
      </c>
      <c r="K13" t="str">
        <f t="shared" si="2"/>
        <v/>
      </c>
      <c r="L13" s="22"/>
    </row>
    <row r="14" spans="1:12" x14ac:dyDescent="0.2">
      <c r="A14" t="str">
        <f t="shared" si="0"/>
        <v>BDFWD100000073</v>
      </c>
      <c r="C14" t="str">
        <f t="shared" si="3"/>
        <v>Citibank Europe Public Limited Company</v>
      </c>
      <c r="D14" s="64">
        <f t="shared" si="1"/>
        <v>22000000</v>
      </c>
      <c r="E14" s="64">
        <f t="shared" si="4"/>
        <v>-1096042.72</v>
      </c>
      <c r="F14" s="64">
        <f t="shared" si="5"/>
        <v>-1079764.52</v>
      </c>
      <c r="G14" s="142">
        <f t="shared" si="9"/>
        <v>-4.9820123636363636E-2</v>
      </c>
      <c r="H14" s="142">
        <f t="shared" si="7"/>
        <v>-4.9080205454545459E-2</v>
      </c>
      <c r="I14" s="144">
        <v>5.0000000000000001E-3</v>
      </c>
      <c r="J14" s="144">
        <f t="shared" si="8"/>
        <v>-7.399181818181777E-4</v>
      </c>
      <c r="K14" t="str">
        <f t="shared" si="2"/>
        <v/>
      </c>
      <c r="L14" s="22"/>
    </row>
    <row r="15" spans="1:12" x14ac:dyDescent="0.2">
      <c r="A15" t="str">
        <f t="shared" si="0"/>
        <v>BDFWD100000077</v>
      </c>
      <c r="C15" t="str">
        <f t="shared" ref="C15" si="10">Y61</f>
        <v>BNP Paribas</v>
      </c>
      <c r="D15" s="64">
        <f t="shared" ref="D15" si="11">J61</f>
        <v>16500000</v>
      </c>
      <c r="E15" s="64">
        <f t="shared" ref="E15" si="12">Q61</f>
        <v>-643669.16</v>
      </c>
      <c r="F15" s="64">
        <f t="shared" ref="F15" si="13">R61</f>
        <v>-638802.92764999997</v>
      </c>
      <c r="G15" s="142">
        <f t="shared" ref="G15" si="14">E15/D15</f>
        <v>-3.9010252121212126E-2</v>
      </c>
      <c r="H15" s="142">
        <f t="shared" ref="H15" si="15">F15/D15</f>
        <v>-3.8715328948484846E-2</v>
      </c>
      <c r="I15" s="144">
        <v>5.0000000000000001E-3</v>
      </c>
      <c r="J15" s="144">
        <f t="shared" ref="J15" si="16">+G15-H15</f>
        <v>-2.9492317272727941E-4</v>
      </c>
      <c r="K15" t="str">
        <f t="shared" ref="K15" si="17">IF(ABS(G15-H15)&gt;I15,"alerte","")</f>
        <v/>
      </c>
      <c r="L15" s="22"/>
    </row>
    <row r="16" spans="1:12" x14ac:dyDescent="0.2">
      <c r="A16" t="str">
        <f t="shared" ref="A16" si="18">B62</f>
        <v>BDFWD100000081</v>
      </c>
      <c r="C16" t="str">
        <f t="shared" ref="C16" si="19">Y62</f>
        <v>JPMorgan SE</v>
      </c>
      <c r="D16" s="64">
        <f t="shared" ref="D16" si="20">J62</f>
        <v>11000000</v>
      </c>
      <c r="E16" s="64">
        <f t="shared" ref="E16" si="21">Q62</f>
        <v>-816916.99</v>
      </c>
      <c r="F16" s="64">
        <f t="shared" ref="F16" si="22">R62</f>
        <v>-861826.66099999996</v>
      </c>
      <c r="G16" s="142">
        <f t="shared" ref="G16" si="23">E16/D16</f>
        <v>-7.4265180909090914E-2</v>
      </c>
      <c r="H16" s="142">
        <f t="shared" ref="H16" si="24">F16/D16</f>
        <v>-7.8347878272727267E-2</v>
      </c>
      <c r="I16" s="144">
        <v>5.0000000000000001E-3</v>
      </c>
      <c r="J16" s="144">
        <f t="shared" ref="J16" si="25">+G16-H16</f>
        <v>4.0826973636363534E-3</v>
      </c>
      <c r="K16" t="str">
        <f t="shared" ref="K16" si="26">IF(ABS(G16-H16)&gt;I16,"alerte","")</f>
        <v/>
      </c>
      <c r="L16" s="22"/>
    </row>
    <row r="17" spans="1:12" x14ac:dyDescent="0.2">
      <c r="A17" t="str">
        <f t="shared" ref="A17:A23" si="27">B63</f>
        <v>BDFWD100000080</v>
      </c>
      <c r="C17" t="str">
        <f t="shared" ref="C17:C23" si="28">Y63</f>
        <v>JPMorgan SE</v>
      </c>
      <c r="D17" s="64">
        <f t="shared" ref="D17:D23" si="29">J63</f>
        <v>16000000</v>
      </c>
      <c r="E17" s="64">
        <f t="shared" ref="E17:E23" si="30">Q63</f>
        <v>-1185396.33</v>
      </c>
      <c r="F17" s="64">
        <f t="shared" ref="F17:F23" si="31">R63</f>
        <v>-1268385.2649999999</v>
      </c>
      <c r="G17" s="142">
        <f t="shared" ref="G17:G23" si="32">E17/D17</f>
        <v>-7.4087270625000007E-2</v>
      </c>
      <c r="H17" s="142">
        <f t="shared" ref="H17:H23" si="33">F17/D17</f>
        <v>-7.9274079062499989E-2</v>
      </c>
      <c r="I17" s="144">
        <v>5.0000000000000001E-3</v>
      </c>
      <c r="J17" s="144">
        <f t="shared" ref="J17:J23" si="34">+G17-H17</f>
        <v>5.1868084374999818E-3</v>
      </c>
      <c r="K17" t="str">
        <f t="shared" ref="K17:K23" si="35">IF(ABS(G17-H17)&gt;I17,"alerte","")</f>
        <v>alerte</v>
      </c>
      <c r="L17" s="22" t="s">
        <v>1633</v>
      </c>
    </row>
    <row r="18" spans="1:12" x14ac:dyDescent="0.2">
      <c r="A18" t="str">
        <f t="shared" si="27"/>
        <v>BDFWD100000083</v>
      </c>
      <c r="C18" t="str">
        <f t="shared" si="28"/>
        <v>Natixis SA</v>
      </c>
      <c r="D18" s="64">
        <f t="shared" si="29"/>
        <v>38000000</v>
      </c>
      <c r="E18" s="64">
        <f t="shared" si="30"/>
        <v>-2664836.59</v>
      </c>
      <c r="F18" s="64">
        <f t="shared" si="31"/>
        <v>-2764554.17</v>
      </c>
      <c r="G18" s="142">
        <f t="shared" si="32"/>
        <v>-7.0127278684210523E-2</v>
      </c>
      <c r="H18" s="142">
        <f t="shared" si="33"/>
        <v>-7.2751425526315791E-2</v>
      </c>
      <c r="I18" s="144">
        <v>5.0000000000000001E-3</v>
      </c>
      <c r="J18" s="144">
        <f t="shared" si="34"/>
        <v>2.6241468421052683E-3</v>
      </c>
      <c r="K18" t="str">
        <f t="shared" si="35"/>
        <v/>
      </c>
      <c r="L18" s="22"/>
    </row>
    <row r="19" spans="1:12" x14ac:dyDescent="0.2">
      <c r="A19" t="str">
        <f t="shared" si="27"/>
        <v>BDFWD100000087</v>
      </c>
      <c r="C19" t="str">
        <f t="shared" si="28"/>
        <v>Citibank Europe Public Limited Company</v>
      </c>
      <c r="D19" s="64">
        <f t="shared" si="29"/>
        <v>24000000</v>
      </c>
      <c r="E19" s="64">
        <f t="shared" si="30"/>
        <v>-1578015.45</v>
      </c>
      <c r="F19" s="64">
        <f t="shared" si="31"/>
        <v>-1527394.92</v>
      </c>
      <c r="G19" s="142">
        <f t="shared" si="32"/>
        <v>-6.5750643750000004E-2</v>
      </c>
      <c r="H19" s="142">
        <f t="shared" si="33"/>
        <v>-6.3641455E-2</v>
      </c>
      <c r="I19" s="144">
        <v>5.0000000000000001E-3</v>
      </c>
      <c r="J19" s="144">
        <f t="shared" si="34"/>
        <v>-2.1091887500000045E-3</v>
      </c>
      <c r="K19" t="str">
        <f t="shared" si="35"/>
        <v/>
      </c>
      <c r="L19" s="22"/>
    </row>
    <row r="20" spans="1:12" x14ac:dyDescent="0.2">
      <c r="A20" t="str">
        <f t="shared" si="27"/>
        <v>BDFWD100000086</v>
      </c>
      <c r="C20" t="str">
        <f t="shared" si="28"/>
        <v>Citibank Europe Public Limited Company</v>
      </c>
      <c r="D20" s="64">
        <f t="shared" si="29"/>
        <v>16500000</v>
      </c>
      <c r="E20" s="64">
        <f t="shared" si="30"/>
        <v>-1078891.73</v>
      </c>
      <c r="F20" s="64">
        <f t="shared" si="31"/>
        <v>-1058299.31</v>
      </c>
      <c r="G20" s="142">
        <f t="shared" si="32"/>
        <v>-6.5387377575757577E-2</v>
      </c>
      <c r="H20" s="142">
        <f t="shared" si="33"/>
        <v>-6.413935212121212E-2</v>
      </c>
      <c r="I20" s="144">
        <v>5.0000000000000001E-3</v>
      </c>
      <c r="J20" s="144">
        <f t="shared" si="34"/>
        <v>-1.2480254545454567E-3</v>
      </c>
      <c r="K20" t="str">
        <f t="shared" si="35"/>
        <v/>
      </c>
      <c r="L20" s="22"/>
    </row>
    <row r="21" spans="1:12" x14ac:dyDescent="0.2">
      <c r="A21" t="str">
        <f t="shared" si="27"/>
        <v>BDFWD100000090</v>
      </c>
      <c r="C21" t="str">
        <f t="shared" si="28"/>
        <v>Société Générale SA</v>
      </c>
      <c r="D21" s="64">
        <f t="shared" si="29"/>
        <v>16500000</v>
      </c>
      <c r="E21" s="64">
        <f t="shared" si="30"/>
        <v>-1109508.74</v>
      </c>
      <c r="F21" s="64">
        <f t="shared" si="31"/>
        <v>-1111801.22</v>
      </c>
      <c r="G21" s="142">
        <f t="shared" si="32"/>
        <v>-6.7242953939393946E-2</v>
      </c>
      <c r="H21" s="142">
        <f t="shared" si="33"/>
        <v>-6.7381892121212122E-2</v>
      </c>
      <c r="I21" s="144">
        <v>5.0000000000000001E-3</v>
      </c>
      <c r="J21" s="144">
        <f t="shared" si="34"/>
        <v>1.3893818181817674E-4</v>
      </c>
      <c r="K21" t="str">
        <f t="shared" si="35"/>
        <v/>
      </c>
      <c r="L21" s="22"/>
    </row>
    <row r="22" spans="1:12" x14ac:dyDescent="0.2">
      <c r="A22" t="str">
        <f t="shared" si="27"/>
        <v>BDFWD100000094</v>
      </c>
      <c r="C22" t="str">
        <f t="shared" si="28"/>
        <v>Natixis SA</v>
      </c>
      <c r="D22" s="64">
        <f t="shared" si="29"/>
        <v>16000000</v>
      </c>
      <c r="E22" s="64">
        <f t="shared" si="30"/>
        <v>-975400.51</v>
      </c>
      <c r="F22" s="64">
        <f t="shared" si="31"/>
        <v>-1017458.15</v>
      </c>
      <c r="G22" s="142">
        <f t="shared" si="32"/>
        <v>-6.0962531875000003E-2</v>
      </c>
      <c r="H22" s="142">
        <f t="shared" si="33"/>
        <v>-6.3591134374999997E-2</v>
      </c>
      <c r="I22" s="144">
        <v>5.0000000000000001E-3</v>
      </c>
      <c r="J22" s="144">
        <f t="shared" si="34"/>
        <v>2.6286024999999935E-3</v>
      </c>
      <c r="K22" t="str">
        <f t="shared" si="35"/>
        <v/>
      </c>
      <c r="L22" s="22"/>
    </row>
    <row r="23" spans="1:12" x14ac:dyDescent="0.2">
      <c r="A23" t="str">
        <f t="shared" si="27"/>
        <v>BDFWD100000092</v>
      </c>
      <c r="C23" t="str">
        <f t="shared" si="28"/>
        <v>Natixis SA</v>
      </c>
      <c r="D23" s="64">
        <f t="shared" si="29"/>
        <v>21000000</v>
      </c>
      <c r="E23" s="64">
        <f t="shared" si="30"/>
        <v>-1250132.71</v>
      </c>
      <c r="F23" s="64">
        <f t="shared" si="31"/>
        <v>-1350135.18</v>
      </c>
      <c r="G23" s="142">
        <f t="shared" si="32"/>
        <v>-5.9530129047619049E-2</v>
      </c>
      <c r="H23" s="142">
        <f t="shared" si="33"/>
        <v>-6.429215142857142E-2</v>
      </c>
      <c r="I23" s="144">
        <v>5.0000000000000001E-3</v>
      </c>
      <c r="J23" s="144">
        <f t="shared" si="34"/>
        <v>4.7620223809523715E-3</v>
      </c>
      <c r="K23" t="str">
        <f t="shared" si="35"/>
        <v/>
      </c>
      <c r="L23" s="22"/>
    </row>
    <row r="24" spans="1:12" x14ac:dyDescent="0.2">
      <c r="A24" t="str">
        <f t="shared" ref="A24:A25" si="36">B70</f>
        <v>BDFWD100000099</v>
      </c>
      <c r="C24" t="str">
        <f t="shared" ref="C24:C25" si="37">Y70</f>
        <v>Société Générale SA</v>
      </c>
      <c r="D24" s="64">
        <f t="shared" ref="D24:D25" si="38">J70</f>
        <v>20000000</v>
      </c>
      <c r="E24" s="64">
        <f t="shared" ref="E24:E25" si="39">Q70</f>
        <v>-833291.44</v>
      </c>
      <c r="F24" s="64">
        <f t="shared" ref="F24:F25" si="40">R70</f>
        <v>-872463.55</v>
      </c>
      <c r="G24" s="142">
        <f t="shared" ref="G24:G25" si="41">E24/D24</f>
        <v>-4.1664571999999997E-2</v>
      </c>
      <c r="H24" s="142">
        <f t="shared" ref="H24:H25" si="42">F24/D24</f>
        <v>-4.3623177500000006E-2</v>
      </c>
      <c r="I24" s="144">
        <v>5.0000000000000001E-3</v>
      </c>
      <c r="J24" s="144">
        <f t="shared" ref="J24:J25" si="43">+G24-H24</f>
        <v>1.9586055000000088E-3</v>
      </c>
      <c r="K24" t="str">
        <f t="shared" ref="K24:K25" si="44">IF(ABS(G24-H24)&gt;I24,"alerte","")</f>
        <v/>
      </c>
      <c r="L24" s="22"/>
    </row>
    <row r="25" spans="1:12" x14ac:dyDescent="0.2">
      <c r="A25" t="str">
        <f t="shared" si="36"/>
        <v>BDFWD100000101</v>
      </c>
      <c r="C25" t="str">
        <f t="shared" si="37"/>
        <v>Natixis SA</v>
      </c>
      <c r="D25" s="64">
        <f t="shared" si="38"/>
        <v>12000000</v>
      </c>
      <c r="E25" s="64">
        <f t="shared" si="39"/>
        <v>-487944.21</v>
      </c>
      <c r="F25" s="64">
        <f t="shared" si="40"/>
        <v>-519498.5</v>
      </c>
      <c r="G25" s="142">
        <f t="shared" si="41"/>
        <v>-4.0662017500000001E-2</v>
      </c>
      <c r="H25" s="142">
        <f t="shared" si="42"/>
        <v>-4.3291541666666669E-2</v>
      </c>
      <c r="I25" s="144">
        <v>5.0000000000000001E-3</v>
      </c>
      <c r="J25" s="144">
        <f t="shared" si="43"/>
        <v>2.6295241666666677E-3</v>
      </c>
      <c r="K25" t="str">
        <f t="shared" si="44"/>
        <v/>
      </c>
      <c r="L25" s="22"/>
    </row>
    <row r="26" spans="1:12" x14ac:dyDescent="0.2">
      <c r="A26" t="str">
        <f t="shared" ref="A26:A27" si="45">B72</f>
        <v>BDFWD100000100</v>
      </c>
      <c r="C26" t="str">
        <f t="shared" ref="C26:C27" si="46">Y72</f>
        <v>Natixis SA</v>
      </c>
      <c r="D26" s="64">
        <f t="shared" ref="D26:D27" si="47">J72</f>
        <v>22000000</v>
      </c>
      <c r="E26" s="64">
        <f t="shared" ref="E26:E27" si="48">Q72</f>
        <v>-906693.37</v>
      </c>
      <c r="F26" s="64">
        <f t="shared" ref="F26:F27" si="49">R72</f>
        <v>-980762.67</v>
      </c>
      <c r="G26" s="142">
        <f t="shared" ref="G26:G27" si="50">E26/D26</f>
        <v>-4.1213334999999997E-2</v>
      </c>
      <c r="H26" s="142">
        <f t="shared" ref="H26:H27" si="51">F26/D26</f>
        <v>-4.4580121363636364E-2</v>
      </c>
      <c r="I26" s="144">
        <v>5.0000000000000001E-3</v>
      </c>
      <c r="J26" s="144">
        <f t="shared" ref="J26:J27" si="52">+G26-H26</f>
        <v>3.3667863636363676E-3</v>
      </c>
      <c r="K26" t="str">
        <f t="shared" ref="K26:K27" si="53">IF(ABS(G26-H26)&gt;I26,"alerte","")</f>
        <v/>
      </c>
      <c r="L26" s="22"/>
    </row>
    <row r="27" spans="1:12" x14ac:dyDescent="0.2">
      <c r="A27" t="str">
        <f t="shared" si="45"/>
        <v>BDFWD100000103</v>
      </c>
      <c r="C27" t="str">
        <f t="shared" si="46"/>
        <v>Citibank Europe Public Limited Company</v>
      </c>
      <c r="D27" s="64">
        <f t="shared" si="47"/>
        <v>11000000</v>
      </c>
      <c r="E27" s="64">
        <f t="shared" si="48"/>
        <v>-461392.22</v>
      </c>
      <c r="F27" s="64">
        <f t="shared" si="49"/>
        <v>-445689.46</v>
      </c>
      <c r="G27" s="142">
        <f t="shared" si="50"/>
        <v>-4.1944747272727269E-2</v>
      </c>
      <c r="H27" s="142">
        <f t="shared" si="51"/>
        <v>-4.051722363636364E-2</v>
      </c>
      <c r="I27" s="144">
        <v>5.0000000000000001E-3</v>
      </c>
      <c r="J27" s="144">
        <f t="shared" si="52"/>
        <v>-1.4275236363636284E-3</v>
      </c>
      <c r="K27" t="str">
        <f t="shared" si="53"/>
        <v/>
      </c>
      <c r="L27" s="22"/>
    </row>
    <row r="28" spans="1:12" x14ac:dyDescent="0.2">
      <c r="A28" t="str">
        <f>B74</f>
        <v>BDFWD100000109</v>
      </c>
      <c r="C28" t="str">
        <f>Y74</f>
        <v>BNP Paribas</v>
      </c>
      <c r="D28" s="64">
        <f>J74</f>
        <v>23000000</v>
      </c>
      <c r="E28" s="64">
        <f>Q74</f>
        <v>-884186.09</v>
      </c>
      <c r="F28" s="64">
        <f>R74</f>
        <v>-844640.23470000003</v>
      </c>
      <c r="G28" s="142">
        <f t="shared" ref="G28:G29" si="54">E28/D28</f>
        <v>-3.8442873478260871E-2</v>
      </c>
      <c r="H28" s="142">
        <f t="shared" ref="H28:H29" si="55">F28/D28</f>
        <v>-3.6723488465217391E-2</v>
      </c>
      <c r="I28" s="144">
        <v>5.0000000000000001E-3</v>
      </c>
      <c r="J28" s="144">
        <f t="shared" ref="J28:J29" si="56">+G28-H28</f>
        <v>-1.7193850130434798E-3</v>
      </c>
      <c r="K28" t="str">
        <f t="shared" ref="K28:K29" si="57">IF(ABS(G28-H28)&gt;I28,"alerte","")</f>
        <v/>
      </c>
      <c r="L28" s="22"/>
    </row>
    <row r="29" spans="1:12" x14ac:dyDescent="0.2">
      <c r="A29" t="str">
        <f>B75</f>
        <v>BDFWD100000108</v>
      </c>
      <c r="C29" t="str">
        <f>Y75</f>
        <v>HSBC CONTINENTAL EUROPE</v>
      </c>
      <c r="D29" s="64">
        <f>J75</f>
        <v>11000000</v>
      </c>
      <c r="E29" s="64">
        <f>Q75</f>
        <v>-429423.03</v>
      </c>
      <c r="F29" s="64">
        <f>R75</f>
        <v>-404900.34</v>
      </c>
      <c r="G29" s="142">
        <f t="shared" si="54"/>
        <v>-3.9038457272727277E-2</v>
      </c>
      <c r="H29" s="142">
        <f t="shared" si="55"/>
        <v>-3.6809121818181821E-2</v>
      </c>
      <c r="I29" s="144">
        <v>5.0000000000000001E-3</v>
      </c>
      <c r="J29" s="144">
        <f t="shared" si="56"/>
        <v>-2.2293354545454558E-3</v>
      </c>
      <c r="K29" t="str">
        <f t="shared" si="57"/>
        <v/>
      </c>
      <c r="L29" s="22"/>
    </row>
    <row r="30" spans="1:12" x14ac:dyDescent="0.2">
      <c r="A30" t="str">
        <f t="shared" ref="A30:A40" si="58">B76</f>
        <v>BDFWD100000107</v>
      </c>
      <c r="C30" t="str">
        <f t="shared" ref="C30:C40" si="59">Y76</f>
        <v>HSBC CONTINENTAL EUROPE</v>
      </c>
      <c r="D30" s="64">
        <f t="shared" ref="D30:D40" si="60">J76</f>
        <v>22700000</v>
      </c>
      <c r="E30" s="64">
        <f t="shared" ref="E30:F30" si="61">Q76</f>
        <v>-850923.82</v>
      </c>
      <c r="F30" s="64">
        <f t="shared" si="61"/>
        <v>-827877.65</v>
      </c>
      <c r="G30" s="142">
        <f t="shared" ref="G30:G40" si="62">E30/D30</f>
        <v>-3.7485630837004402E-2</v>
      </c>
      <c r="H30" s="142">
        <f t="shared" ref="H30:H40" si="63">F30/D30</f>
        <v>-3.6470381057268721E-2</v>
      </c>
      <c r="I30" s="144">
        <v>5.0000000000000001E-3</v>
      </c>
      <c r="J30" s="144">
        <f t="shared" ref="J30:J40" si="64">+G30-H30</f>
        <v>-1.0152497797356816E-3</v>
      </c>
      <c r="K30" t="str">
        <f t="shared" ref="K30:K40" si="65">IF(ABS(G30-H30)&gt;I30,"alerte","")</f>
        <v/>
      </c>
      <c r="L30" s="22"/>
    </row>
    <row r="31" spans="1:12" x14ac:dyDescent="0.2">
      <c r="A31" t="str">
        <f t="shared" si="58"/>
        <v>BDFWD100000114</v>
      </c>
      <c r="C31" t="str">
        <f t="shared" si="59"/>
        <v>BNP Paribas</v>
      </c>
      <c r="D31" s="64">
        <f t="shared" si="60"/>
        <v>23000000</v>
      </c>
      <c r="E31" s="64">
        <f t="shared" ref="E31:F31" si="66">Q77</f>
        <v>-465128.84</v>
      </c>
      <c r="F31" s="64">
        <f t="shared" si="66"/>
        <v>-426474.51744800003</v>
      </c>
      <c r="G31" s="142">
        <f t="shared" si="62"/>
        <v>-2.0222993043478261E-2</v>
      </c>
      <c r="H31" s="142">
        <f t="shared" si="63"/>
        <v>-1.8542370323826086E-2</v>
      </c>
      <c r="I31" s="144">
        <v>5.0000000000000001E-3</v>
      </c>
      <c r="J31" s="144">
        <f t="shared" si="64"/>
        <v>-1.6806227196521743E-3</v>
      </c>
      <c r="K31" t="str">
        <f t="shared" si="65"/>
        <v/>
      </c>
      <c r="L31" s="22"/>
    </row>
    <row r="32" spans="1:12" x14ac:dyDescent="0.2">
      <c r="A32" t="str">
        <f t="shared" si="58"/>
        <v>BDFWD100000115</v>
      </c>
      <c r="C32" t="str">
        <f t="shared" si="59"/>
        <v>Citibank Europe Public Limited Company</v>
      </c>
      <c r="D32" s="64">
        <f t="shared" si="60"/>
        <v>20000000</v>
      </c>
      <c r="E32" s="64">
        <f t="shared" ref="E32:F32" si="67">Q78</f>
        <v>-448395.49</v>
      </c>
      <c r="F32" s="64">
        <f t="shared" si="67"/>
        <v>-396756.58</v>
      </c>
      <c r="G32" s="142">
        <f t="shared" si="62"/>
        <v>-2.24197745E-2</v>
      </c>
      <c r="H32" s="142">
        <f t="shared" si="63"/>
        <v>-1.9837829000000001E-2</v>
      </c>
      <c r="I32" s="144">
        <v>5.0000000000000001E-3</v>
      </c>
      <c r="J32" s="144">
        <f t="shared" si="64"/>
        <v>-2.5819454999999984E-3</v>
      </c>
      <c r="K32" t="str">
        <f t="shared" si="65"/>
        <v/>
      </c>
      <c r="L32" s="22"/>
    </row>
    <row r="33" spans="1:33" x14ac:dyDescent="0.2">
      <c r="A33" t="str">
        <f t="shared" si="58"/>
        <v>BDFWD100000113</v>
      </c>
      <c r="C33" t="str">
        <f t="shared" si="59"/>
        <v>Citibank Europe Public Limited Company</v>
      </c>
      <c r="D33" s="64">
        <f t="shared" si="60"/>
        <v>17000000</v>
      </c>
      <c r="E33" s="64">
        <f t="shared" ref="E33:F33" si="68">Q79</f>
        <v>-317614.31</v>
      </c>
      <c r="F33" s="64">
        <f t="shared" si="68"/>
        <v>-295484.58</v>
      </c>
      <c r="G33" s="142">
        <f t="shared" si="62"/>
        <v>-1.8683194705882353E-2</v>
      </c>
      <c r="H33" s="142">
        <f t="shared" si="63"/>
        <v>-1.7381445882352943E-2</v>
      </c>
      <c r="I33" s="144">
        <v>5.0000000000000001E-3</v>
      </c>
      <c r="J33" s="144">
        <f t="shared" si="64"/>
        <v>-1.3017488235294097E-3</v>
      </c>
      <c r="K33" t="str">
        <f t="shared" si="65"/>
        <v/>
      </c>
      <c r="L33" s="22"/>
    </row>
    <row r="34" spans="1:33" x14ac:dyDescent="0.2">
      <c r="A34" t="str">
        <f t="shared" si="58"/>
        <v>BDFWD100000120</v>
      </c>
      <c r="C34" t="str">
        <f t="shared" si="59"/>
        <v>JPMorgan SE</v>
      </c>
      <c r="D34" s="64">
        <f t="shared" si="60"/>
        <v>20500000</v>
      </c>
      <c r="E34" s="64">
        <f t="shared" ref="E34:F34" si="69">Q80</f>
        <v>-340310.24</v>
      </c>
      <c r="F34" s="64">
        <f t="shared" si="69"/>
        <v>-304573.79599999997</v>
      </c>
      <c r="G34" s="142">
        <f t="shared" si="62"/>
        <v>-1.6600499512195121E-2</v>
      </c>
      <c r="H34" s="142">
        <f t="shared" si="63"/>
        <v>-1.4857258341463413E-2</v>
      </c>
      <c r="I34" s="144">
        <v>5.0000000000000001E-3</v>
      </c>
      <c r="J34" s="144">
        <f t="shared" si="64"/>
        <v>-1.7432411707317078E-3</v>
      </c>
      <c r="K34" t="str">
        <f t="shared" si="65"/>
        <v/>
      </c>
      <c r="L34" s="22"/>
    </row>
    <row r="35" spans="1:33" x14ac:dyDescent="0.2">
      <c r="A35" t="str">
        <f t="shared" si="58"/>
        <v>BDFWD100000132</v>
      </c>
      <c r="C35" t="str">
        <f t="shared" si="59"/>
        <v>BofA Securities Europe SA</v>
      </c>
      <c r="D35" s="64">
        <f t="shared" si="60"/>
        <v>23500000</v>
      </c>
      <c r="E35" s="64">
        <f t="shared" ref="E35:F35" si="70">Q81</f>
        <v>11464.58</v>
      </c>
      <c r="F35" s="64">
        <f t="shared" si="70"/>
        <v>39751.294000000002</v>
      </c>
      <c r="G35" s="142">
        <f t="shared" si="62"/>
        <v>4.878544680851064E-4</v>
      </c>
      <c r="H35" s="142">
        <f t="shared" si="63"/>
        <v>1.6915444255319149E-3</v>
      </c>
      <c r="I35" s="144">
        <v>5.0000000000000001E-3</v>
      </c>
      <c r="J35" s="144">
        <f t="shared" si="64"/>
        <v>-1.2036899574468084E-3</v>
      </c>
      <c r="K35" t="str">
        <f t="shared" si="65"/>
        <v/>
      </c>
      <c r="L35" s="22"/>
    </row>
    <row r="36" spans="1:33" x14ac:dyDescent="0.2">
      <c r="A36" t="str">
        <f t="shared" si="58"/>
        <v>BDFWD100000128</v>
      </c>
      <c r="C36" t="str">
        <f t="shared" si="59"/>
        <v>Credit Agricole Corporate and Investment Bank</v>
      </c>
      <c r="D36" s="64">
        <f t="shared" si="60"/>
        <v>20000000</v>
      </c>
      <c r="E36" s="64">
        <f t="shared" ref="E36:F36" si="71">Q82</f>
        <v>-159488.29999999999</v>
      </c>
      <c r="F36" s="64">
        <f t="shared" si="71"/>
        <v>-136104.32999999999</v>
      </c>
      <c r="G36" s="142">
        <f t="shared" si="62"/>
        <v>-7.9744149999999986E-3</v>
      </c>
      <c r="H36" s="142">
        <f t="shared" si="63"/>
        <v>-6.8052164999999991E-3</v>
      </c>
      <c r="I36" s="144">
        <v>5.0000000000000001E-3</v>
      </c>
      <c r="J36" s="144">
        <f t="shared" si="64"/>
        <v>-1.1691984999999995E-3</v>
      </c>
      <c r="K36" t="str">
        <f t="shared" si="65"/>
        <v/>
      </c>
      <c r="L36" s="22"/>
    </row>
    <row r="37" spans="1:33" x14ac:dyDescent="0.2">
      <c r="A37" t="str">
        <f t="shared" si="58"/>
        <v>BDFWD100000133</v>
      </c>
      <c r="C37" t="str">
        <f t="shared" si="59"/>
        <v>Citibank Europe Public Limited Company</v>
      </c>
      <c r="D37" s="64">
        <f t="shared" si="60"/>
        <v>23000000</v>
      </c>
      <c r="E37" s="64">
        <f t="shared" ref="E37:F37" si="72">Q83</f>
        <v>-53778.39</v>
      </c>
      <c r="F37" s="64">
        <f t="shared" si="72"/>
        <v>-25519.94</v>
      </c>
      <c r="G37" s="142">
        <f t="shared" si="62"/>
        <v>-2.3381908695652175E-3</v>
      </c>
      <c r="H37" s="142">
        <f t="shared" si="63"/>
        <v>-1.1095626086956522E-3</v>
      </c>
      <c r="I37" s="144">
        <v>5.0000000000000001E-3</v>
      </c>
      <c r="J37" s="144">
        <f t="shared" si="64"/>
        <v>-1.2286282608695654E-3</v>
      </c>
      <c r="K37" t="str">
        <f t="shared" si="65"/>
        <v/>
      </c>
      <c r="L37" s="22"/>
    </row>
    <row r="38" spans="1:33" x14ac:dyDescent="0.2">
      <c r="A38" t="str">
        <f t="shared" si="58"/>
        <v>BDFWD100000127</v>
      </c>
      <c r="C38" t="str">
        <f t="shared" si="59"/>
        <v>Citibank Europe Public Limited Company</v>
      </c>
      <c r="D38" s="64">
        <f t="shared" si="60"/>
        <v>20000000</v>
      </c>
      <c r="E38" s="64">
        <f t="shared" ref="E38:F38" si="73">Q84</f>
        <v>-169068.25</v>
      </c>
      <c r="F38" s="64">
        <f t="shared" si="73"/>
        <v>-144192.87</v>
      </c>
      <c r="G38" s="142">
        <f t="shared" si="62"/>
        <v>-8.4534125000000002E-3</v>
      </c>
      <c r="H38" s="142">
        <f t="shared" si="63"/>
        <v>-7.2096434999999997E-3</v>
      </c>
      <c r="I38" s="144">
        <v>5.0000000000000001E-3</v>
      </c>
      <c r="J38" s="144">
        <f t="shared" si="64"/>
        <v>-1.2437690000000005E-3</v>
      </c>
      <c r="K38" t="str">
        <f t="shared" si="65"/>
        <v/>
      </c>
      <c r="L38" s="22"/>
    </row>
    <row r="39" spans="1:33" x14ac:dyDescent="0.2">
      <c r="A39" t="str">
        <f t="shared" si="58"/>
        <v>BDFWD100000126</v>
      </c>
      <c r="C39" t="str">
        <f t="shared" si="59"/>
        <v>Citibank Europe Public Limited Company</v>
      </c>
      <c r="D39" s="64">
        <f t="shared" si="60"/>
        <v>15000000</v>
      </c>
      <c r="E39" s="64">
        <f t="shared" ref="E39:F39" si="74">Q85</f>
        <v>-90996.81</v>
      </c>
      <c r="F39" s="64">
        <f t="shared" si="74"/>
        <v>-82277.070000000007</v>
      </c>
      <c r="G39" s="142">
        <f t="shared" si="62"/>
        <v>-6.0664539999999998E-3</v>
      </c>
      <c r="H39" s="142">
        <f t="shared" si="63"/>
        <v>-5.4851380000000005E-3</v>
      </c>
      <c r="I39" s="144">
        <v>5.0000000000000001E-3</v>
      </c>
      <c r="J39" s="144">
        <f t="shared" si="64"/>
        <v>-5.8131599999999926E-4</v>
      </c>
      <c r="K39" t="str">
        <f t="shared" si="65"/>
        <v/>
      </c>
      <c r="L39" s="22"/>
    </row>
    <row r="40" spans="1:33" x14ac:dyDescent="0.2">
      <c r="A40" t="str">
        <f t="shared" si="58"/>
        <v>BDFWD100000135</v>
      </c>
      <c r="C40" t="str">
        <f t="shared" si="59"/>
        <v>Citibank Europe Public Limited Company</v>
      </c>
      <c r="D40" s="64">
        <f t="shared" si="60"/>
        <v>20000000</v>
      </c>
      <c r="E40" s="64">
        <f t="shared" ref="E40:F40" si="75">Q86</f>
        <v>16585.47</v>
      </c>
      <c r="F40" s="64">
        <f t="shared" si="75"/>
        <v>49835.49</v>
      </c>
      <c r="G40" s="142">
        <f t="shared" si="62"/>
        <v>8.2927350000000001E-4</v>
      </c>
      <c r="H40" s="142">
        <f t="shared" si="63"/>
        <v>2.4917744999999997E-3</v>
      </c>
      <c r="I40" s="144">
        <v>5.0000000000000001E-3</v>
      </c>
      <c r="J40" s="144">
        <f t="shared" si="64"/>
        <v>-1.6625009999999998E-3</v>
      </c>
      <c r="K40" t="str">
        <f t="shared" si="65"/>
        <v/>
      </c>
      <c r="L40" s="22"/>
    </row>
    <row r="41" spans="1:33" x14ac:dyDescent="0.2">
      <c r="A41" t="str">
        <f t="shared" ref="A41" si="76">B87</f>
        <v>BDFWD100000140</v>
      </c>
      <c r="C41" t="str">
        <f t="shared" ref="C41" si="77">Y87</f>
        <v>JPMorgan SE</v>
      </c>
      <c r="D41" s="64">
        <f t="shared" ref="D41" si="78">J87</f>
        <v>18500000</v>
      </c>
      <c r="E41" s="64">
        <f t="shared" ref="E41" si="79">Q87</f>
        <v>193700</v>
      </c>
      <c r="F41" s="64">
        <f t="shared" ref="F41" si="80">R87</f>
        <v>0</v>
      </c>
      <c r="G41" s="142">
        <f t="shared" ref="G41" si="81">E41/D41</f>
        <v>1.047027027027027E-2</v>
      </c>
      <c r="H41" s="142">
        <f t="shared" ref="H41" si="82">F41/D41</f>
        <v>0</v>
      </c>
      <c r="I41" s="144">
        <v>5.0000000000000001E-3</v>
      </c>
      <c r="J41" s="144">
        <f t="shared" ref="J41" si="83">+G41-H41</f>
        <v>1.047027027027027E-2</v>
      </c>
      <c r="K41" t="str">
        <f t="shared" ref="K41" si="84">IF(ABS(G41-H41)&gt;I41,"alerte","")</f>
        <v>alerte</v>
      </c>
      <c r="L41" s="22" t="s">
        <v>1648</v>
      </c>
    </row>
    <row r="42" spans="1:33" x14ac:dyDescent="0.2">
      <c r="A42" t="str">
        <f t="shared" ref="A42" si="85">B88</f>
        <v>BDFWD100000139</v>
      </c>
      <c r="C42" t="str">
        <f t="shared" ref="C42" si="86">Y88</f>
        <v>Citibank Europe Public Limited Company</v>
      </c>
      <c r="D42" s="64">
        <f t="shared" ref="D42" si="87">J88</f>
        <v>12000000</v>
      </c>
      <c r="E42" s="64">
        <f t="shared" ref="E42" si="88">Q88</f>
        <v>209623.79</v>
      </c>
      <c r="F42" s="64">
        <f t="shared" ref="F42" si="89">R88</f>
        <v>216327.31</v>
      </c>
      <c r="G42" s="142">
        <f t="shared" ref="G42" si="90">E42/D42</f>
        <v>1.7468649166666666E-2</v>
      </c>
      <c r="H42" s="142">
        <f t="shared" ref="H42" si="91">F42/D42</f>
        <v>1.8027275833333332E-2</v>
      </c>
      <c r="I42" s="144">
        <v>1.0049999999999999</v>
      </c>
      <c r="J42" s="144">
        <f t="shared" ref="J42" si="92">+G42-H42</f>
        <v>-5.5862666666666588E-4</v>
      </c>
      <c r="K42" t="str">
        <f t="shared" ref="K42" si="93">IF(ABS(G42-H42)&gt;I42,"alerte","")</f>
        <v/>
      </c>
    </row>
    <row r="43" spans="1:33" x14ac:dyDescent="0.2">
      <c r="A43" t="s">
        <v>434</v>
      </c>
      <c r="D43" s="64">
        <f>SUM(D2:D40)</f>
        <v>833000000</v>
      </c>
      <c r="E43" s="64">
        <f>SUM(E2:E42)</f>
        <v>-113976282.27999999</v>
      </c>
      <c r="F43" s="64">
        <f>SUM(F2:F40)</f>
        <v>-114319857.907396</v>
      </c>
    </row>
    <row r="46" spans="1:33" x14ac:dyDescent="0.2">
      <c r="A46" s="22" t="s">
        <v>688</v>
      </c>
      <c r="C46" s="82" t="s">
        <v>916</v>
      </c>
      <c r="AG46" t="s">
        <v>374</v>
      </c>
    </row>
    <row r="47" spans="1:33" x14ac:dyDescent="0.2">
      <c r="A47" s="141" t="s">
        <v>57</v>
      </c>
      <c r="B47" s="141" t="s">
        <v>649</v>
      </c>
      <c r="C47" t="s">
        <v>367</v>
      </c>
      <c r="D47" t="s">
        <v>307</v>
      </c>
      <c r="E47" t="s">
        <v>355</v>
      </c>
      <c r="F47" t="s">
        <v>356</v>
      </c>
      <c r="G47" t="s">
        <v>368</v>
      </c>
      <c r="H47" t="s">
        <v>310</v>
      </c>
      <c r="I47" t="s">
        <v>308</v>
      </c>
      <c r="J47" t="s">
        <v>357</v>
      </c>
      <c r="K47" t="s">
        <v>369</v>
      </c>
      <c r="L47" t="s">
        <v>358</v>
      </c>
      <c r="M47" t="s">
        <v>359</v>
      </c>
      <c r="N47" t="s">
        <v>360</v>
      </c>
      <c r="O47" t="s">
        <v>361</v>
      </c>
      <c r="P47" t="s">
        <v>370</v>
      </c>
      <c r="Q47" t="s">
        <v>311</v>
      </c>
      <c r="R47" t="s">
        <v>329</v>
      </c>
      <c r="S47" t="s">
        <v>309</v>
      </c>
      <c r="T47" t="s">
        <v>371</v>
      </c>
      <c r="U47" t="s">
        <v>330</v>
      </c>
      <c r="V47" t="s">
        <v>331</v>
      </c>
      <c r="W47" t="s">
        <v>328</v>
      </c>
      <c r="X47" t="s">
        <v>627</v>
      </c>
      <c r="Y47" t="s">
        <v>373</v>
      </c>
      <c r="Z47" t="s">
        <v>374</v>
      </c>
    </row>
    <row r="48" spans="1:33" x14ac:dyDescent="0.2">
      <c r="A48" s="141"/>
      <c r="B48" s="141" t="str">
        <f>V48</f>
        <v>BDFWD100000015</v>
      </c>
      <c r="C48">
        <v>2232232457</v>
      </c>
      <c r="D48" t="s">
        <v>363</v>
      </c>
      <c r="E48" t="s">
        <v>312</v>
      </c>
      <c r="F48" t="s">
        <v>680</v>
      </c>
      <c r="G48" t="s">
        <v>626</v>
      </c>
      <c r="H48">
        <v>28700000</v>
      </c>
      <c r="I48" t="s">
        <v>44</v>
      </c>
      <c r="J48">
        <v>28700000</v>
      </c>
      <c r="M48">
        <v>44630</v>
      </c>
      <c r="O48">
        <v>45957</v>
      </c>
      <c r="P48" t="s">
        <v>645</v>
      </c>
      <c r="Q48">
        <v>-10710026.33</v>
      </c>
      <c r="R48">
        <v>-10694068.619204</v>
      </c>
      <c r="S48" t="s">
        <v>44</v>
      </c>
      <c r="T48">
        <v>45735</v>
      </c>
      <c r="U48">
        <v>-15957.710795999999</v>
      </c>
      <c r="V48" t="s">
        <v>610</v>
      </c>
      <c r="Y48" t="s">
        <v>421</v>
      </c>
    </row>
    <row r="49" spans="1:25" x14ac:dyDescent="0.2">
      <c r="A49" s="141"/>
      <c r="B49" s="141" t="str">
        <f>V49</f>
        <v>BDFWD100000028</v>
      </c>
      <c r="C49">
        <v>2267270452</v>
      </c>
      <c r="D49" t="s">
        <v>363</v>
      </c>
      <c r="E49" t="s">
        <v>312</v>
      </c>
      <c r="F49" t="s">
        <v>680</v>
      </c>
      <c r="G49" t="s">
        <v>626</v>
      </c>
      <c r="H49">
        <v>27000000</v>
      </c>
      <c r="I49" t="s">
        <v>44</v>
      </c>
      <c r="J49">
        <v>27000000</v>
      </c>
      <c r="M49">
        <v>44670</v>
      </c>
      <c r="O49">
        <v>46139</v>
      </c>
      <c r="P49" t="s">
        <v>682</v>
      </c>
      <c r="Q49">
        <v>-7932340.2000000002</v>
      </c>
      <c r="R49">
        <v>-7906455.8180910004</v>
      </c>
      <c r="S49" t="s">
        <v>44</v>
      </c>
      <c r="T49">
        <v>45735</v>
      </c>
      <c r="U49">
        <v>-25884.381909</v>
      </c>
      <c r="V49" t="s">
        <v>677</v>
      </c>
      <c r="Y49" t="s">
        <v>421</v>
      </c>
    </row>
    <row r="50" spans="1:25" x14ac:dyDescent="0.2">
      <c r="A50" s="141"/>
      <c r="B50" s="141" t="str">
        <f>V50</f>
        <v>BDFWD100000005</v>
      </c>
      <c r="C50">
        <v>2273953849</v>
      </c>
      <c r="D50" t="s">
        <v>363</v>
      </c>
      <c r="E50" t="s">
        <v>642</v>
      </c>
      <c r="F50" t="s">
        <v>680</v>
      </c>
      <c r="G50" t="s">
        <v>626</v>
      </c>
      <c r="H50">
        <v>58000000</v>
      </c>
      <c r="I50" t="s">
        <v>44</v>
      </c>
      <c r="J50">
        <v>58000000</v>
      </c>
      <c r="M50">
        <v>44600</v>
      </c>
      <c r="O50">
        <v>45957</v>
      </c>
      <c r="P50" t="s">
        <v>644</v>
      </c>
      <c r="Q50">
        <v>-23474189.760000002</v>
      </c>
      <c r="R50">
        <v>-23446574.785</v>
      </c>
      <c r="S50" t="s">
        <v>44</v>
      </c>
      <c r="T50">
        <v>45735</v>
      </c>
      <c r="U50">
        <v>-27614.974999999999</v>
      </c>
      <c r="V50" t="s">
        <v>609</v>
      </c>
      <c r="Y50" t="s">
        <v>643</v>
      </c>
    </row>
    <row r="51" spans="1:25" x14ac:dyDescent="0.2">
      <c r="A51" s="141"/>
      <c r="B51" s="141" t="str">
        <f>V51</f>
        <v>BDFWD100000020</v>
      </c>
      <c r="C51">
        <v>2276088595</v>
      </c>
      <c r="D51" t="s">
        <v>363</v>
      </c>
      <c r="E51" t="s">
        <v>683</v>
      </c>
      <c r="F51" t="s">
        <v>680</v>
      </c>
      <c r="G51" t="s">
        <v>626</v>
      </c>
      <c r="H51">
        <v>26000000</v>
      </c>
      <c r="I51" t="s">
        <v>44</v>
      </c>
      <c r="J51">
        <v>26000000</v>
      </c>
      <c r="M51">
        <v>44649</v>
      </c>
      <c r="O51">
        <v>45957</v>
      </c>
      <c r="P51" t="s">
        <v>684</v>
      </c>
      <c r="Q51">
        <v>-9472087.8599999994</v>
      </c>
      <c r="R51">
        <v>-9449179.7100000009</v>
      </c>
      <c r="S51" t="s">
        <v>44</v>
      </c>
      <c r="T51">
        <v>45735</v>
      </c>
      <c r="U51">
        <v>-22908.15</v>
      </c>
      <c r="V51" t="s">
        <v>657</v>
      </c>
      <c r="Y51" t="s">
        <v>685</v>
      </c>
    </row>
    <row r="52" spans="1:25" x14ac:dyDescent="0.2">
      <c r="A52" s="141"/>
      <c r="B52" s="141" t="str">
        <f>V52</f>
        <v>BDFWD100000022</v>
      </c>
      <c r="C52">
        <v>2276088597</v>
      </c>
      <c r="D52" t="s">
        <v>363</v>
      </c>
      <c r="E52" t="s">
        <v>683</v>
      </c>
      <c r="F52" t="s">
        <v>680</v>
      </c>
      <c r="G52" t="s">
        <v>626</v>
      </c>
      <c r="H52">
        <v>30600000</v>
      </c>
      <c r="I52" t="s">
        <v>44</v>
      </c>
      <c r="J52">
        <v>30600000</v>
      </c>
      <c r="M52">
        <v>44657</v>
      </c>
      <c r="O52">
        <v>45957</v>
      </c>
      <c r="P52" t="s">
        <v>686</v>
      </c>
      <c r="Q52">
        <v>-9729946.1899999995</v>
      </c>
      <c r="R52">
        <v>-9721615.75</v>
      </c>
      <c r="S52" t="s">
        <v>44</v>
      </c>
      <c r="T52">
        <v>45735</v>
      </c>
      <c r="U52">
        <v>-8330.44</v>
      </c>
      <c r="V52" t="s">
        <v>678</v>
      </c>
      <c r="Y52" t="s">
        <v>685</v>
      </c>
    </row>
    <row r="53" spans="1:25" x14ac:dyDescent="0.2">
      <c r="A53" s="141"/>
      <c r="B53" s="141" t="str">
        <f t="shared" ref="B53:B61" si="94">V53</f>
        <v>BDFWD100000018</v>
      </c>
      <c r="C53">
        <v>2466017326</v>
      </c>
      <c r="D53" t="s">
        <v>363</v>
      </c>
      <c r="E53" t="s">
        <v>646</v>
      </c>
      <c r="F53" t="s">
        <v>680</v>
      </c>
      <c r="G53" t="s">
        <v>626</v>
      </c>
      <c r="H53">
        <v>30000000</v>
      </c>
      <c r="I53" t="s">
        <v>44</v>
      </c>
      <c r="J53">
        <v>30000000</v>
      </c>
      <c r="M53">
        <v>44636</v>
      </c>
      <c r="O53">
        <v>46139</v>
      </c>
      <c r="P53" t="s">
        <v>647</v>
      </c>
      <c r="Q53">
        <v>-10580743.560000001</v>
      </c>
      <c r="R53">
        <v>-10529048.309303001</v>
      </c>
      <c r="S53" t="s">
        <v>44</v>
      </c>
      <c r="T53">
        <v>45735</v>
      </c>
      <c r="U53">
        <v>-51695.250697000003</v>
      </c>
      <c r="V53" t="s">
        <v>605</v>
      </c>
      <c r="Y53" t="s">
        <v>648</v>
      </c>
    </row>
    <row r="54" spans="1:25" x14ac:dyDescent="0.2">
      <c r="A54" s="141"/>
      <c r="B54" s="141" t="str">
        <f t="shared" si="94"/>
        <v>BDFWD100000024</v>
      </c>
      <c r="C54">
        <v>2466017329</v>
      </c>
      <c r="D54" t="s">
        <v>363</v>
      </c>
      <c r="E54" t="s">
        <v>646</v>
      </c>
      <c r="F54" t="s">
        <v>680</v>
      </c>
      <c r="G54" t="s">
        <v>626</v>
      </c>
      <c r="H54">
        <v>25000000</v>
      </c>
      <c r="I54" t="s">
        <v>44</v>
      </c>
      <c r="J54">
        <v>25000000</v>
      </c>
      <c r="M54">
        <v>44657</v>
      </c>
      <c r="O54">
        <v>46139</v>
      </c>
      <c r="P54" t="s">
        <v>681</v>
      </c>
      <c r="Q54">
        <v>-8278982.9900000002</v>
      </c>
      <c r="R54">
        <v>-8235904.287583</v>
      </c>
      <c r="S54" t="s">
        <v>44</v>
      </c>
      <c r="T54">
        <v>45735</v>
      </c>
      <c r="U54">
        <v>-43078.702417</v>
      </c>
      <c r="V54" t="s">
        <v>679</v>
      </c>
      <c r="Y54" t="s">
        <v>648</v>
      </c>
    </row>
    <row r="55" spans="1:25" x14ac:dyDescent="0.2">
      <c r="A55" s="141"/>
      <c r="B55" s="141" t="str">
        <f>V55</f>
        <v>BDFWD100000030</v>
      </c>
      <c r="C55">
        <v>2466017334</v>
      </c>
      <c r="D55" t="s">
        <v>363</v>
      </c>
      <c r="E55" t="s">
        <v>646</v>
      </c>
      <c r="F55" t="s">
        <v>680</v>
      </c>
      <c r="G55" t="s">
        <v>626</v>
      </c>
      <c r="H55">
        <v>29000000</v>
      </c>
      <c r="I55" t="s">
        <v>44</v>
      </c>
      <c r="J55">
        <v>29000000</v>
      </c>
      <c r="M55">
        <v>44712</v>
      </c>
      <c r="O55">
        <v>46139</v>
      </c>
      <c r="P55" t="s">
        <v>681</v>
      </c>
      <c r="Q55">
        <v>-6818017.4400000004</v>
      </c>
      <c r="R55">
        <v>-6777295.2884170003</v>
      </c>
      <c r="S55" t="s">
        <v>44</v>
      </c>
      <c r="T55">
        <v>45735</v>
      </c>
      <c r="U55">
        <v>-40722.151582999999</v>
      </c>
      <c r="V55" t="s">
        <v>676</v>
      </c>
      <c r="Y55" t="s">
        <v>648</v>
      </c>
    </row>
    <row r="56" spans="1:25" x14ac:dyDescent="0.2">
      <c r="A56" s="141"/>
      <c r="B56" s="141" t="str">
        <f t="shared" si="94"/>
        <v>BDFWD100000032</v>
      </c>
      <c r="C56">
        <v>2466017478</v>
      </c>
      <c r="D56" t="s">
        <v>363</v>
      </c>
      <c r="E56" t="s">
        <v>640</v>
      </c>
      <c r="F56" t="s">
        <v>680</v>
      </c>
      <c r="G56" t="s">
        <v>626</v>
      </c>
      <c r="H56">
        <v>27000000</v>
      </c>
      <c r="I56" t="s">
        <v>44</v>
      </c>
      <c r="J56">
        <v>27000000</v>
      </c>
      <c r="M56">
        <v>44713</v>
      </c>
      <c r="O56">
        <v>45957</v>
      </c>
      <c r="P56" t="s">
        <v>687</v>
      </c>
      <c r="Q56">
        <v>-6248529.5</v>
      </c>
      <c r="R56">
        <v>-6280097.8399999999</v>
      </c>
      <c r="S56" t="s">
        <v>44</v>
      </c>
      <c r="T56">
        <v>45735</v>
      </c>
      <c r="U56">
        <v>31568.34</v>
      </c>
      <c r="V56" t="s">
        <v>675</v>
      </c>
      <c r="Y56" t="s">
        <v>420</v>
      </c>
    </row>
    <row r="57" spans="1:25" x14ac:dyDescent="0.2">
      <c r="A57" s="141"/>
      <c r="B57" s="141" t="str">
        <f t="shared" si="94"/>
        <v>BDFWD100000069</v>
      </c>
      <c r="C57">
        <v>2874735314</v>
      </c>
      <c r="D57" t="s">
        <v>363</v>
      </c>
      <c r="E57" t="s">
        <v>637</v>
      </c>
      <c r="F57" t="s">
        <v>680</v>
      </c>
      <c r="G57" t="s">
        <v>626</v>
      </c>
      <c r="H57">
        <v>11000000</v>
      </c>
      <c r="I57" t="s">
        <v>44</v>
      </c>
      <c r="J57">
        <v>11000000</v>
      </c>
      <c r="M57">
        <v>45454</v>
      </c>
      <c r="O57">
        <v>46139</v>
      </c>
      <c r="P57" t="s">
        <v>1126</v>
      </c>
      <c r="Q57">
        <v>-600560.98</v>
      </c>
      <c r="R57">
        <v>-641551.68299999996</v>
      </c>
      <c r="S57" t="s">
        <v>44</v>
      </c>
      <c r="T57">
        <v>45735</v>
      </c>
      <c r="U57">
        <v>40990.703000000001</v>
      </c>
      <c r="V57" t="s">
        <v>1109</v>
      </c>
      <c r="Y57" t="s">
        <v>638</v>
      </c>
    </row>
    <row r="58" spans="1:25" x14ac:dyDescent="0.2">
      <c r="A58" s="141"/>
      <c r="B58" s="141" t="str">
        <f t="shared" si="94"/>
        <v>BDFWD100000068</v>
      </c>
      <c r="C58">
        <v>2874735316</v>
      </c>
      <c r="D58" t="s">
        <v>363</v>
      </c>
      <c r="E58" t="s">
        <v>637</v>
      </c>
      <c r="F58" t="s">
        <v>680</v>
      </c>
      <c r="G58" t="s">
        <v>626</v>
      </c>
      <c r="H58">
        <v>11000000</v>
      </c>
      <c r="I58" t="s">
        <v>44</v>
      </c>
      <c r="J58">
        <v>11000000</v>
      </c>
      <c r="M58">
        <v>45454</v>
      </c>
      <c r="O58">
        <v>46594</v>
      </c>
      <c r="P58" t="s">
        <v>1125</v>
      </c>
      <c r="Q58">
        <v>-703039.29</v>
      </c>
      <c r="R58">
        <v>-750995.46699999995</v>
      </c>
      <c r="S58" t="s">
        <v>44</v>
      </c>
      <c r="T58">
        <v>45735</v>
      </c>
      <c r="U58">
        <v>47956.177000000003</v>
      </c>
      <c r="V58" t="s">
        <v>1108</v>
      </c>
      <c r="Y58" t="s">
        <v>638</v>
      </c>
    </row>
    <row r="59" spans="1:25" x14ac:dyDescent="0.2">
      <c r="A59" s="141"/>
      <c r="B59" s="141" t="str">
        <f t="shared" si="94"/>
        <v>BDFWD100000067</v>
      </c>
      <c r="C59">
        <v>2874735317</v>
      </c>
      <c r="D59" t="s">
        <v>363</v>
      </c>
      <c r="E59" t="s">
        <v>637</v>
      </c>
      <c r="F59" t="s">
        <v>680</v>
      </c>
      <c r="G59" t="s">
        <v>626</v>
      </c>
      <c r="H59">
        <v>8500000</v>
      </c>
      <c r="I59" t="s">
        <v>44</v>
      </c>
      <c r="J59">
        <v>8500000</v>
      </c>
      <c r="M59">
        <v>45454</v>
      </c>
      <c r="O59">
        <v>46840</v>
      </c>
      <c r="P59" t="s">
        <v>1124</v>
      </c>
      <c r="Q59">
        <v>-561746.28</v>
      </c>
      <c r="R59">
        <v>-591018.72199999995</v>
      </c>
      <c r="S59" t="s">
        <v>44</v>
      </c>
      <c r="T59">
        <v>45735</v>
      </c>
      <c r="U59">
        <v>29272.441999999999</v>
      </c>
      <c r="V59" t="s">
        <v>1107</v>
      </c>
      <c r="Y59" t="s">
        <v>638</v>
      </c>
    </row>
    <row r="60" spans="1:25" x14ac:dyDescent="0.2">
      <c r="A60" s="141"/>
      <c r="B60" s="141" t="str">
        <f t="shared" si="94"/>
        <v>BDFWD100000073</v>
      </c>
      <c r="C60">
        <v>2876535633</v>
      </c>
      <c r="D60" t="s">
        <v>363</v>
      </c>
      <c r="E60" t="s">
        <v>683</v>
      </c>
      <c r="F60" t="s">
        <v>680</v>
      </c>
      <c r="G60" t="s">
        <v>626</v>
      </c>
      <c r="H60">
        <v>22000000</v>
      </c>
      <c r="I60" t="s">
        <v>44</v>
      </c>
      <c r="J60">
        <v>22000000</v>
      </c>
      <c r="M60">
        <v>45471</v>
      </c>
      <c r="O60">
        <v>45957</v>
      </c>
      <c r="P60" t="s">
        <v>1136</v>
      </c>
      <c r="Q60">
        <v>-1096042.72</v>
      </c>
      <c r="R60">
        <v>-1079764.52</v>
      </c>
      <c r="S60" t="s">
        <v>44</v>
      </c>
      <c r="T60">
        <v>45735</v>
      </c>
      <c r="U60">
        <v>-16278.2</v>
      </c>
      <c r="V60" t="s">
        <v>1135</v>
      </c>
      <c r="Y60" t="s">
        <v>685</v>
      </c>
    </row>
    <row r="61" spans="1:25" x14ac:dyDescent="0.2">
      <c r="A61" s="141"/>
      <c r="B61" s="141" t="str">
        <f t="shared" si="94"/>
        <v>BDFWD100000077</v>
      </c>
      <c r="C61">
        <v>2878803259</v>
      </c>
      <c r="D61" t="s">
        <v>363</v>
      </c>
      <c r="E61" t="s">
        <v>312</v>
      </c>
      <c r="F61" t="s">
        <v>680</v>
      </c>
      <c r="G61" t="s">
        <v>626</v>
      </c>
      <c r="H61">
        <v>16500000</v>
      </c>
      <c r="I61" t="s">
        <v>44</v>
      </c>
      <c r="J61">
        <v>16500000</v>
      </c>
      <c r="M61">
        <v>45475</v>
      </c>
      <c r="O61">
        <v>45957</v>
      </c>
      <c r="P61" t="s">
        <v>1268</v>
      </c>
      <c r="Q61">
        <v>-643669.16</v>
      </c>
      <c r="R61">
        <v>-638802.92764999997</v>
      </c>
      <c r="S61" t="s">
        <v>44</v>
      </c>
      <c r="T61">
        <v>45735</v>
      </c>
      <c r="U61">
        <v>-4866.2323500000002</v>
      </c>
      <c r="V61" t="s">
        <v>1147</v>
      </c>
      <c r="Y61" t="s">
        <v>421</v>
      </c>
    </row>
    <row r="62" spans="1:25" x14ac:dyDescent="0.2">
      <c r="A62" s="141"/>
      <c r="B62" s="141" t="str">
        <f t="shared" ref="B62:B88" si="95">V62</f>
        <v>BDFWD100000081</v>
      </c>
      <c r="C62">
        <v>2976595304</v>
      </c>
      <c r="D62" t="s">
        <v>363</v>
      </c>
      <c r="E62" t="s">
        <v>637</v>
      </c>
      <c r="F62" t="s">
        <v>680</v>
      </c>
      <c r="G62" t="s">
        <v>626</v>
      </c>
      <c r="H62">
        <v>11000000</v>
      </c>
      <c r="I62" t="s">
        <v>44</v>
      </c>
      <c r="J62">
        <v>11000000</v>
      </c>
      <c r="M62">
        <v>45569</v>
      </c>
      <c r="O62">
        <v>46840</v>
      </c>
      <c r="P62" t="s">
        <v>1124</v>
      </c>
      <c r="Q62">
        <v>-816916.99</v>
      </c>
      <c r="R62">
        <v>-861826.66099999996</v>
      </c>
      <c r="S62" t="s">
        <v>44</v>
      </c>
      <c r="T62">
        <v>45735</v>
      </c>
      <c r="U62">
        <v>44909.671000000002</v>
      </c>
      <c r="V62" t="s">
        <v>1309</v>
      </c>
      <c r="Y62" t="s">
        <v>638</v>
      </c>
    </row>
    <row r="63" spans="1:25" x14ac:dyDescent="0.2">
      <c r="B63" s="141" t="str">
        <f t="shared" si="95"/>
        <v>BDFWD100000080</v>
      </c>
      <c r="C63">
        <v>2976595305</v>
      </c>
      <c r="D63" t="s">
        <v>363</v>
      </c>
      <c r="E63" t="s">
        <v>637</v>
      </c>
      <c r="F63" t="s">
        <v>680</v>
      </c>
      <c r="G63" t="s">
        <v>626</v>
      </c>
      <c r="H63">
        <v>16000000</v>
      </c>
      <c r="I63" t="s">
        <v>44</v>
      </c>
      <c r="J63">
        <v>16000000</v>
      </c>
      <c r="M63">
        <v>45569</v>
      </c>
      <c r="O63">
        <v>46594</v>
      </c>
      <c r="P63" t="s">
        <v>1125</v>
      </c>
      <c r="Q63">
        <v>-1185396.33</v>
      </c>
      <c r="R63">
        <v>-1268385.2649999999</v>
      </c>
      <c r="S63" t="s">
        <v>44</v>
      </c>
      <c r="T63">
        <v>45735</v>
      </c>
      <c r="U63">
        <v>82988.934999999998</v>
      </c>
      <c r="V63" t="s">
        <v>1298</v>
      </c>
      <c r="Y63" t="s">
        <v>638</v>
      </c>
    </row>
    <row r="64" spans="1:25" x14ac:dyDescent="0.2">
      <c r="B64" s="141" t="str">
        <f t="shared" si="95"/>
        <v>BDFWD100000083</v>
      </c>
      <c r="C64">
        <v>2977859468</v>
      </c>
      <c r="D64" t="s">
        <v>363</v>
      </c>
      <c r="E64" t="s">
        <v>43</v>
      </c>
      <c r="F64" t="s">
        <v>680</v>
      </c>
      <c r="G64" t="s">
        <v>626</v>
      </c>
      <c r="H64">
        <v>38000000</v>
      </c>
      <c r="I64" t="s">
        <v>44</v>
      </c>
      <c r="J64">
        <v>38000000</v>
      </c>
      <c r="M64">
        <v>45574</v>
      </c>
      <c r="O64">
        <v>47233</v>
      </c>
      <c r="P64" t="s">
        <v>1395</v>
      </c>
      <c r="Q64">
        <v>-2664836.59</v>
      </c>
      <c r="R64">
        <v>-2764554.17</v>
      </c>
      <c r="S64" t="s">
        <v>44</v>
      </c>
      <c r="T64">
        <v>45735</v>
      </c>
      <c r="U64">
        <v>99717.58</v>
      </c>
      <c r="V64" t="s">
        <v>1321</v>
      </c>
      <c r="Y64" t="s">
        <v>1267</v>
      </c>
    </row>
    <row r="65" spans="2:25" x14ac:dyDescent="0.2">
      <c r="B65" s="141" t="str">
        <f t="shared" si="95"/>
        <v>BDFWD100000087</v>
      </c>
      <c r="C65">
        <v>2981112376</v>
      </c>
      <c r="D65" t="s">
        <v>363</v>
      </c>
      <c r="E65" t="s">
        <v>683</v>
      </c>
      <c r="F65" t="s">
        <v>680</v>
      </c>
      <c r="G65" t="s">
        <v>626</v>
      </c>
      <c r="H65">
        <v>24000000</v>
      </c>
      <c r="I65" t="s">
        <v>44</v>
      </c>
      <c r="J65">
        <v>24000000</v>
      </c>
      <c r="M65">
        <v>45576</v>
      </c>
      <c r="O65">
        <v>46840</v>
      </c>
      <c r="P65" t="s">
        <v>1396</v>
      </c>
      <c r="Q65">
        <v>-1578015.45</v>
      </c>
      <c r="R65">
        <v>-1527394.92</v>
      </c>
      <c r="S65" t="s">
        <v>44</v>
      </c>
      <c r="T65">
        <v>45735</v>
      </c>
      <c r="U65">
        <v>-50620.53</v>
      </c>
      <c r="V65" t="s">
        <v>1323</v>
      </c>
      <c r="Y65" t="s">
        <v>685</v>
      </c>
    </row>
    <row r="66" spans="2:25" x14ac:dyDescent="0.2">
      <c r="B66" s="141" t="str">
        <f t="shared" si="95"/>
        <v>BDFWD100000086</v>
      </c>
      <c r="C66">
        <v>2981112377</v>
      </c>
      <c r="D66" t="s">
        <v>363</v>
      </c>
      <c r="E66" t="s">
        <v>683</v>
      </c>
      <c r="F66" t="s">
        <v>680</v>
      </c>
      <c r="G66" t="s">
        <v>626</v>
      </c>
      <c r="H66">
        <v>16500000</v>
      </c>
      <c r="I66" t="s">
        <v>44</v>
      </c>
      <c r="J66">
        <v>16500000</v>
      </c>
      <c r="M66">
        <v>45576</v>
      </c>
      <c r="O66">
        <v>46594</v>
      </c>
      <c r="P66" t="s">
        <v>1397</v>
      </c>
      <c r="Q66">
        <v>-1078891.73</v>
      </c>
      <c r="R66">
        <v>-1058299.31</v>
      </c>
      <c r="S66" t="s">
        <v>44</v>
      </c>
      <c r="T66">
        <v>45735</v>
      </c>
      <c r="U66">
        <v>-20592.419999999998</v>
      </c>
      <c r="V66" t="s">
        <v>1322</v>
      </c>
      <c r="Y66" t="s">
        <v>685</v>
      </c>
    </row>
    <row r="67" spans="2:25" x14ac:dyDescent="0.2">
      <c r="B67" s="141" t="str">
        <f t="shared" si="95"/>
        <v>BDFWD100000090</v>
      </c>
      <c r="C67">
        <v>2987302359</v>
      </c>
      <c r="D67" t="s">
        <v>363</v>
      </c>
      <c r="E67" t="s">
        <v>640</v>
      </c>
      <c r="F67" t="s">
        <v>680</v>
      </c>
      <c r="G67" t="s">
        <v>626</v>
      </c>
      <c r="H67">
        <v>16500000</v>
      </c>
      <c r="I67" t="s">
        <v>44</v>
      </c>
      <c r="J67">
        <v>16500000</v>
      </c>
      <c r="M67">
        <v>45586</v>
      </c>
      <c r="O67">
        <v>46693</v>
      </c>
      <c r="P67" t="s">
        <v>1398</v>
      </c>
      <c r="Q67">
        <v>-1109508.74</v>
      </c>
      <c r="R67">
        <v>-1111801.22</v>
      </c>
      <c r="S67" t="s">
        <v>44</v>
      </c>
      <c r="T67">
        <v>45735</v>
      </c>
      <c r="U67">
        <v>2292.48</v>
      </c>
      <c r="V67" t="s">
        <v>1341</v>
      </c>
      <c r="Y67" t="s">
        <v>420</v>
      </c>
    </row>
    <row r="68" spans="2:25" x14ac:dyDescent="0.2">
      <c r="B68" s="141" t="str">
        <f t="shared" si="95"/>
        <v>BDFWD100000094</v>
      </c>
      <c r="C68">
        <v>2987431224</v>
      </c>
      <c r="D68" t="s">
        <v>363</v>
      </c>
      <c r="E68" t="s">
        <v>43</v>
      </c>
      <c r="F68" t="s">
        <v>680</v>
      </c>
      <c r="G68" t="s">
        <v>626</v>
      </c>
      <c r="H68">
        <v>16000000</v>
      </c>
      <c r="I68" t="s">
        <v>44</v>
      </c>
      <c r="J68">
        <v>16000000</v>
      </c>
      <c r="M68">
        <v>45587</v>
      </c>
      <c r="O68">
        <v>47233</v>
      </c>
      <c r="P68" t="s">
        <v>1395</v>
      </c>
      <c r="Q68">
        <v>-975400.51</v>
      </c>
      <c r="R68">
        <v>-1017458.15</v>
      </c>
      <c r="S68" t="s">
        <v>44</v>
      </c>
      <c r="T68">
        <v>45735</v>
      </c>
      <c r="U68">
        <v>42057.64</v>
      </c>
      <c r="V68" t="s">
        <v>1327</v>
      </c>
      <c r="Y68" t="s">
        <v>1267</v>
      </c>
    </row>
    <row r="69" spans="2:25" x14ac:dyDescent="0.2">
      <c r="B69" s="141" t="str">
        <f t="shared" si="95"/>
        <v>BDFWD100000092</v>
      </c>
      <c r="C69">
        <v>2987431225</v>
      </c>
      <c r="D69" t="s">
        <v>363</v>
      </c>
      <c r="E69" t="s">
        <v>43</v>
      </c>
      <c r="F69" t="s">
        <v>680</v>
      </c>
      <c r="G69" t="s">
        <v>626</v>
      </c>
      <c r="H69">
        <v>21000000</v>
      </c>
      <c r="I69" t="s">
        <v>44</v>
      </c>
      <c r="J69">
        <v>21000000</v>
      </c>
      <c r="M69">
        <v>45587</v>
      </c>
      <c r="O69">
        <v>46139</v>
      </c>
      <c r="P69" t="s">
        <v>1399</v>
      </c>
      <c r="Q69">
        <v>-1250132.71</v>
      </c>
      <c r="R69">
        <v>-1350135.18</v>
      </c>
      <c r="S69" t="s">
        <v>44</v>
      </c>
      <c r="T69">
        <v>45735</v>
      </c>
      <c r="U69">
        <v>100002.47</v>
      </c>
      <c r="V69" t="s">
        <v>1326</v>
      </c>
      <c r="Y69" t="s">
        <v>1267</v>
      </c>
    </row>
    <row r="70" spans="2:25" x14ac:dyDescent="0.2">
      <c r="B70" s="141" t="str">
        <f t="shared" si="95"/>
        <v>BDFWD100000099</v>
      </c>
      <c r="C70">
        <v>3001927046</v>
      </c>
      <c r="D70" t="s">
        <v>363</v>
      </c>
      <c r="E70" t="s">
        <v>640</v>
      </c>
      <c r="F70" t="s">
        <v>680</v>
      </c>
      <c r="G70" t="s">
        <v>626</v>
      </c>
      <c r="H70">
        <v>20000000</v>
      </c>
      <c r="I70" t="s">
        <v>44</v>
      </c>
      <c r="J70">
        <v>20000000</v>
      </c>
      <c r="M70">
        <v>45603</v>
      </c>
      <c r="O70">
        <v>45957</v>
      </c>
      <c r="P70" t="s">
        <v>1400</v>
      </c>
      <c r="Q70">
        <v>-833291.44</v>
      </c>
      <c r="R70">
        <v>-872463.55</v>
      </c>
      <c r="S70" t="s">
        <v>44</v>
      </c>
      <c r="T70">
        <v>45735</v>
      </c>
      <c r="U70">
        <v>39172.11</v>
      </c>
      <c r="V70" t="s">
        <v>1351</v>
      </c>
      <c r="Y70" t="s">
        <v>420</v>
      </c>
    </row>
    <row r="71" spans="2:25" x14ac:dyDescent="0.2">
      <c r="B71" s="141" t="str">
        <f t="shared" si="95"/>
        <v>BDFWD100000101</v>
      </c>
      <c r="C71">
        <v>3002094691</v>
      </c>
      <c r="D71" t="s">
        <v>363</v>
      </c>
      <c r="E71" t="s">
        <v>43</v>
      </c>
      <c r="F71" t="s">
        <v>680</v>
      </c>
      <c r="G71" t="s">
        <v>626</v>
      </c>
      <c r="H71">
        <v>12000000</v>
      </c>
      <c r="I71" t="s">
        <v>44</v>
      </c>
      <c r="J71">
        <v>12000000</v>
      </c>
      <c r="M71">
        <v>45603</v>
      </c>
      <c r="O71">
        <v>47233</v>
      </c>
      <c r="P71" t="s">
        <v>1395</v>
      </c>
      <c r="Q71">
        <v>-487944.21</v>
      </c>
      <c r="R71">
        <v>-519498.5</v>
      </c>
      <c r="S71" t="s">
        <v>44</v>
      </c>
      <c r="T71">
        <v>45735</v>
      </c>
      <c r="U71">
        <v>31554.29</v>
      </c>
      <c r="V71" t="s">
        <v>1353</v>
      </c>
      <c r="Y71" t="s">
        <v>1267</v>
      </c>
    </row>
    <row r="72" spans="2:25" x14ac:dyDescent="0.2">
      <c r="B72" s="141" t="str">
        <f t="shared" si="95"/>
        <v>BDFWD100000100</v>
      </c>
      <c r="C72">
        <v>3002094696</v>
      </c>
      <c r="D72" t="s">
        <v>363</v>
      </c>
      <c r="E72" t="s">
        <v>43</v>
      </c>
      <c r="F72" t="s">
        <v>680</v>
      </c>
      <c r="G72" t="s">
        <v>626</v>
      </c>
      <c r="H72">
        <v>22000000</v>
      </c>
      <c r="I72" t="s">
        <v>44</v>
      </c>
      <c r="J72">
        <v>22000000</v>
      </c>
      <c r="M72">
        <v>45603</v>
      </c>
      <c r="O72">
        <v>46840</v>
      </c>
      <c r="P72" t="s">
        <v>1401</v>
      </c>
      <c r="Q72">
        <v>-906693.37</v>
      </c>
      <c r="R72">
        <v>-980762.67</v>
      </c>
      <c r="S72" t="s">
        <v>44</v>
      </c>
      <c r="T72">
        <v>45735</v>
      </c>
      <c r="U72">
        <v>74069.3</v>
      </c>
      <c r="V72" t="s">
        <v>1352</v>
      </c>
      <c r="Y72" t="s">
        <v>1267</v>
      </c>
    </row>
    <row r="73" spans="2:25" x14ac:dyDescent="0.2">
      <c r="B73" s="141" t="str">
        <f t="shared" si="95"/>
        <v>BDFWD100000103</v>
      </c>
      <c r="C73">
        <v>3002569846</v>
      </c>
      <c r="D73" t="s">
        <v>363</v>
      </c>
      <c r="E73" t="s">
        <v>683</v>
      </c>
      <c r="F73" t="s">
        <v>680</v>
      </c>
      <c r="G73" t="s">
        <v>626</v>
      </c>
      <c r="H73">
        <v>11000000</v>
      </c>
      <c r="I73" t="s">
        <v>44</v>
      </c>
      <c r="J73">
        <v>11000000</v>
      </c>
      <c r="M73">
        <v>45603</v>
      </c>
      <c r="O73">
        <v>46139</v>
      </c>
      <c r="P73" t="s">
        <v>1402</v>
      </c>
      <c r="Q73">
        <v>-461392.22</v>
      </c>
      <c r="R73">
        <v>-445689.46</v>
      </c>
      <c r="S73" t="s">
        <v>44</v>
      </c>
      <c r="T73">
        <v>45735</v>
      </c>
      <c r="U73">
        <v>-15702.76</v>
      </c>
      <c r="V73" t="s">
        <v>1354</v>
      </c>
      <c r="Y73" t="s">
        <v>685</v>
      </c>
    </row>
    <row r="74" spans="2:25" x14ac:dyDescent="0.2">
      <c r="B74" s="141" t="str">
        <f t="shared" si="95"/>
        <v>BDFWD100000109</v>
      </c>
      <c r="C74">
        <v>3051045873</v>
      </c>
      <c r="D74" t="s">
        <v>363</v>
      </c>
      <c r="E74" t="s">
        <v>312</v>
      </c>
      <c r="F74" t="s">
        <v>680</v>
      </c>
      <c r="G74" t="s">
        <v>626</v>
      </c>
      <c r="H74">
        <v>23000000</v>
      </c>
      <c r="I74" t="s">
        <v>44</v>
      </c>
      <c r="J74">
        <v>23000000</v>
      </c>
      <c r="M74">
        <v>45664</v>
      </c>
      <c r="O74">
        <v>46693</v>
      </c>
      <c r="P74" t="s">
        <v>1622</v>
      </c>
      <c r="Q74">
        <v>-884186.09</v>
      </c>
      <c r="R74">
        <v>-844640.23470000003</v>
      </c>
      <c r="S74" t="s">
        <v>44</v>
      </c>
      <c r="T74">
        <v>45735</v>
      </c>
      <c r="U74">
        <v>-39545.855300000003</v>
      </c>
      <c r="V74" t="s">
        <v>1434</v>
      </c>
      <c r="Y74" t="s">
        <v>421</v>
      </c>
    </row>
    <row r="75" spans="2:25" x14ac:dyDescent="0.2">
      <c r="B75" s="141" t="str">
        <f t="shared" si="95"/>
        <v>BDFWD100000108</v>
      </c>
      <c r="C75">
        <v>3051067399</v>
      </c>
      <c r="D75" t="s">
        <v>363</v>
      </c>
      <c r="E75" t="s">
        <v>1623</v>
      </c>
      <c r="F75" t="s">
        <v>680</v>
      </c>
      <c r="G75" t="s">
        <v>626</v>
      </c>
      <c r="H75">
        <v>11000000</v>
      </c>
      <c r="I75" t="s">
        <v>44</v>
      </c>
      <c r="J75">
        <v>11000000</v>
      </c>
      <c r="M75">
        <v>45664</v>
      </c>
      <c r="O75">
        <v>47233</v>
      </c>
      <c r="P75" t="s">
        <v>1624</v>
      </c>
      <c r="Q75">
        <v>-429423.03</v>
      </c>
      <c r="R75">
        <v>-404900.34</v>
      </c>
      <c r="S75" t="s">
        <v>44</v>
      </c>
      <c r="T75">
        <v>45735</v>
      </c>
      <c r="U75">
        <v>-24522.69</v>
      </c>
      <c r="V75" t="s">
        <v>1436</v>
      </c>
      <c r="Y75" t="s">
        <v>1129</v>
      </c>
    </row>
    <row r="76" spans="2:25" x14ac:dyDescent="0.2">
      <c r="B76" s="141" t="str">
        <f t="shared" si="95"/>
        <v>BDFWD100000107</v>
      </c>
      <c r="C76">
        <v>3051067400</v>
      </c>
      <c r="D76" t="s">
        <v>363</v>
      </c>
      <c r="E76" t="s">
        <v>1623</v>
      </c>
      <c r="F76" t="s">
        <v>680</v>
      </c>
      <c r="G76" t="s">
        <v>626</v>
      </c>
      <c r="H76">
        <v>22700000</v>
      </c>
      <c r="I76" t="s">
        <v>44</v>
      </c>
      <c r="J76">
        <v>22700000</v>
      </c>
      <c r="M76">
        <v>45664</v>
      </c>
      <c r="O76">
        <v>46840</v>
      </c>
      <c r="P76" t="s">
        <v>1625</v>
      </c>
      <c r="Q76">
        <v>-850923.82</v>
      </c>
      <c r="R76">
        <v>-827877.65</v>
      </c>
      <c r="S76" t="s">
        <v>44</v>
      </c>
      <c r="T76">
        <v>45735</v>
      </c>
      <c r="U76">
        <v>-23046.17</v>
      </c>
      <c r="V76" t="s">
        <v>1435</v>
      </c>
      <c r="Y76" t="s">
        <v>1129</v>
      </c>
    </row>
    <row r="77" spans="2:25" x14ac:dyDescent="0.2">
      <c r="B77" s="141" t="str">
        <f t="shared" si="95"/>
        <v>BDFWD100000114</v>
      </c>
      <c r="C77">
        <v>3053343501</v>
      </c>
      <c r="D77" t="s">
        <v>363</v>
      </c>
      <c r="E77" t="s">
        <v>312</v>
      </c>
      <c r="F77" t="s">
        <v>680</v>
      </c>
      <c r="G77" t="s">
        <v>626</v>
      </c>
      <c r="H77">
        <v>23000000</v>
      </c>
      <c r="I77" t="s">
        <v>44</v>
      </c>
      <c r="J77">
        <v>23000000</v>
      </c>
      <c r="M77">
        <v>45666</v>
      </c>
      <c r="O77">
        <v>46693</v>
      </c>
      <c r="P77" t="s">
        <v>1622</v>
      </c>
      <c r="Q77">
        <v>-465128.84</v>
      </c>
      <c r="R77">
        <v>-426474.51744800003</v>
      </c>
      <c r="S77" t="s">
        <v>44</v>
      </c>
      <c r="T77">
        <v>45735</v>
      </c>
      <c r="U77">
        <v>-38654.322551999998</v>
      </c>
      <c r="V77" t="s">
        <v>1445</v>
      </c>
      <c r="Y77" t="s">
        <v>421</v>
      </c>
    </row>
    <row r="78" spans="2:25" x14ac:dyDescent="0.2">
      <c r="B78" s="141" t="str">
        <f t="shared" si="95"/>
        <v>BDFWD100000115</v>
      </c>
      <c r="C78">
        <v>3053854633</v>
      </c>
      <c r="D78" t="s">
        <v>363</v>
      </c>
      <c r="E78" t="s">
        <v>683</v>
      </c>
      <c r="F78" t="s">
        <v>680</v>
      </c>
      <c r="G78" t="s">
        <v>626</v>
      </c>
      <c r="H78">
        <v>20000000</v>
      </c>
      <c r="I78" t="s">
        <v>44</v>
      </c>
      <c r="J78">
        <v>20000000</v>
      </c>
      <c r="M78">
        <v>45666</v>
      </c>
      <c r="O78">
        <v>47233</v>
      </c>
      <c r="P78" t="s">
        <v>1626</v>
      </c>
      <c r="Q78">
        <v>-448395.49</v>
      </c>
      <c r="R78">
        <v>-396756.58</v>
      </c>
      <c r="S78" t="s">
        <v>44</v>
      </c>
      <c r="T78">
        <v>45735</v>
      </c>
      <c r="U78">
        <v>-51638.91</v>
      </c>
      <c r="V78" t="s">
        <v>1446</v>
      </c>
      <c r="Y78" t="s">
        <v>685</v>
      </c>
    </row>
    <row r="79" spans="2:25" x14ac:dyDescent="0.2">
      <c r="B79" s="141" t="str">
        <f t="shared" si="95"/>
        <v>BDFWD100000113</v>
      </c>
      <c r="C79">
        <v>3053854634</v>
      </c>
      <c r="D79" t="s">
        <v>363</v>
      </c>
      <c r="E79" t="s">
        <v>683</v>
      </c>
      <c r="F79" t="s">
        <v>680</v>
      </c>
      <c r="G79" t="s">
        <v>626</v>
      </c>
      <c r="H79">
        <v>17000000</v>
      </c>
      <c r="I79" t="s">
        <v>44</v>
      </c>
      <c r="J79">
        <v>17000000</v>
      </c>
      <c r="M79">
        <v>45666</v>
      </c>
      <c r="O79">
        <v>46139</v>
      </c>
      <c r="P79" t="s">
        <v>1402</v>
      </c>
      <c r="Q79">
        <v>-317614.31</v>
      </c>
      <c r="R79">
        <v>-295484.58</v>
      </c>
      <c r="S79" t="s">
        <v>44</v>
      </c>
      <c r="T79">
        <v>45735</v>
      </c>
      <c r="U79">
        <v>-22129.73</v>
      </c>
      <c r="V79" t="s">
        <v>1444</v>
      </c>
      <c r="Y79" t="s">
        <v>685</v>
      </c>
    </row>
    <row r="80" spans="2:25" x14ac:dyDescent="0.2">
      <c r="B80" s="141" t="str">
        <f t="shared" si="95"/>
        <v>BDFWD100000120</v>
      </c>
      <c r="C80">
        <v>3070983609</v>
      </c>
      <c r="D80" t="s">
        <v>363</v>
      </c>
      <c r="E80" t="s">
        <v>637</v>
      </c>
      <c r="F80" t="s">
        <v>680</v>
      </c>
      <c r="G80" t="s">
        <v>626</v>
      </c>
      <c r="H80">
        <v>20500000</v>
      </c>
      <c r="I80" t="s">
        <v>44</v>
      </c>
      <c r="J80">
        <v>20500000</v>
      </c>
      <c r="M80">
        <v>45670</v>
      </c>
      <c r="O80">
        <v>47233</v>
      </c>
      <c r="P80" t="s">
        <v>1627</v>
      </c>
      <c r="Q80">
        <v>-340310.24</v>
      </c>
      <c r="R80">
        <v>-304573.79599999997</v>
      </c>
      <c r="S80" t="s">
        <v>44</v>
      </c>
      <c r="T80">
        <v>45735</v>
      </c>
      <c r="U80">
        <v>-35736.444000000003</v>
      </c>
      <c r="V80" t="s">
        <v>1455</v>
      </c>
      <c r="Y80" t="s">
        <v>638</v>
      </c>
    </row>
    <row r="81" spans="2:25" x14ac:dyDescent="0.2">
      <c r="B81" s="141" t="str">
        <f t="shared" si="95"/>
        <v>BDFWD100000132</v>
      </c>
      <c r="C81">
        <v>3101241448</v>
      </c>
      <c r="D81" t="s">
        <v>363</v>
      </c>
      <c r="E81" t="s">
        <v>642</v>
      </c>
      <c r="F81" t="s">
        <v>680</v>
      </c>
      <c r="G81" t="s">
        <v>626</v>
      </c>
      <c r="H81">
        <v>23500000</v>
      </c>
      <c r="I81" t="s">
        <v>44</v>
      </c>
      <c r="J81">
        <v>23500000</v>
      </c>
      <c r="M81">
        <v>45722</v>
      </c>
      <c r="O81">
        <v>46693</v>
      </c>
      <c r="P81" t="s">
        <v>1628</v>
      </c>
      <c r="Q81">
        <v>11464.58</v>
      </c>
      <c r="R81">
        <v>39751.294000000002</v>
      </c>
      <c r="S81" t="s">
        <v>44</v>
      </c>
      <c r="T81">
        <v>45735</v>
      </c>
      <c r="U81">
        <v>-28286.714</v>
      </c>
      <c r="V81" t="s">
        <v>1615</v>
      </c>
      <c r="Y81" t="s">
        <v>643</v>
      </c>
    </row>
    <row r="82" spans="2:25" x14ac:dyDescent="0.2">
      <c r="B82" s="141" t="str">
        <f t="shared" si="95"/>
        <v>BDFWD100000128</v>
      </c>
      <c r="C82">
        <v>3102077893</v>
      </c>
      <c r="D82" t="s">
        <v>363</v>
      </c>
      <c r="E82" t="s">
        <v>313</v>
      </c>
      <c r="F82" t="s">
        <v>680</v>
      </c>
      <c r="G82" t="s">
        <v>626</v>
      </c>
      <c r="H82">
        <v>20000000</v>
      </c>
      <c r="I82" t="s">
        <v>44</v>
      </c>
      <c r="J82">
        <v>20000000</v>
      </c>
      <c r="M82">
        <v>45721</v>
      </c>
      <c r="O82">
        <v>46693</v>
      </c>
      <c r="P82" t="s">
        <v>1629</v>
      </c>
      <c r="Q82">
        <v>-159488.29999999999</v>
      </c>
      <c r="R82">
        <v>-136104.32999999999</v>
      </c>
      <c r="S82" t="s">
        <v>44</v>
      </c>
      <c r="T82">
        <v>45735</v>
      </c>
      <c r="U82">
        <v>-23383.97</v>
      </c>
      <c r="V82" t="s">
        <v>1611</v>
      </c>
      <c r="Y82" t="s">
        <v>1390</v>
      </c>
    </row>
    <row r="83" spans="2:25" x14ac:dyDescent="0.2">
      <c r="B83" s="141" t="str">
        <f t="shared" si="95"/>
        <v>BDFWD100000133</v>
      </c>
      <c r="C83">
        <v>3102126562</v>
      </c>
      <c r="D83" t="s">
        <v>363</v>
      </c>
      <c r="E83" t="s">
        <v>683</v>
      </c>
      <c r="F83" t="s">
        <v>680</v>
      </c>
      <c r="G83" t="s">
        <v>626</v>
      </c>
      <c r="H83">
        <v>23000000</v>
      </c>
      <c r="I83" t="s">
        <v>44</v>
      </c>
      <c r="J83">
        <v>23000000</v>
      </c>
      <c r="M83">
        <v>45722</v>
      </c>
      <c r="O83">
        <v>46840</v>
      </c>
      <c r="P83" t="s">
        <v>1630</v>
      </c>
      <c r="Q83">
        <v>-53778.39</v>
      </c>
      <c r="R83">
        <v>-25519.94</v>
      </c>
      <c r="S83" t="s">
        <v>44</v>
      </c>
      <c r="T83">
        <v>45735</v>
      </c>
      <c r="U83">
        <v>-28258.45</v>
      </c>
      <c r="V83" t="s">
        <v>1616</v>
      </c>
      <c r="Y83" t="s">
        <v>685</v>
      </c>
    </row>
    <row r="84" spans="2:25" x14ac:dyDescent="0.2">
      <c r="B84" s="141" t="str">
        <f t="shared" si="95"/>
        <v>BDFWD100000127</v>
      </c>
      <c r="C84">
        <v>3102155732</v>
      </c>
      <c r="D84" t="s">
        <v>363</v>
      </c>
      <c r="E84" t="s">
        <v>683</v>
      </c>
      <c r="F84" t="s">
        <v>680</v>
      </c>
      <c r="G84" t="s">
        <v>626</v>
      </c>
      <c r="H84">
        <v>20000000</v>
      </c>
      <c r="I84" t="s">
        <v>44</v>
      </c>
      <c r="J84">
        <v>20000000</v>
      </c>
      <c r="M84">
        <v>45721</v>
      </c>
      <c r="O84">
        <v>46840</v>
      </c>
      <c r="P84" t="s">
        <v>1630</v>
      </c>
      <c r="Q84">
        <v>-169068.25</v>
      </c>
      <c r="R84">
        <v>-144192.87</v>
      </c>
      <c r="S84" t="s">
        <v>44</v>
      </c>
      <c r="T84">
        <v>45735</v>
      </c>
      <c r="U84">
        <v>-24875.38</v>
      </c>
      <c r="V84" t="s">
        <v>1614</v>
      </c>
      <c r="Y84" t="s">
        <v>685</v>
      </c>
    </row>
    <row r="85" spans="2:25" x14ac:dyDescent="0.2">
      <c r="B85" s="141" t="str">
        <f t="shared" si="95"/>
        <v>BDFWD100000126</v>
      </c>
      <c r="C85">
        <v>3102155733</v>
      </c>
      <c r="D85" t="s">
        <v>363</v>
      </c>
      <c r="E85" t="s">
        <v>683</v>
      </c>
      <c r="F85" t="s">
        <v>680</v>
      </c>
      <c r="G85" t="s">
        <v>626</v>
      </c>
      <c r="H85">
        <v>15000000</v>
      </c>
      <c r="I85" t="s">
        <v>44</v>
      </c>
      <c r="J85">
        <v>15000000</v>
      </c>
      <c r="M85">
        <v>45721</v>
      </c>
      <c r="O85">
        <v>46139</v>
      </c>
      <c r="P85" t="s">
        <v>1631</v>
      </c>
      <c r="Q85">
        <v>-90996.81</v>
      </c>
      <c r="R85">
        <v>-82277.070000000007</v>
      </c>
      <c r="S85" t="s">
        <v>44</v>
      </c>
      <c r="T85">
        <v>45735</v>
      </c>
      <c r="U85">
        <v>-8719.74</v>
      </c>
      <c r="V85" t="s">
        <v>1609</v>
      </c>
      <c r="Y85" t="s">
        <v>685</v>
      </c>
    </row>
    <row r="86" spans="2:25" x14ac:dyDescent="0.2">
      <c r="B86" s="141" t="str">
        <f t="shared" si="95"/>
        <v>BDFWD100000135</v>
      </c>
      <c r="C86">
        <v>3106012851</v>
      </c>
      <c r="D86" t="s">
        <v>363</v>
      </c>
      <c r="E86" t="s">
        <v>683</v>
      </c>
      <c r="F86" t="s">
        <v>680</v>
      </c>
      <c r="G86" t="s">
        <v>626</v>
      </c>
      <c r="H86">
        <v>20000000</v>
      </c>
      <c r="I86" t="s">
        <v>44</v>
      </c>
      <c r="J86">
        <v>20000000</v>
      </c>
      <c r="M86">
        <v>45727</v>
      </c>
      <c r="O86">
        <v>47233</v>
      </c>
      <c r="P86" t="s">
        <v>1632</v>
      </c>
      <c r="Q86">
        <v>16585.47</v>
      </c>
      <c r="R86">
        <v>49835.49</v>
      </c>
      <c r="S86" t="s">
        <v>44</v>
      </c>
      <c r="T86">
        <v>45735</v>
      </c>
      <c r="U86">
        <v>-33250.019999999997</v>
      </c>
      <c r="V86" t="s">
        <v>1621</v>
      </c>
      <c r="Y86" t="s">
        <v>685</v>
      </c>
    </row>
    <row r="87" spans="2:25" x14ac:dyDescent="0.2">
      <c r="B87" s="141" t="str">
        <f t="shared" si="95"/>
        <v>BDFWD100000140</v>
      </c>
      <c r="C87">
        <v>3108650228</v>
      </c>
      <c r="D87" t="s">
        <v>363</v>
      </c>
      <c r="E87" t="s">
        <v>637</v>
      </c>
      <c r="F87" t="s">
        <v>680</v>
      </c>
      <c r="G87" t="s">
        <v>626</v>
      </c>
      <c r="H87">
        <v>18500000</v>
      </c>
      <c r="I87" t="s">
        <v>44</v>
      </c>
      <c r="J87">
        <v>18500000</v>
      </c>
      <c r="M87">
        <v>45730</v>
      </c>
      <c r="O87">
        <v>47233</v>
      </c>
      <c r="P87" t="s">
        <v>1647</v>
      </c>
      <c r="Q87">
        <v>193700</v>
      </c>
      <c r="R87">
        <v>0</v>
      </c>
      <c r="S87" t="s">
        <v>44</v>
      </c>
      <c r="T87">
        <v>45735</v>
      </c>
      <c r="U87">
        <v>193700.53</v>
      </c>
      <c r="V87" t="s">
        <v>1610</v>
      </c>
      <c r="Y87" t="s">
        <v>638</v>
      </c>
    </row>
    <row r="88" spans="2:25" x14ac:dyDescent="0.2">
      <c r="B88" s="141" t="str">
        <f t="shared" si="95"/>
        <v>BDFWD100000139</v>
      </c>
      <c r="C88">
        <v>3109472442</v>
      </c>
      <c r="D88" t="s">
        <v>363</v>
      </c>
      <c r="E88" t="s">
        <v>683</v>
      </c>
      <c r="F88" t="s">
        <v>680</v>
      </c>
      <c r="G88" t="s">
        <v>626</v>
      </c>
      <c r="H88">
        <v>12000000</v>
      </c>
      <c r="I88" t="s">
        <v>44</v>
      </c>
      <c r="J88">
        <v>12000000</v>
      </c>
      <c r="M88">
        <v>46139</v>
      </c>
      <c r="O88">
        <v>46139</v>
      </c>
      <c r="P88" t="s">
        <v>1631</v>
      </c>
      <c r="Q88">
        <v>209623.79</v>
      </c>
      <c r="R88">
        <v>216327.31</v>
      </c>
      <c r="S88" t="s">
        <v>44</v>
      </c>
      <c r="T88">
        <v>45735</v>
      </c>
      <c r="U88">
        <v>-6703.2</v>
      </c>
      <c r="V88" t="s">
        <v>1608</v>
      </c>
      <c r="Y88" t="s">
        <v>685</v>
      </c>
    </row>
  </sheetData>
  <autoFilter ref="A1:L41" xr:uid="{529F7EE6-5D1A-44DE-A046-558C08914CB2}"/>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218DD-FC75-4280-BADF-53CFC735AC21}">
  <sheetPr codeName="Feuil8"/>
  <dimension ref="A1:AG88"/>
  <sheetViews>
    <sheetView workbookViewId="0">
      <selection sqref="A1:XFD1048576"/>
    </sheetView>
  </sheetViews>
  <sheetFormatPr baseColWidth="10" defaultRowHeight="12.75" x14ac:dyDescent="0.2"/>
  <cols>
    <col min="1" max="1" width="20.28515625" bestFit="1" customWidth="1"/>
    <col min="2" max="2" width="18.28515625" bestFit="1" customWidth="1"/>
    <col min="3" max="3" width="22.5703125" bestFit="1" customWidth="1"/>
    <col min="4" max="4" width="11.140625" bestFit="1" customWidth="1"/>
    <col min="5" max="5" width="33.42578125" bestFit="1" customWidth="1"/>
    <col min="6" max="6" width="19.5703125" bestFit="1" customWidth="1"/>
    <col min="7" max="7" width="13.140625" bestFit="1" customWidth="1"/>
    <col min="8" max="9" width="20.7109375" bestFit="1" customWidth="1"/>
    <col min="11" max="11" width="21.42578125" bestFit="1" customWidth="1"/>
    <col min="12" max="12" width="80.85546875" bestFit="1" customWidth="1"/>
    <col min="13" max="15" width="21" customWidth="1"/>
    <col min="24" max="25" width="12.140625" bestFit="1" customWidth="1"/>
  </cols>
  <sheetData>
    <row r="1" spans="1:12" x14ac:dyDescent="0.2">
      <c r="A1" s="72" t="s">
        <v>649</v>
      </c>
      <c r="B1" s="72" t="s">
        <v>654</v>
      </c>
      <c r="C1" s="72" t="s">
        <v>355</v>
      </c>
      <c r="D1" s="72" t="s">
        <v>2</v>
      </c>
      <c r="E1" s="72" t="s">
        <v>653</v>
      </c>
      <c r="F1" s="72" t="s">
        <v>650</v>
      </c>
      <c r="G1" s="72" t="s">
        <v>651</v>
      </c>
      <c r="H1" s="72" t="s">
        <v>652</v>
      </c>
      <c r="I1" s="72" t="s">
        <v>689</v>
      </c>
      <c r="J1" s="72" t="s">
        <v>690</v>
      </c>
      <c r="K1" s="72" t="s">
        <v>304</v>
      </c>
      <c r="L1" s="72" t="s">
        <v>691</v>
      </c>
    </row>
    <row r="2" spans="1:12" x14ac:dyDescent="0.2">
      <c r="A2" t="str">
        <f t="shared" ref="A2:A27" si="0">B48</f>
        <v>BDFWD100000015</v>
      </c>
      <c r="B2" s="22"/>
      <c r="C2" t="str">
        <f>Y48</f>
        <v>BNP Paribas</v>
      </c>
      <c r="D2" s="64">
        <f t="shared" ref="D2:D27" si="1">J48</f>
        <v>28700000</v>
      </c>
      <c r="E2" s="64">
        <f>Q48</f>
        <v>-10710026.33</v>
      </c>
      <c r="F2" s="64">
        <f>R48</f>
        <v>-10694068.619204</v>
      </c>
      <c r="G2" s="142">
        <f>E2/D2</f>
        <v>-0.37317164912891987</v>
      </c>
      <c r="H2" s="142">
        <f>F2/D2</f>
        <v>-0.37261563133114983</v>
      </c>
      <c r="I2" s="144">
        <v>5.0000000000000001E-3</v>
      </c>
      <c r="J2" s="144">
        <f>+G2-H2</f>
        <v>-5.5601779777003646E-4</v>
      </c>
      <c r="K2" t="str">
        <f t="shared" ref="K2:K42" si="2">IF(ABS(G2-H2)&gt;I2,"alerte","")</f>
        <v/>
      </c>
      <c r="L2" s="22"/>
    </row>
    <row r="3" spans="1:12" x14ac:dyDescent="0.2">
      <c r="A3" t="str">
        <f t="shared" si="0"/>
        <v>BDFWD100000028</v>
      </c>
      <c r="B3" s="22"/>
      <c r="C3" t="str">
        <f t="shared" ref="C3:C27" si="3">Y49</f>
        <v>BNP Paribas</v>
      </c>
      <c r="D3" s="64">
        <f t="shared" si="1"/>
        <v>27000000</v>
      </c>
      <c r="E3" s="64">
        <f t="shared" ref="E3:F18" si="4">Q49</f>
        <v>-7932340.2000000002</v>
      </c>
      <c r="F3" s="64">
        <f t="shared" si="4"/>
        <v>-7906455.8180910004</v>
      </c>
      <c r="G3" s="142">
        <f t="shared" ref="G3:G10" si="5">E3/D3</f>
        <v>-0.29379037777777778</v>
      </c>
      <c r="H3" s="142">
        <f t="shared" ref="H3:H42" si="6">F3/D3</f>
        <v>-0.29283169696633338</v>
      </c>
      <c r="I3" s="144">
        <v>5.0000000000000001E-3</v>
      </c>
      <c r="J3" s="144">
        <f t="shared" ref="J3:J42" si="7">+G3-H3</f>
        <v>-9.586808114444012E-4</v>
      </c>
      <c r="K3" t="str">
        <f t="shared" si="2"/>
        <v/>
      </c>
      <c r="L3" s="22"/>
    </row>
    <row r="4" spans="1:12" x14ac:dyDescent="0.2">
      <c r="A4" t="str">
        <f t="shared" si="0"/>
        <v>BDFWD100000005</v>
      </c>
      <c r="B4" s="22"/>
      <c r="C4" t="str">
        <f t="shared" si="3"/>
        <v>BofA Securities Europe SA</v>
      </c>
      <c r="D4" s="64">
        <f t="shared" si="1"/>
        <v>58000000</v>
      </c>
      <c r="E4" s="64">
        <f t="shared" si="4"/>
        <v>-23474189.760000002</v>
      </c>
      <c r="F4" s="64">
        <f t="shared" si="4"/>
        <v>-23446574.785</v>
      </c>
      <c r="G4" s="142">
        <f t="shared" si="5"/>
        <v>-0.40472740965517245</v>
      </c>
      <c r="H4" s="142">
        <f t="shared" si="6"/>
        <v>-0.40425128939655175</v>
      </c>
      <c r="I4" s="144">
        <v>5.0000000000000001E-3</v>
      </c>
      <c r="J4" s="144">
        <f t="shared" si="7"/>
        <v>-4.7612025862070473E-4</v>
      </c>
      <c r="K4" t="str">
        <f t="shared" si="2"/>
        <v/>
      </c>
      <c r="L4" s="22"/>
    </row>
    <row r="5" spans="1:12" x14ac:dyDescent="0.2">
      <c r="A5" t="str">
        <f>B51</f>
        <v>BDFWD100000020</v>
      </c>
      <c r="B5" s="22"/>
      <c r="C5" t="str">
        <f t="shared" si="3"/>
        <v>Citibank Europe Public Limited Company</v>
      </c>
      <c r="D5" s="64">
        <f t="shared" si="1"/>
        <v>26000000</v>
      </c>
      <c r="E5" s="64">
        <f t="shared" si="4"/>
        <v>-9472087.8599999994</v>
      </c>
      <c r="F5" s="64">
        <f t="shared" si="4"/>
        <v>-9449179.7100000009</v>
      </c>
      <c r="G5" s="142">
        <f t="shared" si="5"/>
        <v>-0.36431107153846154</v>
      </c>
      <c r="H5" s="142">
        <f t="shared" si="6"/>
        <v>-0.36342998884615391</v>
      </c>
      <c r="I5" s="144">
        <v>5.0000000000000001E-3</v>
      </c>
      <c r="J5" s="144">
        <f t="shared" si="7"/>
        <v>-8.8108269230763314E-4</v>
      </c>
      <c r="K5" t="str">
        <f t="shared" si="2"/>
        <v/>
      </c>
      <c r="L5" s="22"/>
    </row>
    <row r="6" spans="1:12" x14ac:dyDescent="0.2">
      <c r="A6" t="str">
        <f t="shared" si="0"/>
        <v>BDFWD100000022</v>
      </c>
      <c r="B6" s="22"/>
      <c r="C6" t="str">
        <f t="shared" si="3"/>
        <v>Citibank Europe Public Limited Company</v>
      </c>
      <c r="D6" s="64">
        <f t="shared" si="1"/>
        <v>30600000</v>
      </c>
      <c r="E6" s="64">
        <f t="shared" si="4"/>
        <v>-9729946.1899999995</v>
      </c>
      <c r="F6" s="64">
        <f t="shared" si="4"/>
        <v>-9721615.75</v>
      </c>
      <c r="G6" s="142">
        <f t="shared" si="5"/>
        <v>-0.3179720977124183</v>
      </c>
      <c r="H6" s="142">
        <f t="shared" si="6"/>
        <v>-0.31769986111111109</v>
      </c>
      <c r="I6" s="144">
        <v>5.0000000000000001E-3</v>
      </c>
      <c r="J6" s="144">
        <f t="shared" si="7"/>
        <v>-2.722366013072075E-4</v>
      </c>
      <c r="K6" t="str">
        <f t="shared" si="2"/>
        <v/>
      </c>
      <c r="L6" s="22"/>
    </row>
    <row r="7" spans="1:12" x14ac:dyDescent="0.2">
      <c r="A7" t="str">
        <f t="shared" si="0"/>
        <v>BDFWD100000018</v>
      </c>
      <c r="B7" s="22"/>
      <c r="C7" t="str">
        <f t="shared" si="3"/>
        <v>Goldman Sachs International - Paris Branch</v>
      </c>
      <c r="D7" s="64">
        <f t="shared" si="1"/>
        <v>30000000</v>
      </c>
      <c r="E7" s="64">
        <f t="shared" si="4"/>
        <v>-10580743.560000001</v>
      </c>
      <c r="F7" s="64">
        <f t="shared" si="4"/>
        <v>-10529048.309303001</v>
      </c>
      <c r="G7" s="142">
        <f t="shared" si="5"/>
        <v>-0.35269145200000002</v>
      </c>
      <c r="H7" s="142">
        <f t="shared" si="6"/>
        <v>-0.35096827697676669</v>
      </c>
      <c r="I7" s="144">
        <v>5.0000000000000001E-3</v>
      </c>
      <c r="J7" s="144">
        <f t="shared" si="7"/>
        <v>-1.7231750232333254E-3</v>
      </c>
      <c r="K7" t="str">
        <f t="shared" si="2"/>
        <v/>
      </c>
      <c r="L7" s="22"/>
    </row>
    <row r="8" spans="1:12" x14ac:dyDescent="0.2">
      <c r="A8" t="str">
        <f t="shared" si="0"/>
        <v>BDFWD100000024</v>
      </c>
      <c r="C8" t="str">
        <f t="shared" si="3"/>
        <v>Goldman Sachs International - Paris Branch</v>
      </c>
      <c r="D8" s="64">
        <f t="shared" si="1"/>
        <v>25000000</v>
      </c>
      <c r="E8" s="64">
        <f t="shared" si="4"/>
        <v>-8278982.9900000002</v>
      </c>
      <c r="F8" s="64">
        <f t="shared" si="4"/>
        <v>-8235904.287583</v>
      </c>
      <c r="G8" s="142">
        <f t="shared" si="5"/>
        <v>-0.3311593196</v>
      </c>
      <c r="H8" s="142">
        <f t="shared" si="6"/>
        <v>-0.32943617150332</v>
      </c>
      <c r="I8" s="144">
        <v>5.0000000000000001E-3</v>
      </c>
      <c r="J8" s="144">
        <f t="shared" si="7"/>
        <v>-1.723148096680005E-3</v>
      </c>
      <c r="K8" t="str">
        <f t="shared" si="2"/>
        <v/>
      </c>
      <c r="L8" s="22"/>
    </row>
    <row r="9" spans="1:12" x14ac:dyDescent="0.2">
      <c r="A9" t="str">
        <f t="shared" si="0"/>
        <v>BDFWD100000030</v>
      </c>
      <c r="C9" t="str">
        <f t="shared" si="3"/>
        <v>Goldman Sachs International - Paris Branch</v>
      </c>
      <c r="D9" s="64">
        <f t="shared" si="1"/>
        <v>29000000</v>
      </c>
      <c r="E9" s="64">
        <f t="shared" si="4"/>
        <v>-6818017.4400000004</v>
      </c>
      <c r="F9" s="64">
        <f t="shared" si="4"/>
        <v>-6777295.2884170003</v>
      </c>
      <c r="G9" s="142">
        <f t="shared" si="5"/>
        <v>-0.23510404965517243</v>
      </c>
      <c r="H9" s="142">
        <f t="shared" si="6"/>
        <v>-0.23369983753162071</v>
      </c>
      <c r="I9" s="144">
        <v>5.0000000000000001E-3</v>
      </c>
      <c r="J9" s="144">
        <f t="shared" si="7"/>
        <v>-1.4042121235517124E-3</v>
      </c>
      <c r="K9" t="str">
        <f t="shared" si="2"/>
        <v/>
      </c>
      <c r="L9" s="22"/>
    </row>
    <row r="10" spans="1:12" x14ac:dyDescent="0.2">
      <c r="A10" t="str">
        <f t="shared" si="0"/>
        <v>BDFWD100000032</v>
      </c>
      <c r="C10" t="str">
        <f t="shared" si="3"/>
        <v>Société Générale SA</v>
      </c>
      <c r="D10" s="64">
        <f t="shared" si="1"/>
        <v>27000000</v>
      </c>
      <c r="E10" s="64">
        <f t="shared" si="4"/>
        <v>-6248529.5</v>
      </c>
      <c r="F10" s="64">
        <f t="shared" si="4"/>
        <v>-6280097.8399999999</v>
      </c>
      <c r="G10" s="142">
        <f t="shared" si="5"/>
        <v>-0.23142701851851852</v>
      </c>
      <c r="H10" s="142">
        <f t="shared" si="6"/>
        <v>-0.23259621629629629</v>
      </c>
      <c r="I10" s="144">
        <v>5.0000000000000001E-3</v>
      </c>
      <c r="J10" s="144">
        <f t="shared" si="7"/>
        <v>1.1691977777777696E-3</v>
      </c>
      <c r="K10" t="str">
        <f t="shared" si="2"/>
        <v/>
      </c>
      <c r="L10" s="22"/>
    </row>
    <row r="11" spans="1:12" x14ac:dyDescent="0.2">
      <c r="A11" t="str">
        <f t="shared" si="0"/>
        <v>BDFWD100000069</v>
      </c>
      <c r="C11" t="str">
        <f t="shared" si="3"/>
        <v>JPMorgan SE</v>
      </c>
      <c r="D11" s="64">
        <f t="shared" si="1"/>
        <v>11000000</v>
      </c>
      <c r="E11" s="64">
        <f t="shared" si="4"/>
        <v>-600560.98</v>
      </c>
      <c r="F11" s="64">
        <f t="shared" si="4"/>
        <v>-641551.68299999996</v>
      </c>
      <c r="G11" s="142">
        <f>E11/D11</f>
        <v>-5.4596452727272725E-2</v>
      </c>
      <c r="H11" s="142">
        <f t="shared" si="6"/>
        <v>-5.8322880272727272E-2</v>
      </c>
      <c r="I11" s="144">
        <v>5.0000000000000001E-3</v>
      </c>
      <c r="J11" s="144">
        <f t="shared" si="7"/>
        <v>3.726427545454547E-3</v>
      </c>
      <c r="K11" t="str">
        <f t="shared" si="2"/>
        <v/>
      </c>
      <c r="L11" s="22"/>
    </row>
    <row r="12" spans="1:12" x14ac:dyDescent="0.2">
      <c r="A12" t="str">
        <f t="shared" si="0"/>
        <v>BDFWD100000068</v>
      </c>
      <c r="C12" t="str">
        <f t="shared" si="3"/>
        <v>JPMorgan SE</v>
      </c>
      <c r="D12" s="64">
        <f t="shared" si="1"/>
        <v>11000000</v>
      </c>
      <c r="E12" s="64">
        <f t="shared" si="4"/>
        <v>-703039.29</v>
      </c>
      <c r="F12" s="64">
        <f>R58</f>
        <v>-750995.46699999995</v>
      </c>
      <c r="G12" s="142">
        <f t="shared" ref="G12:G42" si="8">E12/D12</f>
        <v>-6.3912662727272737E-2</v>
      </c>
      <c r="H12" s="142">
        <f t="shared" si="6"/>
        <v>-6.8272315181818172E-2</v>
      </c>
      <c r="I12" s="144">
        <v>5.0000000000000001E-3</v>
      </c>
      <c r="J12" s="144">
        <f t="shared" si="7"/>
        <v>4.3596524545454346E-3</v>
      </c>
      <c r="K12" t="str">
        <f>IF(ABS(G12-H12)&gt;I12,"alerte","")</f>
        <v/>
      </c>
      <c r="L12" s="22"/>
    </row>
    <row r="13" spans="1:12" x14ac:dyDescent="0.2">
      <c r="A13" t="str">
        <f t="shared" si="0"/>
        <v>BDFWD100000067</v>
      </c>
      <c r="C13" t="str">
        <f t="shared" si="3"/>
        <v>JPMorgan SE</v>
      </c>
      <c r="D13" s="64">
        <f t="shared" si="1"/>
        <v>8500000</v>
      </c>
      <c r="E13" s="64">
        <f t="shared" si="4"/>
        <v>-561746.28</v>
      </c>
      <c r="F13" s="64">
        <f t="shared" si="4"/>
        <v>-591018.72199999995</v>
      </c>
      <c r="G13" s="142">
        <f t="shared" si="8"/>
        <v>-6.6087797647058827E-2</v>
      </c>
      <c r="H13" s="142">
        <f t="shared" si="6"/>
        <v>-6.9531614352941168E-2</v>
      </c>
      <c r="I13" s="144">
        <v>5.0000000000000001E-3</v>
      </c>
      <c r="J13" s="144">
        <f t="shared" si="7"/>
        <v>3.443816705882341E-3</v>
      </c>
      <c r="K13" t="str">
        <f t="shared" si="2"/>
        <v/>
      </c>
      <c r="L13" s="22"/>
    </row>
    <row r="14" spans="1:12" x14ac:dyDescent="0.2">
      <c r="A14" t="str">
        <f t="shared" si="0"/>
        <v>BDFWD100000073</v>
      </c>
      <c r="C14" t="str">
        <f t="shared" si="3"/>
        <v>Citibank Europe Public Limited Company</v>
      </c>
      <c r="D14" s="64">
        <f t="shared" si="1"/>
        <v>22000000</v>
      </c>
      <c r="E14" s="64">
        <f t="shared" si="4"/>
        <v>-1096042.72</v>
      </c>
      <c r="F14" s="64">
        <f t="shared" si="4"/>
        <v>-1079764.52</v>
      </c>
      <c r="G14" s="142">
        <f t="shared" si="8"/>
        <v>-4.9820123636363636E-2</v>
      </c>
      <c r="H14" s="142">
        <f t="shared" si="6"/>
        <v>-4.9080205454545459E-2</v>
      </c>
      <c r="I14" s="144">
        <v>5.0000000000000001E-3</v>
      </c>
      <c r="J14" s="144">
        <f t="shared" si="7"/>
        <v>-7.399181818181777E-4</v>
      </c>
      <c r="K14" t="str">
        <f t="shared" si="2"/>
        <v/>
      </c>
      <c r="L14" s="22"/>
    </row>
    <row r="15" spans="1:12" x14ac:dyDescent="0.2">
      <c r="A15" t="str">
        <f t="shared" si="0"/>
        <v>BDFWD100000077</v>
      </c>
      <c r="C15" t="str">
        <f t="shared" si="3"/>
        <v>BNP Paribas</v>
      </c>
      <c r="D15" s="64">
        <f t="shared" si="1"/>
        <v>16500000</v>
      </c>
      <c r="E15" s="64">
        <f t="shared" si="4"/>
        <v>-643669.16</v>
      </c>
      <c r="F15" s="64">
        <f t="shared" si="4"/>
        <v>-638802.92764999997</v>
      </c>
      <c r="G15" s="142">
        <f t="shared" si="8"/>
        <v>-3.9010252121212126E-2</v>
      </c>
      <c r="H15" s="142">
        <f t="shared" si="6"/>
        <v>-3.8715328948484846E-2</v>
      </c>
      <c r="I15" s="144">
        <v>5.0000000000000001E-3</v>
      </c>
      <c r="J15" s="144">
        <f t="shared" si="7"/>
        <v>-2.9492317272727941E-4</v>
      </c>
      <c r="K15" t="str">
        <f t="shared" si="2"/>
        <v/>
      </c>
      <c r="L15" s="22"/>
    </row>
    <row r="16" spans="1:12" x14ac:dyDescent="0.2">
      <c r="A16" t="str">
        <f t="shared" si="0"/>
        <v>BDFWD100000081</v>
      </c>
      <c r="C16" t="str">
        <f t="shared" si="3"/>
        <v>JPMorgan SE</v>
      </c>
      <c r="D16" s="64">
        <f t="shared" si="1"/>
        <v>11000000</v>
      </c>
      <c r="E16" s="64">
        <f t="shared" si="4"/>
        <v>-816916.99</v>
      </c>
      <c r="F16" s="64">
        <f t="shared" si="4"/>
        <v>-861826.66099999996</v>
      </c>
      <c r="G16" s="142">
        <f t="shared" si="8"/>
        <v>-7.4265180909090914E-2</v>
      </c>
      <c r="H16" s="142">
        <f t="shared" si="6"/>
        <v>-7.8347878272727267E-2</v>
      </c>
      <c r="I16" s="144">
        <v>5.0000000000000001E-3</v>
      </c>
      <c r="J16" s="144">
        <f t="shared" si="7"/>
        <v>4.0826973636363534E-3</v>
      </c>
      <c r="K16" t="str">
        <f t="shared" si="2"/>
        <v/>
      </c>
      <c r="L16" s="22"/>
    </row>
    <row r="17" spans="1:12" x14ac:dyDescent="0.2">
      <c r="A17" t="str">
        <f t="shared" si="0"/>
        <v>BDFWD100000080</v>
      </c>
      <c r="C17" t="str">
        <f t="shared" si="3"/>
        <v>JPMorgan SE</v>
      </c>
      <c r="D17" s="64">
        <f t="shared" si="1"/>
        <v>16000000</v>
      </c>
      <c r="E17" s="64">
        <f t="shared" si="4"/>
        <v>-1185396.33</v>
      </c>
      <c r="F17" s="64">
        <f t="shared" si="4"/>
        <v>-1268385.2649999999</v>
      </c>
      <c r="G17" s="142">
        <f t="shared" si="8"/>
        <v>-7.4087270625000007E-2</v>
      </c>
      <c r="H17" s="142">
        <f t="shared" si="6"/>
        <v>-7.9274079062499989E-2</v>
      </c>
      <c r="I17" s="144">
        <v>5.0000000000000001E-3</v>
      </c>
      <c r="J17" s="144">
        <f t="shared" si="7"/>
        <v>5.1868084374999818E-3</v>
      </c>
      <c r="K17" t="str">
        <f t="shared" si="2"/>
        <v>alerte</v>
      </c>
      <c r="L17" s="22" t="s">
        <v>1633</v>
      </c>
    </row>
    <row r="18" spans="1:12" x14ac:dyDescent="0.2">
      <c r="A18" t="str">
        <f t="shared" si="0"/>
        <v>BDFWD100000083</v>
      </c>
      <c r="C18" t="str">
        <f t="shared" si="3"/>
        <v>Natixis SA</v>
      </c>
      <c r="D18" s="64">
        <f t="shared" si="1"/>
        <v>38000000</v>
      </c>
      <c r="E18" s="64">
        <f t="shared" si="4"/>
        <v>-2664836.59</v>
      </c>
      <c r="F18" s="64">
        <f t="shared" si="4"/>
        <v>-2764554.17</v>
      </c>
      <c r="G18" s="142">
        <f t="shared" si="8"/>
        <v>-7.0127278684210523E-2</v>
      </c>
      <c r="H18" s="142">
        <f t="shared" si="6"/>
        <v>-7.2751425526315791E-2</v>
      </c>
      <c r="I18" s="144">
        <v>5.0000000000000001E-3</v>
      </c>
      <c r="J18" s="144">
        <f t="shared" si="7"/>
        <v>2.6241468421052683E-3</v>
      </c>
      <c r="K18" t="str">
        <f t="shared" si="2"/>
        <v/>
      </c>
      <c r="L18" s="22"/>
    </row>
    <row r="19" spans="1:12" x14ac:dyDescent="0.2">
      <c r="A19" t="str">
        <f t="shared" si="0"/>
        <v>BDFWD100000087</v>
      </c>
      <c r="C19" t="str">
        <f t="shared" si="3"/>
        <v>Citibank Europe Public Limited Company</v>
      </c>
      <c r="D19" s="64">
        <f t="shared" si="1"/>
        <v>24000000</v>
      </c>
      <c r="E19" s="64">
        <f t="shared" ref="E19:F27" si="9">Q65</f>
        <v>-1578015.45</v>
      </c>
      <c r="F19" s="64">
        <f t="shared" si="9"/>
        <v>-1527394.92</v>
      </c>
      <c r="G19" s="142">
        <f t="shared" si="8"/>
        <v>-6.5750643750000004E-2</v>
      </c>
      <c r="H19" s="142">
        <f t="shared" si="6"/>
        <v>-6.3641455E-2</v>
      </c>
      <c r="I19" s="144">
        <v>5.0000000000000001E-3</v>
      </c>
      <c r="J19" s="144">
        <f t="shared" si="7"/>
        <v>-2.1091887500000045E-3</v>
      </c>
      <c r="K19" t="str">
        <f t="shared" si="2"/>
        <v/>
      </c>
      <c r="L19" s="22"/>
    </row>
    <row r="20" spans="1:12" x14ac:dyDescent="0.2">
      <c r="A20" t="str">
        <f t="shared" si="0"/>
        <v>BDFWD100000086</v>
      </c>
      <c r="C20" t="str">
        <f t="shared" si="3"/>
        <v>Citibank Europe Public Limited Company</v>
      </c>
      <c r="D20" s="64">
        <f t="shared" si="1"/>
        <v>16500000</v>
      </c>
      <c r="E20" s="64">
        <f t="shared" si="9"/>
        <v>-1078891.73</v>
      </c>
      <c r="F20" s="64">
        <f t="shared" si="9"/>
        <v>-1058299.31</v>
      </c>
      <c r="G20" s="142">
        <f t="shared" si="8"/>
        <v>-6.5387377575757577E-2</v>
      </c>
      <c r="H20" s="142">
        <f t="shared" si="6"/>
        <v>-6.413935212121212E-2</v>
      </c>
      <c r="I20" s="144">
        <v>5.0000000000000001E-3</v>
      </c>
      <c r="J20" s="144">
        <f t="shared" si="7"/>
        <v>-1.2480254545454567E-3</v>
      </c>
      <c r="K20" t="str">
        <f t="shared" si="2"/>
        <v/>
      </c>
      <c r="L20" s="22"/>
    </row>
    <row r="21" spans="1:12" x14ac:dyDescent="0.2">
      <c r="A21" t="str">
        <f t="shared" si="0"/>
        <v>BDFWD100000090</v>
      </c>
      <c r="C21" t="str">
        <f t="shared" si="3"/>
        <v>Société Générale SA</v>
      </c>
      <c r="D21" s="64">
        <f t="shared" si="1"/>
        <v>16500000</v>
      </c>
      <c r="E21" s="64">
        <f t="shared" si="9"/>
        <v>-1109508.74</v>
      </c>
      <c r="F21" s="64">
        <f t="shared" si="9"/>
        <v>-1111801.22</v>
      </c>
      <c r="G21" s="142">
        <f t="shared" si="8"/>
        <v>-6.7242953939393946E-2</v>
      </c>
      <c r="H21" s="142">
        <f t="shared" si="6"/>
        <v>-6.7381892121212122E-2</v>
      </c>
      <c r="I21" s="144">
        <v>5.0000000000000001E-3</v>
      </c>
      <c r="J21" s="144">
        <f t="shared" si="7"/>
        <v>1.3893818181817674E-4</v>
      </c>
      <c r="K21" t="str">
        <f t="shared" si="2"/>
        <v/>
      </c>
      <c r="L21" s="22"/>
    </row>
    <row r="22" spans="1:12" x14ac:dyDescent="0.2">
      <c r="A22" t="str">
        <f t="shared" si="0"/>
        <v>BDFWD100000094</v>
      </c>
      <c r="C22" t="str">
        <f t="shared" si="3"/>
        <v>Natixis SA</v>
      </c>
      <c r="D22" s="64">
        <f t="shared" si="1"/>
        <v>16000000</v>
      </c>
      <c r="E22" s="64">
        <f t="shared" si="9"/>
        <v>-975400.51</v>
      </c>
      <c r="F22" s="64">
        <f t="shared" si="9"/>
        <v>-1017458.15</v>
      </c>
      <c r="G22" s="142">
        <f t="shared" si="8"/>
        <v>-6.0962531875000003E-2</v>
      </c>
      <c r="H22" s="142">
        <f t="shared" si="6"/>
        <v>-6.3591134374999997E-2</v>
      </c>
      <c r="I22" s="144">
        <v>5.0000000000000001E-3</v>
      </c>
      <c r="J22" s="144">
        <f t="shared" si="7"/>
        <v>2.6286024999999935E-3</v>
      </c>
      <c r="K22" t="str">
        <f t="shared" si="2"/>
        <v/>
      </c>
      <c r="L22" s="22"/>
    </row>
    <row r="23" spans="1:12" x14ac:dyDescent="0.2">
      <c r="A23" t="str">
        <f t="shared" si="0"/>
        <v>BDFWD100000092</v>
      </c>
      <c r="C23" t="str">
        <f t="shared" si="3"/>
        <v>Natixis SA</v>
      </c>
      <c r="D23" s="64">
        <f t="shared" si="1"/>
        <v>21000000</v>
      </c>
      <c r="E23" s="64">
        <f t="shared" si="9"/>
        <v>-1250132.71</v>
      </c>
      <c r="F23" s="64">
        <f t="shared" si="9"/>
        <v>-1350135.18</v>
      </c>
      <c r="G23" s="142">
        <f t="shared" si="8"/>
        <v>-5.9530129047619049E-2</v>
      </c>
      <c r="H23" s="142">
        <f t="shared" si="6"/>
        <v>-6.429215142857142E-2</v>
      </c>
      <c r="I23" s="144">
        <v>5.0000000000000001E-3</v>
      </c>
      <c r="J23" s="144">
        <f t="shared" si="7"/>
        <v>4.7620223809523715E-3</v>
      </c>
      <c r="K23" t="str">
        <f t="shared" si="2"/>
        <v/>
      </c>
      <c r="L23" s="22"/>
    </row>
    <row r="24" spans="1:12" x14ac:dyDescent="0.2">
      <c r="A24" t="str">
        <f t="shared" si="0"/>
        <v>BDFWD100000099</v>
      </c>
      <c r="C24" t="str">
        <f t="shared" si="3"/>
        <v>Société Générale SA</v>
      </c>
      <c r="D24" s="64">
        <f t="shared" si="1"/>
        <v>20000000</v>
      </c>
      <c r="E24" s="64">
        <f t="shared" si="9"/>
        <v>-833291.44</v>
      </c>
      <c r="F24" s="64">
        <f t="shared" si="9"/>
        <v>-872463.55</v>
      </c>
      <c r="G24" s="142">
        <f t="shared" si="8"/>
        <v>-4.1664571999999997E-2</v>
      </c>
      <c r="H24" s="142">
        <f t="shared" si="6"/>
        <v>-4.3623177500000006E-2</v>
      </c>
      <c r="I24" s="144">
        <v>5.0000000000000001E-3</v>
      </c>
      <c r="J24" s="144">
        <f t="shared" si="7"/>
        <v>1.9586055000000088E-3</v>
      </c>
      <c r="K24" t="str">
        <f t="shared" si="2"/>
        <v/>
      </c>
      <c r="L24" s="22"/>
    </row>
    <row r="25" spans="1:12" x14ac:dyDescent="0.2">
      <c r="A25" t="str">
        <f t="shared" si="0"/>
        <v>BDFWD100000101</v>
      </c>
      <c r="C25" t="str">
        <f t="shared" si="3"/>
        <v>Natixis SA</v>
      </c>
      <c r="D25" s="64">
        <f t="shared" si="1"/>
        <v>12000000</v>
      </c>
      <c r="E25" s="64">
        <f t="shared" si="9"/>
        <v>-487944.21</v>
      </c>
      <c r="F25" s="64">
        <f t="shared" si="9"/>
        <v>-519498.5</v>
      </c>
      <c r="G25" s="142">
        <f t="shared" si="8"/>
        <v>-4.0662017500000001E-2</v>
      </c>
      <c r="H25" s="142">
        <f t="shared" si="6"/>
        <v>-4.3291541666666669E-2</v>
      </c>
      <c r="I25" s="144">
        <v>5.0000000000000001E-3</v>
      </c>
      <c r="J25" s="144">
        <f t="shared" si="7"/>
        <v>2.6295241666666677E-3</v>
      </c>
      <c r="K25" t="str">
        <f t="shared" si="2"/>
        <v/>
      </c>
      <c r="L25" s="22"/>
    </row>
    <row r="26" spans="1:12" x14ac:dyDescent="0.2">
      <c r="A26" t="str">
        <f t="shared" si="0"/>
        <v>BDFWD100000100</v>
      </c>
      <c r="C26" t="str">
        <f t="shared" si="3"/>
        <v>Natixis SA</v>
      </c>
      <c r="D26" s="64">
        <f t="shared" si="1"/>
        <v>22000000</v>
      </c>
      <c r="E26" s="64">
        <f t="shared" si="9"/>
        <v>-906693.37</v>
      </c>
      <c r="F26" s="64">
        <f t="shared" si="9"/>
        <v>-980762.67</v>
      </c>
      <c r="G26" s="142">
        <f t="shared" si="8"/>
        <v>-4.1213334999999997E-2</v>
      </c>
      <c r="H26" s="142">
        <f t="shared" si="6"/>
        <v>-4.4580121363636364E-2</v>
      </c>
      <c r="I26" s="144">
        <v>5.0000000000000001E-3</v>
      </c>
      <c r="J26" s="144">
        <f t="shared" si="7"/>
        <v>3.3667863636363676E-3</v>
      </c>
      <c r="K26" t="str">
        <f t="shared" si="2"/>
        <v/>
      </c>
      <c r="L26" s="22"/>
    </row>
    <row r="27" spans="1:12" x14ac:dyDescent="0.2">
      <c r="A27" t="str">
        <f t="shared" si="0"/>
        <v>BDFWD100000103</v>
      </c>
      <c r="C27" t="str">
        <f t="shared" si="3"/>
        <v>Citibank Europe Public Limited Company</v>
      </c>
      <c r="D27" s="64">
        <f t="shared" si="1"/>
        <v>11000000</v>
      </c>
      <c r="E27" s="64">
        <f t="shared" si="9"/>
        <v>-461392.22</v>
      </c>
      <c r="F27" s="64">
        <f t="shared" si="9"/>
        <v>-445689.46</v>
      </c>
      <c r="G27" s="142">
        <f t="shared" si="8"/>
        <v>-4.1944747272727269E-2</v>
      </c>
      <c r="H27" s="142">
        <f t="shared" si="6"/>
        <v>-4.051722363636364E-2</v>
      </c>
      <c r="I27" s="144">
        <v>5.0000000000000001E-3</v>
      </c>
      <c r="J27" s="144">
        <f t="shared" si="7"/>
        <v>-1.4275236363636284E-3</v>
      </c>
      <c r="K27" t="str">
        <f t="shared" si="2"/>
        <v/>
      </c>
      <c r="L27" s="22"/>
    </row>
    <row r="28" spans="1:12" x14ac:dyDescent="0.2">
      <c r="A28" t="str">
        <f>B74</f>
        <v>BDFWD100000109</v>
      </c>
      <c r="C28" t="str">
        <f>Y74</f>
        <v>BNP Paribas</v>
      </c>
      <c r="D28" s="64">
        <f>J74</f>
        <v>23000000</v>
      </c>
      <c r="E28" s="64">
        <f>Q74</f>
        <v>-884186.09</v>
      </c>
      <c r="F28" s="64">
        <f>R74</f>
        <v>-844640.23470000003</v>
      </c>
      <c r="G28" s="142">
        <f t="shared" si="8"/>
        <v>-3.8442873478260871E-2</v>
      </c>
      <c r="H28" s="142">
        <f t="shared" si="6"/>
        <v>-3.6723488465217391E-2</v>
      </c>
      <c r="I28" s="144">
        <v>5.0000000000000001E-3</v>
      </c>
      <c r="J28" s="144">
        <f t="shared" si="7"/>
        <v>-1.7193850130434798E-3</v>
      </c>
      <c r="K28" t="str">
        <f t="shared" si="2"/>
        <v/>
      </c>
      <c r="L28" s="22"/>
    </row>
    <row r="29" spans="1:12" x14ac:dyDescent="0.2">
      <c r="A29" t="str">
        <f>B75</f>
        <v>BDFWD100000108</v>
      </c>
      <c r="C29" t="str">
        <f>Y75</f>
        <v>HSBC CONTINENTAL EUROPE</v>
      </c>
      <c r="D29" s="64">
        <f>J75</f>
        <v>11000000</v>
      </c>
      <c r="E29" s="64">
        <f>Q75</f>
        <v>-429423.03</v>
      </c>
      <c r="F29" s="64">
        <f>R75</f>
        <v>-404900.34</v>
      </c>
      <c r="G29" s="142">
        <f t="shared" si="8"/>
        <v>-3.9038457272727277E-2</v>
      </c>
      <c r="H29" s="142">
        <f t="shared" si="6"/>
        <v>-3.6809121818181821E-2</v>
      </c>
      <c r="I29" s="144">
        <v>5.0000000000000001E-3</v>
      </c>
      <c r="J29" s="144">
        <f t="shared" si="7"/>
        <v>-2.2293354545454558E-3</v>
      </c>
      <c r="K29" t="str">
        <f t="shared" si="2"/>
        <v/>
      </c>
      <c r="L29" s="22"/>
    </row>
    <row r="30" spans="1:12" x14ac:dyDescent="0.2">
      <c r="A30" t="str">
        <f t="shared" ref="A30:A42" si="10">B76</f>
        <v>BDFWD100000107</v>
      </c>
      <c r="C30" t="str">
        <f t="shared" ref="C30:C42" si="11">Y76</f>
        <v>HSBC CONTINENTAL EUROPE</v>
      </c>
      <c r="D30" s="64">
        <f t="shared" ref="D30:D42" si="12">J76</f>
        <v>22700000</v>
      </c>
      <c r="E30" s="64">
        <f t="shared" ref="E30:F42" si="13">Q76</f>
        <v>-850923.82</v>
      </c>
      <c r="F30" s="64">
        <f t="shared" si="13"/>
        <v>-827877.65</v>
      </c>
      <c r="G30" s="142">
        <f t="shared" si="8"/>
        <v>-3.7485630837004402E-2</v>
      </c>
      <c r="H30" s="142">
        <f t="shared" si="6"/>
        <v>-3.6470381057268721E-2</v>
      </c>
      <c r="I30" s="144">
        <v>5.0000000000000001E-3</v>
      </c>
      <c r="J30" s="144">
        <f t="shared" si="7"/>
        <v>-1.0152497797356816E-3</v>
      </c>
      <c r="K30" t="str">
        <f t="shared" si="2"/>
        <v/>
      </c>
      <c r="L30" s="22"/>
    </row>
    <row r="31" spans="1:12" x14ac:dyDescent="0.2">
      <c r="A31" t="str">
        <f t="shared" si="10"/>
        <v>BDFWD100000114</v>
      </c>
      <c r="C31" t="str">
        <f t="shared" si="11"/>
        <v>BNP Paribas</v>
      </c>
      <c r="D31" s="64">
        <f t="shared" si="12"/>
        <v>23000000</v>
      </c>
      <c r="E31" s="64">
        <f t="shared" si="13"/>
        <v>-465128.84</v>
      </c>
      <c r="F31" s="64">
        <f t="shared" si="13"/>
        <v>-426474.51744800003</v>
      </c>
      <c r="G31" s="142">
        <f t="shared" si="8"/>
        <v>-2.0222993043478261E-2</v>
      </c>
      <c r="H31" s="142">
        <f t="shared" si="6"/>
        <v>-1.8542370323826086E-2</v>
      </c>
      <c r="I31" s="144">
        <v>5.0000000000000001E-3</v>
      </c>
      <c r="J31" s="144">
        <f t="shared" si="7"/>
        <v>-1.6806227196521743E-3</v>
      </c>
      <c r="K31" t="str">
        <f t="shared" si="2"/>
        <v/>
      </c>
      <c r="L31" s="22"/>
    </row>
    <row r="32" spans="1:12" x14ac:dyDescent="0.2">
      <c r="A32" t="str">
        <f t="shared" si="10"/>
        <v>BDFWD100000115</v>
      </c>
      <c r="C32" t="str">
        <f t="shared" si="11"/>
        <v>Citibank Europe Public Limited Company</v>
      </c>
      <c r="D32" s="64">
        <f t="shared" si="12"/>
        <v>20000000</v>
      </c>
      <c r="E32" s="64">
        <f t="shared" si="13"/>
        <v>-448395.49</v>
      </c>
      <c r="F32" s="64">
        <f t="shared" si="13"/>
        <v>-396756.58</v>
      </c>
      <c r="G32" s="142">
        <f t="shared" si="8"/>
        <v>-2.24197745E-2</v>
      </c>
      <c r="H32" s="142">
        <f t="shared" si="6"/>
        <v>-1.9837829000000001E-2</v>
      </c>
      <c r="I32" s="144">
        <v>5.0000000000000001E-3</v>
      </c>
      <c r="J32" s="144">
        <f t="shared" si="7"/>
        <v>-2.5819454999999984E-3</v>
      </c>
      <c r="K32" t="str">
        <f t="shared" si="2"/>
        <v/>
      </c>
      <c r="L32" s="22"/>
    </row>
    <row r="33" spans="1:33" x14ac:dyDescent="0.2">
      <c r="A33" t="str">
        <f t="shared" si="10"/>
        <v>BDFWD100000113</v>
      </c>
      <c r="C33" t="str">
        <f t="shared" si="11"/>
        <v>Citibank Europe Public Limited Company</v>
      </c>
      <c r="D33" s="64">
        <f t="shared" si="12"/>
        <v>17000000</v>
      </c>
      <c r="E33" s="64">
        <f t="shared" si="13"/>
        <v>-317614.31</v>
      </c>
      <c r="F33" s="64">
        <f t="shared" si="13"/>
        <v>-295484.58</v>
      </c>
      <c r="G33" s="142">
        <f t="shared" si="8"/>
        <v>-1.8683194705882353E-2</v>
      </c>
      <c r="H33" s="142">
        <f t="shared" si="6"/>
        <v>-1.7381445882352943E-2</v>
      </c>
      <c r="I33" s="144">
        <v>5.0000000000000001E-3</v>
      </c>
      <c r="J33" s="144">
        <f t="shared" si="7"/>
        <v>-1.3017488235294097E-3</v>
      </c>
      <c r="K33" t="str">
        <f t="shared" si="2"/>
        <v/>
      </c>
      <c r="L33" s="22"/>
    </row>
    <row r="34" spans="1:33" x14ac:dyDescent="0.2">
      <c r="A34" t="str">
        <f t="shared" si="10"/>
        <v>BDFWD100000120</v>
      </c>
      <c r="C34" t="str">
        <f t="shared" si="11"/>
        <v>JPMorgan SE</v>
      </c>
      <c r="D34" s="64">
        <f t="shared" si="12"/>
        <v>20500000</v>
      </c>
      <c r="E34" s="64">
        <f t="shared" si="13"/>
        <v>-340310.24</v>
      </c>
      <c r="F34" s="64">
        <f t="shared" si="13"/>
        <v>-304573.79599999997</v>
      </c>
      <c r="G34" s="142">
        <f t="shared" si="8"/>
        <v>-1.6600499512195121E-2</v>
      </c>
      <c r="H34" s="142">
        <f t="shared" si="6"/>
        <v>-1.4857258341463413E-2</v>
      </c>
      <c r="I34" s="144">
        <v>5.0000000000000001E-3</v>
      </c>
      <c r="J34" s="144">
        <f t="shared" si="7"/>
        <v>-1.7432411707317078E-3</v>
      </c>
      <c r="K34" t="str">
        <f t="shared" si="2"/>
        <v/>
      </c>
      <c r="L34" s="22"/>
    </row>
    <row r="35" spans="1:33" x14ac:dyDescent="0.2">
      <c r="A35" t="str">
        <f t="shared" si="10"/>
        <v>BDFWD100000132</v>
      </c>
      <c r="C35" t="str">
        <f t="shared" si="11"/>
        <v>BofA Securities Europe SA</v>
      </c>
      <c r="D35" s="64">
        <f t="shared" si="12"/>
        <v>23500000</v>
      </c>
      <c r="E35" s="64">
        <f t="shared" si="13"/>
        <v>11464.58</v>
      </c>
      <c r="F35" s="64">
        <f t="shared" si="13"/>
        <v>39751.294000000002</v>
      </c>
      <c r="G35" s="142">
        <f t="shared" si="8"/>
        <v>4.878544680851064E-4</v>
      </c>
      <c r="H35" s="142">
        <f t="shared" si="6"/>
        <v>1.6915444255319149E-3</v>
      </c>
      <c r="I35" s="144">
        <v>5.0000000000000001E-3</v>
      </c>
      <c r="J35" s="144">
        <f t="shared" si="7"/>
        <v>-1.2036899574468084E-3</v>
      </c>
      <c r="K35" t="str">
        <f t="shared" si="2"/>
        <v/>
      </c>
      <c r="L35" s="22"/>
    </row>
    <row r="36" spans="1:33" x14ac:dyDescent="0.2">
      <c r="A36" t="str">
        <f t="shared" si="10"/>
        <v>BDFWD100000128</v>
      </c>
      <c r="C36" t="str">
        <f t="shared" si="11"/>
        <v>Credit Agricole Corporate and Investment Bank</v>
      </c>
      <c r="D36" s="64">
        <f t="shared" si="12"/>
        <v>20000000</v>
      </c>
      <c r="E36" s="64">
        <f t="shared" si="13"/>
        <v>-159488.29999999999</v>
      </c>
      <c r="F36" s="64">
        <f t="shared" si="13"/>
        <v>-136104.32999999999</v>
      </c>
      <c r="G36" s="142">
        <f t="shared" si="8"/>
        <v>-7.9744149999999986E-3</v>
      </c>
      <c r="H36" s="142">
        <f t="shared" si="6"/>
        <v>-6.8052164999999991E-3</v>
      </c>
      <c r="I36" s="144">
        <v>5.0000000000000001E-3</v>
      </c>
      <c r="J36" s="144">
        <f t="shared" si="7"/>
        <v>-1.1691984999999995E-3</v>
      </c>
      <c r="K36" t="str">
        <f t="shared" si="2"/>
        <v/>
      </c>
      <c r="L36" s="22"/>
    </row>
    <row r="37" spans="1:33" x14ac:dyDescent="0.2">
      <c r="A37" t="str">
        <f t="shared" si="10"/>
        <v>BDFWD100000133</v>
      </c>
      <c r="C37" t="str">
        <f t="shared" si="11"/>
        <v>Citibank Europe Public Limited Company</v>
      </c>
      <c r="D37" s="64">
        <f t="shared" si="12"/>
        <v>23000000</v>
      </c>
      <c r="E37" s="64">
        <f t="shared" si="13"/>
        <v>-53778.39</v>
      </c>
      <c r="F37" s="64">
        <f t="shared" si="13"/>
        <v>-25519.94</v>
      </c>
      <c r="G37" s="142">
        <f t="shared" si="8"/>
        <v>-2.3381908695652175E-3</v>
      </c>
      <c r="H37" s="142">
        <f t="shared" si="6"/>
        <v>-1.1095626086956522E-3</v>
      </c>
      <c r="I37" s="144">
        <v>5.0000000000000001E-3</v>
      </c>
      <c r="J37" s="144">
        <f t="shared" si="7"/>
        <v>-1.2286282608695654E-3</v>
      </c>
      <c r="K37" t="str">
        <f t="shared" si="2"/>
        <v/>
      </c>
      <c r="L37" s="22"/>
    </row>
    <row r="38" spans="1:33" x14ac:dyDescent="0.2">
      <c r="A38" t="str">
        <f t="shared" si="10"/>
        <v>BDFWD100000127</v>
      </c>
      <c r="C38" t="str">
        <f t="shared" si="11"/>
        <v>Citibank Europe Public Limited Company</v>
      </c>
      <c r="D38" s="64">
        <f t="shared" si="12"/>
        <v>20000000</v>
      </c>
      <c r="E38" s="64">
        <f t="shared" si="13"/>
        <v>-169068.25</v>
      </c>
      <c r="F38" s="64">
        <f t="shared" si="13"/>
        <v>-144192.87</v>
      </c>
      <c r="G38" s="142">
        <f t="shared" si="8"/>
        <v>-8.4534125000000002E-3</v>
      </c>
      <c r="H38" s="142">
        <f t="shared" si="6"/>
        <v>-7.2096434999999997E-3</v>
      </c>
      <c r="I38" s="144">
        <v>5.0000000000000001E-3</v>
      </c>
      <c r="J38" s="144">
        <f t="shared" si="7"/>
        <v>-1.2437690000000005E-3</v>
      </c>
      <c r="K38" t="str">
        <f t="shared" si="2"/>
        <v/>
      </c>
      <c r="L38" s="22"/>
    </row>
    <row r="39" spans="1:33" x14ac:dyDescent="0.2">
      <c r="A39" t="str">
        <f t="shared" si="10"/>
        <v>BDFWD100000126</v>
      </c>
      <c r="C39" t="str">
        <f t="shared" si="11"/>
        <v>Citibank Europe Public Limited Company</v>
      </c>
      <c r="D39" s="64">
        <f t="shared" si="12"/>
        <v>15000000</v>
      </c>
      <c r="E39" s="64">
        <f t="shared" si="13"/>
        <v>-90996.81</v>
      </c>
      <c r="F39" s="64">
        <f t="shared" si="13"/>
        <v>-82277.070000000007</v>
      </c>
      <c r="G39" s="142">
        <f t="shared" si="8"/>
        <v>-6.0664539999999998E-3</v>
      </c>
      <c r="H39" s="142">
        <f t="shared" si="6"/>
        <v>-5.4851380000000005E-3</v>
      </c>
      <c r="I39" s="144">
        <v>5.0000000000000001E-3</v>
      </c>
      <c r="J39" s="144">
        <f t="shared" si="7"/>
        <v>-5.8131599999999926E-4</v>
      </c>
      <c r="K39" t="str">
        <f t="shared" si="2"/>
        <v/>
      </c>
      <c r="L39" s="22"/>
    </row>
    <row r="40" spans="1:33" x14ac:dyDescent="0.2">
      <c r="A40" t="str">
        <f t="shared" si="10"/>
        <v>BDFWD100000135</v>
      </c>
      <c r="C40" t="str">
        <f t="shared" si="11"/>
        <v>Citibank Europe Public Limited Company</v>
      </c>
      <c r="D40" s="64">
        <f t="shared" si="12"/>
        <v>20000000</v>
      </c>
      <c r="E40" s="64">
        <f t="shared" si="13"/>
        <v>16585.47</v>
      </c>
      <c r="F40" s="64">
        <f t="shared" si="13"/>
        <v>49835.49</v>
      </c>
      <c r="G40" s="142">
        <f t="shared" si="8"/>
        <v>8.2927350000000001E-4</v>
      </c>
      <c r="H40" s="142">
        <f t="shared" si="6"/>
        <v>2.4917744999999997E-3</v>
      </c>
      <c r="I40" s="144">
        <v>5.0000000000000001E-3</v>
      </c>
      <c r="J40" s="144">
        <f t="shared" si="7"/>
        <v>-1.6625009999999998E-3</v>
      </c>
      <c r="K40" t="str">
        <f t="shared" si="2"/>
        <v/>
      </c>
      <c r="L40" s="22"/>
    </row>
    <row r="41" spans="1:33" x14ac:dyDescent="0.2">
      <c r="A41" t="str">
        <f t="shared" si="10"/>
        <v>BDFWD100000140</v>
      </c>
      <c r="C41" t="str">
        <f t="shared" si="11"/>
        <v>JPMorgan SE</v>
      </c>
      <c r="D41" s="64">
        <f t="shared" si="12"/>
        <v>18500000</v>
      </c>
      <c r="E41" s="64">
        <f t="shared" si="13"/>
        <v>193700</v>
      </c>
      <c r="F41" s="64">
        <f t="shared" si="13"/>
        <v>0</v>
      </c>
      <c r="G41" s="142">
        <f t="shared" si="8"/>
        <v>1.047027027027027E-2</v>
      </c>
      <c r="H41" s="142">
        <f t="shared" si="6"/>
        <v>0</v>
      </c>
      <c r="I41" s="144">
        <v>5.0000000000000001E-3</v>
      </c>
      <c r="J41" s="144">
        <f t="shared" si="7"/>
        <v>1.047027027027027E-2</v>
      </c>
      <c r="K41" t="str">
        <f t="shared" si="2"/>
        <v>alerte</v>
      </c>
      <c r="L41" s="22" t="s">
        <v>1648</v>
      </c>
    </row>
    <row r="42" spans="1:33" x14ac:dyDescent="0.2">
      <c r="A42" t="str">
        <f t="shared" si="10"/>
        <v>BDFWD100000139</v>
      </c>
      <c r="C42" t="str">
        <f t="shared" si="11"/>
        <v>Citibank Europe Public Limited Company</v>
      </c>
      <c r="D42" s="64">
        <f t="shared" si="12"/>
        <v>12000000</v>
      </c>
      <c r="E42" s="64">
        <f t="shared" si="13"/>
        <v>209623.79</v>
      </c>
      <c r="F42" s="64">
        <f t="shared" si="13"/>
        <v>216327.31</v>
      </c>
      <c r="G42" s="142">
        <f t="shared" si="8"/>
        <v>1.7468649166666666E-2</v>
      </c>
      <c r="H42" s="142">
        <f t="shared" si="6"/>
        <v>1.8027275833333332E-2</v>
      </c>
      <c r="I42" s="144">
        <v>1.0049999999999999</v>
      </c>
      <c r="J42" s="144">
        <f t="shared" si="7"/>
        <v>-5.5862666666666588E-4</v>
      </c>
      <c r="K42" t="str">
        <f t="shared" si="2"/>
        <v/>
      </c>
    </row>
    <row r="43" spans="1:33" x14ac:dyDescent="0.2">
      <c r="A43" t="s">
        <v>434</v>
      </c>
      <c r="D43" s="64">
        <f>SUM(D2:D40)</f>
        <v>833000000</v>
      </c>
      <c r="E43" s="64">
        <f>SUM(E2:E42)</f>
        <v>-113976282.27999999</v>
      </c>
      <c r="F43" s="64">
        <f>SUM(F2:F40)</f>
        <v>-114319857.907396</v>
      </c>
    </row>
    <row r="46" spans="1:33" x14ac:dyDescent="0.2">
      <c r="A46" s="22" t="s">
        <v>688</v>
      </c>
      <c r="C46" s="82" t="s">
        <v>916</v>
      </c>
      <c r="AG46" t="s">
        <v>374</v>
      </c>
    </row>
    <row r="47" spans="1:33" x14ac:dyDescent="0.2">
      <c r="A47" s="141" t="s">
        <v>57</v>
      </c>
      <c r="B47" s="141" t="s">
        <v>649</v>
      </c>
      <c r="C47" t="s">
        <v>367</v>
      </c>
      <c r="D47" t="s">
        <v>307</v>
      </c>
      <c r="E47" t="s">
        <v>355</v>
      </c>
      <c r="F47" t="s">
        <v>356</v>
      </c>
      <c r="G47" t="s">
        <v>368</v>
      </c>
      <c r="H47" t="s">
        <v>310</v>
      </c>
      <c r="I47" t="s">
        <v>308</v>
      </c>
      <c r="J47" t="s">
        <v>357</v>
      </c>
      <c r="K47" t="s">
        <v>369</v>
      </c>
      <c r="L47" t="s">
        <v>358</v>
      </c>
      <c r="M47" t="s">
        <v>359</v>
      </c>
      <c r="N47" t="s">
        <v>360</v>
      </c>
      <c r="O47" t="s">
        <v>361</v>
      </c>
      <c r="P47" t="s">
        <v>370</v>
      </c>
      <c r="Q47" t="s">
        <v>311</v>
      </c>
      <c r="R47" t="s">
        <v>329</v>
      </c>
      <c r="S47" t="s">
        <v>309</v>
      </c>
      <c r="T47" t="s">
        <v>371</v>
      </c>
      <c r="U47" t="s">
        <v>330</v>
      </c>
      <c r="V47" t="s">
        <v>331</v>
      </c>
      <c r="W47" t="s">
        <v>328</v>
      </c>
      <c r="X47" t="s">
        <v>627</v>
      </c>
      <c r="Y47" t="s">
        <v>373</v>
      </c>
      <c r="Z47" t="s">
        <v>374</v>
      </c>
    </row>
    <row r="48" spans="1:33" x14ac:dyDescent="0.2">
      <c r="A48" s="141"/>
      <c r="B48" s="141" t="str">
        <f>V48</f>
        <v>BDFWD100000015</v>
      </c>
      <c r="C48">
        <v>2232232457</v>
      </c>
      <c r="D48" t="s">
        <v>363</v>
      </c>
      <c r="E48" t="s">
        <v>312</v>
      </c>
      <c r="F48" t="s">
        <v>680</v>
      </c>
      <c r="G48" t="s">
        <v>626</v>
      </c>
      <c r="H48">
        <v>28700000</v>
      </c>
      <c r="I48" t="s">
        <v>44</v>
      </c>
      <c r="J48">
        <v>28700000</v>
      </c>
      <c r="M48">
        <v>44630</v>
      </c>
      <c r="O48">
        <v>45957</v>
      </c>
      <c r="P48" t="s">
        <v>645</v>
      </c>
      <c r="Q48">
        <v>-10710026.33</v>
      </c>
      <c r="R48">
        <v>-10694068.619204</v>
      </c>
      <c r="S48" t="s">
        <v>44</v>
      </c>
      <c r="T48">
        <v>45735</v>
      </c>
      <c r="U48">
        <v>-15957.710795999999</v>
      </c>
      <c r="V48" t="s">
        <v>610</v>
      </c>
      <c r="Y48" t="s">
        <v>421</v>
      </c>
    </row>
    <row r="49" spans="1:25" x14ac:dyDescent="0.2">
      <c r="A49" s="141"/>
      <c r="B49" s="141" t="str">
        <f>V49</f>
        <v>BDFWD100000028</v>
      </c>
      <c r="C49">
        <v>2267270452</v>
      </c>
      <c r="D49" t="s">
        <v>363</v>
      </c>
      <c r="E49" t="s">
        <v>312</v>
      </c>
      <c r="F49" t="s">
        <v>680</v>
      </c>
      <c r="G49" t="s">
        <v>626</v>
      </c>
      <c r="H49">
        <v>27000000</v>
      </c>
      <c r="I49" t="s">
        <v>44</v>
      </c>
      <c r="J49">
        <v>27000000</v>
      </c>
      <c r="M49">
        <v>44670</v>
      </c>
      <c r="O49">
        <v>46139</v>
      </c>
      <c r="P49" t="s">
        <v>682</v>
      </c>
      <c r="Q49">
        <v>-7932340.2000000002</v>
      </c>
      <c r="R49">
        <v>-7906455.8180910004</v>
      </c>
      <c r="S49" t="s">
        <v>44</v>
      </c>
      <c r="T49">
        <v>45735</v>
      </c>
      <c r="U49">
        <v>-25884.381909</v>
      </c>
      <c r="V49" t="s">
        <v>677</v>
      </c>
      <c r="Y49" t="s">
        <v>421</v>
      </c>
    </row>
    <row r="50" spans="1:25" x14ac:dyDescent="0.2">
      <c r="A50" s="141"/>
      <c r="B50" s="141" t="str">
        <f>V50</f>
        <v>BDFWD100000005</v>
      </c>
      <c r="C50">
        <v>2273953849</v>
      </c>
      <c r="D50" t="s">
        <v>363</v>
      </c>
      <c r="E50" t="s">
        <v>642</v>
      </c>
      <c r="F50" t="s">
        <v>680</v>
      </c>
      <c r="G50" t="s">
        <v>626</v>
      </c>
      <c r="H50">
        <v>58000000</v>
      </c>
      <c r="I50" t="s">
        <v>44</v>
      </c>
      <c r="J50">
        <v>58000000</v>
      </c>
      <c r="M50">
        <v>44600</v>
      </c>
      <c r="O50">
        <v>45957</v>
      </c>
      <c r="P50" t="s">
        <v>644</v>
      </c>
      <c r="Q50">
        <v>-23474189.760000002</v>
      </c>
      <c r="R50">
        <v>-23446574.785</v>
      </c>
      <c r="S50" t="s">
        <v>44</v>
      </c>
      <c r="T50">
        <v>45735</v>
      </c>
      <c r="U50">
        <v>-27614.974999999999</v>
      </c>
      <c r="V50" t="s">
        <v>609</v>
      </c>
      <c r="Y50" t="s">
        <v>643</v>
      </c>
    </row>
    <row r="51" spans="1:25" x14ac:dyDescent="0.2">
      <c r="A51" s="141"/>
      <c r="B51" s="141" t="str">
        <f>V51</f>
        <v>BDFWD100000020</v>
      </c>
      <c r="C51">
        <v>2276088595</v>
      </c>
      <c r="D51" t="s">
        <v>363</v>
      </c>
      <c r="E51" t="s">
        <v>683</v>
      </c>
      <c r="F51" t="s">
        <v>680</v>
      </c>
      <c r="G51" t="s">
        <v>626</v>
      </c>
      <c r="H51">
        <v>26000000</v>
      </c>
      <c r="I51" t="s">
        <v>44</v>
      </c>
      <c r="J51">
        <v>26000000</v>
      </c>
      <c r="M51">
        <v>44649</v>
      </c>
      <c r="O51">
        <v>45957</v>
      </c>
      <c r="P51" t="s">
        <v>684</v>
      </c>
      <c r="Q51">
        <v>-9472087.8599999994</v>
      </c>
      <c r="R51">
        <v>-9449179.7100000009</v>
      </c>
      <c r="S51" t="s">
        <v>44</v>
      </c>
      <c r="T51">
        <v>45735</v>
      </c>
      <c r="U51">
        <v>-22908.15</v>
      </c>
      <c r="V51" t="s">
        <v>657</v>
      </c>
      <c r="Y51" t="s">
        <v>685</v>
      </c>
    </row>
    <row r="52" spans="1:25" x14ac:dyDescent="0.2">
      <c r="A52" s="141"/>
      <c r="B52" s="141" t="str">
        <f>V52</f>
        <v>BDFWD100000022</v>
      </c>
      <c r="C52">
        <v>2276088597</v>
      </c>
      <c r="D52" t="s">
        <v>363</v>
      </c>
      <c r="E52" t="s">
        <v>683</v>
      </c>
      <c r="F52" t="s">
        <v>680</v>
      </c>
      <c r="G52" t="s">
        <v>626</v>
      </c>
      <c r="H52">
        <v>30600000</v>
      </c>
      <c r="I52" t="s">
        <v>44</v>
      </c>
      <c r="J52">
        <v>30600000</v>
      </c>
      <c r="M52">
        <v>44657</v>
      </c>
      <c r="O52">
        <v>45957</v>
      </c>
      <c r="P52" t="s">
        <v>686</v>
      </c>
      <c r="Q52">
        <v>-9729946.1899999995</v>
      </c>
      <c r="R52">
        <v>-9721615.75</v>
      </c>
      <c r="S52" t="s">
        <v>44</v>
      </c>
      <c r="T52">
        <v>45735</v>
      </c>
      <c r="U52">
        <v>-8330.44</v>
      </c>
      <c r="V52" t="s">
        <v>678</v>
      </c>
      <c r="Y52" t="s">
        <v>685</v>
      </c>
    </row>
    <row r="53" spans="1:25" x14ac:dyDescent="0.2">
      <c r="A53" s="141"/>
      <c r="B53" s="141" t="str">
        <f t="shared" ref="B53:B88" si="14">V53</f>
        <v>BDFWD100000018</v>
      </c>
      <c r="C53">
        <v>2466017326</v>
      </c>
      <c r="D53" t="s">
        <v>363</v>
      </c>
      <c r="E53" t="s">
        <v>646</v>
      </c>
      <c r="F53" t="s">
        <v>680</v>
      </c>
      <c r="G53" t="s">
        <v>626</v>
      </c>
      <c r="H53">
        <v>30000000</v>
      </c>
      <c r="I53" t="s">
        <v>44</v>
      </c>
      <c r="J53">
        <v>30000000</v>
      </c>
      <c r="M53">
        <v>44636</v>
      </c>
      <c r="O53">
        <v>46139</v>
      </c>
      <c r="P53" t="s">
        <v>647</v>
      </c>
      <c r="Q53">
        <v>-10580743.560000001</v>
      </c>
      <c r="R53">
        <v>-10529048.309303001</v>
      </c>
      <c r="S53" t="s">
        <v>44</v>
      </c>
      <c r="T53">
        <v>45735</v>
      </c>
      <c r="U53">
        <v>-51695.250697000003</v>
      </c>
      <c r="V53" t="s">
        <v>605</v>
      </c>
      <c r="Y53" t="s">
        <v>648</v>
      </c>
    </row>
    <row r="54" spans="1:25" x14ac:dyDescent="0.2">
      <c r="A54" s="141"/>
      <c r="B54" s="141" t="str">
        <f t="shared" si="14"/>
        <v>BDFWD100000024</v>
      </c>
      <c r="C54">
        <v>2466017329</v>
      </c>
      <c r="D54" t="s">
        <v>363</v>
      </c>
      <c r="E54" t="s">
        <v>646</v>
      </c>
      <c r="F54" t="s">
        <v>680</v>
      </c>
      <c r="G54" t="s">
        <v>626</v>
      </c>
      <c r="H54">
        <v>25000000</v>
      </c>
      <c r="I54" t="s">
        <v>44</v>
      </c>
      <c r="J54">
        <v>25000000</v>
      </c>
      <c r="M54">
        <v>44657</v>
      </c>
      <c r="O54">
        <v>46139</v>
      </c>
      <c r="P54" t="s">
        <v>681</v>
      </c>
      <c r="Q54">
        <v>-8278982.9900000002</v>
      </c>
      <c r="R54">
        <v>-8235904.287583</v>
      </c>
      <c r="S54" t="s">
        <v>44</v>
      </c>
      <c r="T54">
        <v>45735</v>
      </c>
      <c r="U54">
        <v>-43078.702417</v>
      </c>
      <c r="V54" t="s">
        <v>679</v>
      </c>
      <c r="Y54" t="s">
        <v>648</v>
      </c>
    </row>
    <row r="55" spans="1:25" x14ac:dyDescent="0.2">
      <c r="A55" s="141"/>
      <c r="B55" s="141" t="str">
        <f>V55</f>
        <v>BDFWD100000030</v>
      </c>
      <c r="C55">
        <v>2466017334</v>
      </c>
      <c r="D55" t="s">
        <v>363</v>
      </c>
      <c r="E55" t="s">
        <v>646</v>
      </c>
      <c r="F55" t="s">
        <v>680</v>
      </c>
      <c r="G55" t="s">
        <v>626</v>
      </c>
      <c r="H55">
        <v>29000000</v>
      </c>
      <c r="I55" t="s">
        <v>44</v>
      </c>
      <c r="J55">
        <v>29000000</v>
      </c>
      <c r="M55">
        <v>44712</v>
      </c>
      <c r="O55">
        <v>46139</v>
      </c>
      <c r="P55" t="s">
        <v>681</v>
      </c>
      <c r="Q55">
        <v>-6818017.4400000004</v>
      </c>
      <c r="R55">
        <v>-6777295.2884170003</v>
      </c>
      <c r="S55" t="s">
        <v>44</v>
      </c>
      <c r="T55">
        <v>45735</v>
      </c>
      <c r="U55">
        <v>-40722.151582999999</v>
      </c>
      <c r="V55" t="s">
        <v>676</v>
      </c>
      <c r="Y55" t="s">
        <v>648</v>
      </c>
    </row>
    <row r="56" spans="1:25" x14ac:dyDescent="0.2">
      <c r="A56" s="141"/>
      <c r="B56" s="141" t="str">
        <f t="shared" si="14"/>
        <v>BDFWD100000032</v>
      </c>
      <c r="C56">
        <v>2466017478</v>
      </c>
      <c r="D56" t="s">
        <v>363</v>
      </c>
      <c r="E56" t="s">
        <v>640</v>
      </c>
      <c r="F56" t="s">
        <v>680</v>
      </c>
      <c r="G56" t="s">
        <v>626</v>
      </c>
      <c r="H56">
        <v>27000000</v>
      </c>
      <c r="I56" t="s">
        <v>44</v>
      </c>
      <c r="J56">
        <v>27000000</v>
      </c>
      <c r="M56">
        <v>44713</v>
      </c>
      <c r="O56">
        <v>45957</v>
      </c>
      <c r="P56" t="s">
        <v>687</v>
      </c>
      <c r="Q56">
        <v>-6248529.5</v>
      </c>
      <c r="R56">
        <v>-6280097.8399999999</v>
      </c>
      <c r="S56" t="s">
        <v>44</v>
      </c>
      <c r="T56">
        <v>45735</v>
      </c>
      <c r="U56">
        <v>31568.34</v>
      </c>
      <c r="V56" t="s">
        <v>675</v>
      </c>
      <c r="Y56" t="s">
        <v>420</v>
      </c>
    </row>
    <row r="57" spans="1:25" x14ac:dyDescent="0.2">
      <c r="A57" s="141"/>
      <c r="B57" s="141" t="str">
        <f t="shared" si="14"/>
        <v>BDFWD100000069</v>
      </c>
      <c r="C57">
        <v>2874735314</v>
      </c>
      <c r="D57" t="s">
        <v>363</v>
      </c>
      <c r="E57" t="s">
        <v>637</v>
      </c>
      <c r="F57" t="s">
        <v>680</v>
      </c>
      <c r="G57" t="s">
        <v>626</v>
      </c>
      <c r="H57">
        <v>11000000</v>
      </c>
      <c r="I57" t="s">
        <v>44</v>
      </c>
      <c r="J57">
        <v>11000000</v>
      </c>
      <c r="M57">
        <v>45454</v>
      </c>
      <c r="O57">
        <v>46139</v>
      </c>
      <c r="P57" t="s">
        <v>1126</v>
      </c>
      <c r="Q57">
        <v>-600560.98</v>
      </c>
      <c r="R57">
        <v>-641551.68299999996</v>
      </c>
      <c r="S57" t="s">
        <v>44</v>
      </c>
      <c r="T57">
        <v>45735</v>
      </c>
      <c r="U57">
        <v>40990.703000000001</v>
      </c>
      <c r="V57" t="s">
        <v>1109</v>
      </c>
      <c r="Y57" t="s">
        <v>638</v>
      </c>
    </row>
    <row r="58" spans="1:25" x14ac:dyDescent="0.2">
      <c r="A58" s="141"/>
      <c r="B58" s="141" t="str">
        <f t="shared" si="14"/>
        <v>BDFWD100000068</v>
      </c>
      <c r="C58">
        <v>2874735316</v>
      </c>
      <c r="D58" t="s">
        <v>363</v>
      </c>
      <c r="E58" t="s">
        <v>637</v>
      </c>
      <c r="F58" t="s">
        <v>680</v>
      </c>
      <c r="G58" t="s">
        <v>626</v>
      </c>
      <c r="H58">
        <v>11000000</v>
      </c>
      <c r="I58" t="s">
        <v>44</v>
      </c>
      <c r="J58">
        <v>11000000</v>
      </c>
      <c r="M58">
        <v>45454</v>
      </c>
      <c r="O58">
        <v>46594</v>
      </c>
      <c r="P58" t="s">
        <v>1125</v>
      </c>
      <c r="Q58">
        <v>-703039.29</v>
      </c>
      <c r="R58">
        <v>-750995.46699999995</v>
      </c>
      <c r="S58" t="s">
        <v>44</v>
      </c>
      <c r="T58">
        <v>45735</v>
      </c>
      <c r="U58">
        <v>47956.177000000003</v>
      </c>
      <c r="V58" t="s">
        <v>1108</v>
      </c>
      <c r="Y58" t="s">
        <v>638</v>
      </c>
    </row>
    <row r="59" spans="1:25" x14ac:dyDescent="0.2">
      <c r="A59" s="141"/>
      <c r="B59" s="141" t="str">
        <f t="shared" si="14"/>
        <v>BDFWD100000067</v>
      </c>
      <c r="C59">
        <v>2874735317</v>
      </c>
      <c r="D59" t="s">
        <v>363</v>
      </c>
      <c r="E59" t="s">
        <v>637</v>
      </c>
      <c r="F59" t="s">
        <v>680</v>
      </c>
      <c r="G59" t="s">
        <v>626</v>
      </c>
      <c r="H59">
        <v>8500000</v>
      </c>
      <c r="I59" t="s">
        <v>44</v>
      </c>
      <c r="J59">
        <v>8500000</v>
      </c>
      <c r="M59">
        <v>45454</v>
      </c>
      <c r="O59">
        <v>46840</v>
      </c>
      <c r="P59" t="s">
        <v>1124</v>
      </c>
      <c r="Q59">
        <v>-561746.28</v>
      </c>
      <c r="R59">
        <v>-591018.72199999995</v>
      </c>
      <c r="S59" t="s">
        <v>44</v>
      </c>
      <c r="T59">
        <v>45735</v>
      </c>
      <c r="U59">
        <v>29272.441999999999</v>
      </c>
      <c r="V59" t="s">
        <v>1107</v>
      </c>
      <c r="Y59" t="s">
        <v>638</v>
      </c>
    </row>
    <row r="60" spans="1:25" x14ac:dyDescent="0.2">
      <c r="A60" s="141"/>
      <c r="B60" s="141" t="str">
        <f t="shared" si="14"/>
        <v>BDFWD100000073</v>
      </c>
      <c r="C60">
        <v>2876535633</v>
      </c>
      <c r="D60" t="s">
        <v>363</v>
      </c>
      <c r="E60" t="s">
        <v>683</v>
      </c>
      <c r="F60" t="s">
        <v>680</v>
      </c>
      <c r="G60" t="s">
        <v>626</v>
      </c>
      <c r="H60">
        <v>22000000</v>
      </c>
      <c r="I60" t="s">
        <v>44</v>
      </c>
      <c r="J60">
        <v>22000000</v>
      </c>
      <c r="M60">
        <v>45471</v>
      </c>
      <c r="O60">
        <v>45957</v>
      </c>
      <c r="P60" t="s">
        <v>1136</v>
      </c>
      <c r="Q60">
        <v>-1096042.72</v>
      </c>
      <c r="R60">
        <v>-1079764.52</v>
      </c>
      <c r="S60" t="s">
        <v>44</v>
      </c>
      <c r="T60">
        <v>45735</v>
      </c>
      <c r="U60">
        <v>-16278.2</v>
      </c>
      <c r="V60" t="s">
        <v>1135</v>
      </c>
      <c r="Y60" t="s">
        <v>685</v>
      </c>
    </row>
    <row r="61" spans="1:25" x14ac:dyDescent="0.2">
      <c r="A61" s="141"/>
      <c r="B61" s="141" t="str">
        <f t="shared" si="14"/>
        <v>BDFWD100000077</v>
      </c>
      <c r="C61">
        <v>2878803259</v>
      </c>
      <c r="D61" t="s">
        <v>363</v>
      </c>
      <c r="E61" t="s">
        <v>312</v>
      </c>
      <c r="F61" t="s">
        <v>680</v>
      </c>
      <c r="G61" t="s">
        <v>626</v>
      </c>
      <c r="H61">
        <v>16500000</v>
      </c>
      <c r="I61" t="s">
        <v>44</v>
      </c>
      <c r="J61">
        <v>16500000</v>
      </c>
      <c r="M61">
        <v>45475</v>
      </c>
      <c r="O61">
        <v>45957</v>
      </c>
      <c r="P61" t="s">
        <v>1268</v>
      </c>
      <c r="Q61">
        <v>-643669.16</v>
      </c>
      <c r="R61">
        <v>-638802.92764999997</v>
      </c>
      <c r="S61" t="s">
        <v>44</v>
      </c>
      <c r="T61">
        <v>45735</v>
      </c>
      <c r="U61">
        <v>-4866.2323500000002</v>
      </c>
      <c r="V61" t="s">
        <v>1147</v>
      </c>
      <c r="Y61" t="s">
        <v>421</v>
      </c>
    </row>
    <row r="62" spans="1:25" x14ac:dyDescent="0.2">
      <c r="A62" s="141"/>
      <c r="B62" s="141" t="str">
        <f t="shared" si="14"/>
        <v>BDFWD100000081</v>
      </c>
      <c r="C62">
        <v>2976595304</v>
      </c>
      <c r="D62" t="s">
        <v>363</v>
      </c>
      <c r="E62" t="s">
        <v>637</v>
      </c>
      <c r="F62" t="s">
        <v>680</v>
      </c>
      <c r="G62" t="s">
        <v>626</v>
      </c>
      <c r="H62">
        <v>11000000</v>
      </c>
      <c r="I62" t="s">
        <v>44</v>
      </c>
      <c r="J62">
        <v>11000000</v>
      </c>
      <c r="M62">
        <v>45569</v>
      </c>
      <c r="O62">
        <v>46840</v>
      </c>
      <c r="P62" t="s">
        <v>1124</v>
      </c>
      <c r="Q62">
        <v>-816916.99</v>
      </c>
      <c r="R62">
        <v>-861826.66099999996</v>
      </c>
      <c r="S62" t="s">
        <v>44</v>
      </c>
      <c r="T62">
        <v>45735</v>
      </c>
      <c r="U62">
        <v>44909.671000000002</v>
      </c>
      <c r="V62" t="s">
        <v>1309</v>
      </c>
      <c r="Y62" t="s">
        <v>638</v>
      </c>
    </row>
    <row r="63" spans="1:25" x14ac:dyDescent="0.2">
      <c r="B63" s="141" t="str">
        <f t="shared" si="14"/>
        <v>BDFWD100000080</v>
      </c>
      <c r="C63">
        <v>2976595305</v>
      </c>
      <c r="D63" t="s">
        <v>363</v>
      </c>
      <c r="E63" t="s">
        <v>637</v>
      </c>
      <c r="F63" t="s">
        <v>680</v>
      </c>
      <c r="G63" t="s">
        <v>626</v>
      </c>
      <c r="H63">
        <v>16000000</v>
      </c>
      <c r="I63" t="s">
        <v>44</v>
      </c>
      <c r="J63">
        <v>16000000</v>
      </c>
      <c r="M63">
        <v>45569</v>
      </c>
      <c r="O63">
        <v>46594</v>
      </c>
      <c r="P63" t="s">
        <v>1125</v>
      </c>
      <c r="Q63">
        <v>-1185396.33</v>
      </c>
      <c r="R63">
        <v>-1268385.2649999999</v>
      </c>
      <c r="S63" t="s">
        <v>44</v>
      </c>
      <c r="T63">
        <v>45735</v>
      </c>
      <c r="U63">
        <v>82988.934999999998</v>
      </c>
      <c r="V63" t="s">
        <v>1298</v>
      </c>
      <c r="Y63" t="s">
        <v>638</v>
      </c>
    </row>
    <row r="64" spans="1:25" x14ac:dyDescent="0.2">
      <c r="B64" s="141" t="str">
        <f t="shared" si="14"/>
        <v>BDFWD100000083</v>
      </c>
      <c r="C64">
        <v>2977859468</v>
      </c>
      <c r="D64" t="s">
        <v>363</v>
      </c>
      <c r="E64" t="s">
        <v>43</v>
      </c>
      <c r="F64" t="s">
        <v>680</v>
      </c>
      <c r="G64" t="s">
        <v>626</v>
      </c>
      <c r="H64">
        <v>38000000</v>
      </c>
      <c r="I64" t="s">
        <v>44</v>
      </c>
      <c r="J64">
        <v>38000000</v>
      </c>
      <c r="M64">
        <v>45574</v>
      </c>
      <c r="O64">
        <v>47233</v>
      </c>
      <c r="P64" t="s">
        <v>1395</v>
      </c>
      <c r="Q64">
        <v>-2664836.59</v>
      </c>
      <c r="R64">
        <v>-2764554.17</v>
      </c>
      <c r="S64" t="s">
        <v>44</v>
      </c>
      <c r="T64">
        <v>45735</v>
      </c>
      <c r="U64">
        <v>99717.58</v>
      </c>
      <c r="V64" t="s">
        <v>1321</v>
      </c>
      <c r="Y64" t="s">
        <v>1267</v>
      </c>
    </row>
    <row r="65" spans="2:25" x14ac:dyDescent="0.2">
      <c r="B65" s="141" t="str">
        <f t="shared" si="14"/>
        <v>BDFWD100000087</v>
      </c>
      <c r="C65">
        <v>2981112376</v>
      </c>
      <c r="D65" t="s">
        <v>363</v>
      </c>
      <c r="E65" t="s">
        <v>683</v>
      </c>
      <c r="F65" t="s">
        <v>680</v>
      </c>
      <c r="G65" t="s">
        <v>626</v>
      </c>
      <c r="H65">
        <v>24000000</v>
      </c>
      <c r="I65" t="s">
        <v>44</v>
      </c>
      <c r="J65">
        <v>24000000</v>
      </c>
      <c r="M65">
        <v>45576</v>
      </c>
      <c r="O65">
        <v>46840</v>
      </c>
      <c r="P65" t="s">
        <v>1396</v>
      </c>
      <c r="Q65">
        <v>-1578015.45</v>
      </c>
      <c r="R65">
        <v>-1527394.92</v>
      </c>
      <c r="S65" t="s">
        <v>44</v>
      </c>
      <c r="T65">
        <v>45735</v>
      </c>
      <c r="U65">
        <v>-50620.53</v>
      </c>
      <c r="V65" t="s">
        <v>1323</v>
      </c>
      <c r="Y65" t="s">
        <v>685</v>
      </c>
    </row>
    <row r="66" spans="2:25" x14ac:dyDescent="0.2">
      <c r="B66" s="141" t="str">
        <f t="shared" si="14"/>
        <v>BDFWD100000086</v>
      </c>
      <c r="C66">
        <v>2981112377</v>
      </c>
      <c r="D66" t="s">
        <v>363</v>
      </c>
      <c r="E66" t="s">
        <v>683</v>
      </c>
      <c r="F66" t="s">
        <v>680</v>
      </c>
      <c r="G66" t="s">
        <v>626</v>
      </c>
      <c r="H66">
        <v>16500000</v>
      </c>
      <c r="I66" t="s">
        <v>44</v>
      </c>
      <c r="J66">
        <v>16500000</v>
      </c>
      <c r="M66">
        <v>45576</v>
      </c>
      <c r="O66">
        <v>46594</v>
      </c>
      <c r="P66" t="s">
        <v>1397</v>
      </c>
      <c r="Q66">
        <v>-1078891.73</v>
      </c>
      <c r="R66">
        <v>-1058299.31</v>
      </c>
      <c r="S66" t="s">
        <v>44</v>
      </c>
      <c r="T66">
        <v>45735</v>
      </c>
      <c r="U66">
        <v>-20592.419999999998</v>
      </c>
      <c r="V66" t="s">
        <v>1322</v>
      </c>
      <c r="Y66" t="s">
        <v>685</v>
      </c>
    </row>
    <row r="67" spans="2:25" x14ac:dyDescent="0.2">
      <c r="B67" s="141" t="str">
        <f t="shared" si="14"/>
        <v>BDFWD100000090</v>
      </c>
      <c r="C67">
        <v>2987302359</v>
      </c>
      <c r="D67" t="s">
        <v>363</v>
      </c>
      <c r="E67" t="s">
        <v>640</v>
      </c>
      <c r="F67" t="s">
        <v>680</v>
      </c>
      <c r="G67" t="s">
        <v>626</v>
      </c>
      <c r="H67">
        <v>16500000</v>
      </c>
      <c r="I67" t="s">
        <v>44</v>
      </c>
      <c r="J67">
        <v>16500000</v>
      </c>
      <c r="M67">
        <v>45586</v>
      </c>
      <c r="O67">
        <v>46693</v>
      </c>
      <c r="P67" t="s">
        <v>1398</v>
      </c>
      <c r="Q67">
        <v>-1109508.74</v>
      </c>
      <c r="R67">
        <v>-1111801.22</v>
      </c>
      <c r="S67" t="s">
        <v>44</v>
      </c>
      <c r="T67">
        <v>45735</v>
      </c>
      <c r="U67">
        <v>2292.48</v>
      </c>
      <c r="V67" t="s">
        <v>1341</v>
      </c>
      <c r="Y67" t="s">
        <v>420</v>
      </c>
    </row>
    <row r="68" spans="2:25" x14ac:dyDescent="0.2">
      <c r="B68" s="141" t="str">
        <f t="shared" si="14"/>
        <v>BDFWD100000094</v>
      </c>
      <c r="C68">
        <v>2987431224</v>
      </c>
      <c r="D68" t="s">
        <v>363</v>
      </c>
      <c r="E68" t="s">
        <v>43</v>
      </c>
      <c r="F68" t="s">
        <v>680</v>
      </c>
      <c r="G68" t="s">
        <v>626</v>
      </c>
      <c r="H68">
        <v>16000000</v>
      </c>
      <c r="I68" t="s">
        <v>44</v>
      </c>
      <c r="J68">
        <v>16000000</v>
      </c>
      <c r="M68">
        <v>45587</v>
      </c>
      <c r="O68">
        <v>47233</v>
      </c>
      <c r="P68" t="s">
        <v>1395</v>
      </c>
      <c r="Q68">
        <v>-975400.51</v>
      </c>
      <c r="R68">
        <v>-1017458.15</v>
      </c>
      <c r="S68" t="s">
        <v>44</v>
      </c>
      <c r="T68">
        <v>45735</v>
      </c>
      <c r="U68">
        <v>42057.64</v>
      </c>
      <c r="V68" t="s">
        <v>1327</v>
      </c>
      <c r="Y68" t="s">
        <v>1267</v>
      </c>
    </row>
    <row r="69" spans="2:25" x14ac:dyDescent="0.2">
      <c r="B69" s="141" t="str">
        <f t="shared" si="14"/>
        <v>BDFWD100000092</v>
      </c>
      <c r="C69">
        <v>2987431225</v>
      </c>
      <c r="D69" t="s">
        <v>363</v>
      </c>
      <c r="E69" t="s">
        <v>43</v>
      </c>
      <c r="F69" t="s">
        <v>680</v>
      </c>
      <c r="G69" t="s">
        <v>626</v>
      </c>
      <c r="H69">
        <v>21000000</v>
      </c>
      <c r="I69" t="s">
        <v>44</v>
      </c>
      <c r="J69">
        <v>21000000</v>
      </c>
      <c r="M69">
        <v>45587</v>
      </c>
      <c r="O69">
        <v>46139</v>
      </c>
      <c r="P69" t="s">
        <v>1399</v>
      </c>
      <c r="Q69">
        <v>-1250132.71</v>
      </c>
      <c r="R69">
        <v>-1350135.18</v>
      </c>
      <c r="S69" t="s">
        <v>44</v>
      </c>
      <c r="T69">
        <v>45735</v>
      </c>
      <c r="U69">
        <v>100002.47</v>
      </c>
      <c r="V69" t="s">
        <v>1326</v>
      </c>
      <c r="Y69" t="s">
        <v>1267</v>
      </c>
    </row>
    <row r="70" spans="2:25" x14ac:dyDescent="0.2">
      <c r="B70" s="141" t="str">
        <f t="shared" si="14"/>
        <v>BDFWD100000099</v>
      </c>
      <c r="C70">
        <v>3001927046</v>
      </c>
      <c r="D70" t="s">
        <v>363</v>
      </c>
      <c r="E70" t="s">
        <v>640</v>
      </c>
      <c r="F70" t="s">
        <v>680</v>
      </c>
      <c r="G70" t="s">
        <v>626</v>
      </c>
      <c r="H70">
        <v>20000000</v>
      </c>
      <c r="I70" t="s">
        <v>44</v>
      </c>
      <c r="J70">
        <v>20000000</v>
      </c>
      <c r="M70">
        <v>45603</v>
      </c>
      <c r="O70">
        <v>45957</v>
      </c>
      <c r="P70" t="s">
        <v>1400</v>
      </c>
      <c r="Q70">
        <v>-833291.44</v>
      </c>
      <c r="R70">
        <v>-872463.55</v>
      </c>
      <c r="S70" t="s">
        <v>44</v>
      </c>
      <c r="T70">
        <v>45735</v>
      </c>
      <c r="U70">
        <v>39172.11</v>
      </c>
      <c r="V70" t="s">
        <v>1351</v>
      </c>
      <c r="Y70" t="s">
        <v>420</v>
      </c>
    </row>
    <row r="71" spans="2:25" x14ac:dyDescent="0.2">
      <c r="B71" s="141" t="str">
        <f t="shared" si="14"/>
        <v>BDFWD100000101</v>
      </c>
      <c r="C71">
        <v>3002094691</v>
      </c>
      <c r="D71" t="s">
        <v>363</v>
      </c>
      <c r="E71" t="s">
        <v>43</v>
      </c>
      <c r="F71" t="s">
        <v>680</v>
      </c>
      <c r="G71" t="s">
        <v>626</v>
      </c>
      <c r="H71">
        <v>12000000</v>
      </c>
      <c r="I71" t="s">
        <v>44</v>
      </c>
      <c r="J71">
        <v>12000000</v>
      </c>
      <c r="M71">
        <v>45603</v>
      </c>
      <c r="O71">
        <v>47233</v>
      </c>
      <c r="P71" t="s">
        <v>1395</v>
      </c>
      <c r="Q71">
        <v>-487944.21</v>
      </c>
      <c r="R71">
        <v>-519498.5</v>
      </c>
      <c r="S71" t="s">
        <v>44</v>
      </c>
      <c r="T71">
        <v>45735</v>
      </c>
      <c r="U71">
        <v>31554.29</v>
      </c>
      <c r="V71" t="s">
        <v>1353</v>
      </c>
      <c r="Y71" t="s">
        <v>1267</v>
      </c>
    </row>
    <row r="72" spans="2:25" x14ac:dyDescent="0.2">
      <c r="B72" s="141" t="str">
        <f t="shared" si="14"/>
        <v>BDFWD100000100</v>
      </c>
      <c r="C72">
        <v>3002094696</v>
      </c>
      <c r="D72" t="s">
        <v>363</v>
      </c>
      <c r="E72" t="s">
        <v>43</v>
      </c>
      <c r="F72" t="s">
        <v>680</v>
      </c>
      <c r="G72" t="s">
        <v>626</v>
      </c>
      <c r="H72">
        <v>22000000</v>
      </c>
      <c r="I72" t="s">
        <v>44</v>
      </c>
      <c r="J72">
        <v>22000000</v>
      </c>
      <c r="M72">
        <v>45603</v>
      </c>
      <c r="O72">
        <v>46840</v>
      </c>
      <c r="P72" t="s">
        <v>1401</v>
      </c>
      <c r="Q72">
        <v>-906693.37</v>
      </c>
      <c r="R72">
        <v>-980762.67</v>
      </c>
      <c r="S72" t="s">
        <v>44</v>
      </c>
      <c r="T72">
        <v>45735</v>
      </c>
      <c r="U72">
        <v>74069.3</v>
      </c>
      <c r="V72" t="s">
        <v>1352</v>
      </c>
      <c r="Y72" t="s">
        <v>1267</v>
      </c>
    </row>
    <row r="73" spans="2:25" x14ac:dyDescent="0.2">
      <c r="B73" s="141" t="str">
        <f t="shared" si="14"/>
        <v>BDFWD100000103</v>
      </c>
      <c r="C73">
        <v>3002569846</v>
      </c>
      <c r="D73" t="s">
        <v>363</v>
      </c>
      <c r="E73" t="s">
        <v>683</v>
      </c>
      <c r="F73" t="s">
        <v>680</v>
      </c>
      <c r="G73" t="s">
        <v>626</v>
      </c>
      <c r="H73">
        <v>11000000</v>
      </c>
      <c r="I73" t="s">
        <v>44</v>
      </c>
      <c r="J73">
        <v>11000000</v>
      </c>
      <c r="M73">
        <v>45603</v>
      </c>
      <c r="O73">
        <v>46139</v>
      </c>
      <c r="P73" t="s">
        <v>1402</v>
      </c>
      <c r="Q73">
        <v>-461392.22</v>
      </c>
      <c r="R73">
        <v>-445689.46</v>
      </c>
      <c r="S73" t="s">
        <v>44</v>
      </c>
      <c r="T73">
        <v>45735</v>
      </c>
      <c r="U73">
        <v>-15702.76</v>
      </c>
      <c r="V73" t="s">
        <v>1354</v>
      </c>
      <c r="Y73" t="s">
        <v>685</v>
      </c>
    </row>
    <row r="74" spans="2:25" x14ac:dyDescent="0.2">
      <c r="B74" s="141" t="str">
        <f t="shared" si="14"/>
        <v>BDFWD100000109</v>
      </c>
      <c r="C74">
        <v>3051045873</v>
      </c>
      <c r="D74" t="s">
        <v>363</v>
      </c>
      <c r="E74" t="s">
        <v>312</v>
      </c>
      <c r="F74" t="s">
        <v>680</v>
      </c>
      <c r="G74" t="s">
        <v>626</v>
      </c>
      <c r="H74">
        <v>23000000</v>
      </c>
      <c r="I74" t="s">
        <v>44</v>
      </c>
      <c r="J74">
        <v>23000000</v>
      </c>
      <c r="M74">
        <v>45664</v>
      </c>
      <c r="O74">
        <v>46693</v>
      </c>
      <c r="P74" t="s">
        <v>1622</v>
      </c>
      <c r="Q74">
        <v>-884186.09</v>
      </c>
      <c r="R74">
        <v>-844640.23470000003</v>
      </c>
      <c r="S74" t="s">
        <v>44</v>
      </c>
      <c r="T74">
        <v>45735</v>
      </c>
      <c r="U74">
        <v>-39545.855300000003</v>
      </c>
      <c r="V74" t="s">
        <v>1434</v>
      </c>
      <c r="Y74" t="s">
        <v>421</v>
      </c>
    </row>
    <row r="75" spans="2:25" x14ac:dyDescent="0.2">
      <c r="B75" s="141" t="str">
        <f t="shared" si="14"/>
        <v>BDFWD100000108</v>
      </c>
      <c r="C75">
        <v>3051067399</v>
      </c>
      <c r="D75" t="s">
        <v>363</v>
      </c>
      <c r="E75" t="s">
        <v>1623</v>
      </c>
      <c r="F75" t="s">
        <v>680</v>
      </c>
      <c r="G75" t="s">
        <v>626</v>
      </c>
      <c r="H75">
        <v>11000000</v>
      </c>
      <c r="I75" t="s">
        <v>44</v>
      </c>
      <c r="J75">
        <v>11000000</v>
      </c>
      <c r="M75">
        <v>45664</v>
      </c>
      <c r="O75">
        <v>47233</v>
      </c>
      <c r="P75" t="s">
        <v>1624</v>
      </c>
      <c r="Q75">
        <v>-429423.03</v>
      </c>
      <c r="R75">
        <v>-404900.34</v>
      </c>
      <c r="S75" t="s">
        <v>44</v>
      </c>
      <c r="T75">
        <v>45735</v>
      </c>
      <c r="U75">
        <v>-24522.69</v>
      </c>
      <c r="V75" t="s">
        <v>1436</v>
      </c>
      <c r="Y75" t="s">
        <v>1129</v>
      </c>
    </row>
    <row r="76" spans="2:25" x14ac:dyDescent="0.2">
      <c r="B76" s="141" t="str">
        <f t="shared" si="14"/>
        <v>BDFWD100000107</v>
      </c>
      <c r="C76">
        <v>3051067400</v>
      </c>
      <c r="D76" t="s">
        <v>363</v>
      </c>
      <c r="E76" t="s">
        <v>1623</v>
      </c>
      <c r="F76" t="s">
        <v>680</v>
      </c>
      <c r="G76" t="s">
        <v>626</v>
      </c>
      <c r="H76">
        <v>22700000</v>
      </c>
      <c r="I76" t="s">
        <v>44</v>
      </c>
      <c r="J76">
        <v>22700000</v>
      </c>
      <c r="M76">
        <v>45664</v>
      </c>
      <c r="O76">
        <v>46840</v>
      </c>
      <c r="P76" t="s">
        <v>1625</v>
      </c>
      <c r="Q76">
        <v>-850923.82</v>
      </c>
      <c r="R76">
        <v>-827877.65</v>
      </c>
      <c r="S76" t="s">
        <v>44</v>
      </c>
      <c r="T76">
        <v>45735</v>
      </c>
      <c r="U76">
        <v>-23046.17</v>
      </c>
      <c r="V76" t="s">
        <v>1435</v>
      </c>
      <c r="Y76" t="s">
        <v>1129</v>
      </c>
    </row>
    <row r="77" spans="2:25" x14ac:dyDescent="0.2">
      <c r="B77" s="141" t="str">
        <f t="shared" si="14"/>
        <v>BDFWD100000114</v>
      </c>
      <c r="C77">
        <v>3053343501</v>
      </c>
      <c r="D77" t="s">
        <v>363</v>
      </c>
      <c r="E77" t="s">
        <v>312</v>
      </c>
      <c r="F77" t="s">
        <v>680</v>
      </c>
      <c r="G77" t="s">
        <v>626</v>
      </c>
      <c r="H77">
        <v>23000000</v>
      </c>
      <c r="I77" t="s">
        <v>44</v>
      </c>
      <c r="J77">
        <v>23000000</v>
      </c>
      <c r="M77">
        <v>45666</v>
      </c>
      <c r="O77">
        <v>46693</v>
      </c>
      <c r="P77" t="s">
        <v>1622</v>
      </c>
      <c r="Q77">
        <v>-465128.84</v>
      </c>
      <c r="R77">
        <v>-426474.51744800003</v>
      </c>
      <c r="S77" t="s">
        <v>44</v>
      </c>
      <c r="T77">
        <v>45735</v>
      </c>
      <c r="U77">
        <v>-38654.322551999998</v>
      </c>
      <c r="V77" t="s">
        <v>1445</v>
      </c>
      <c r="Y77" t="s">
        <v>421</v>
      </c>
    </row>
    <row r="78" spans="2:25" x14ac:dyDescent="0.2">
      <c r="B78" s="141" t="str">
        <f t="shared" si="14"/>
        <v>BDFWD100000115</v>
      </c>
      <c r="C78">
        <v>3053854633</v>
      </c>
      <c r="D78" t="s">
        <v>363</v>
      </c>
      <c r="E78" t="s">
        <v>683</v>
      </c>
      <c r="F78" t="s">
        <v>680</v>
      </c>
      <c r="G78" t="s">
        <v>626</v>
      </c>
      <c r="H78">
        <v>20000000</v>
      </c>
      <c r="I78" t="s">
        <v>44</v>
      </c>
      <c r="J78">
        <v>20000000</v>
      </c>
      <c r="M78">
        <v>45666</v>
      </c>
      <c r="O78">
        <v>47233</v>
      </c>
      <c r="P78" t="s">
        <v>1626</v>
      </c>
      <c r="Q78">
        <v>-448395.49</v>
      </c>
      <c r="R78">
        <v>-396756.58</v>
      </c>
      <c r="S78" t="s">
        <v>44</v>
      </c>
      <c r="T78">
        <v>45735</v>
      </c>
      <c r="U78">
        <v>-51638.91</v>
      </c>
      <c r="V78" t="s">
        <v>1446</v>
      </c>
      <c r="Y78" t="s">
        <v>685</v>
      </c>
    </row>
    <row r="79" spans="2:25" x14ac:dyDescent="0.2">
      <c r="B79" s="141" t="str">
        <f t="shared" si="14"/>
        <v>BDFWD100000113</v>
      </c>
      <c r="C79">
        <v>3053854634</v>
      </c>
      <c r="D79" t="s">
        <v>363</v>
      </c>
      <c r="E79" t="s">
        <v>683</v>
      </c>
      <c r="F79" t="s">
        <v>680</v>
      </c>
      <c r="G79" t="s">
        <v>626</v>
      </c>
      <c r="H79">
        <v>17000000</v>
      </c>
      <c r="I79" t="s">
        <v>44</v>
      </c>
      <c r="J79">
        <v>17000000</v>
      </c>
      <c r="M79">
        <v>45666</v>
      </c>
      <c r="O79">
        <v>46139</v>
      </c>
      <c r="P79" t="s">
        <v>1402</v>
      </c>
      <c r="Q79">
        <v>-317614.31</v>
      </c>
      <c r="R79">
        <v>-295484.58</v>
      </c>
      <c r="S79" t="s">
        <v>44</v>
      </c>
      <c r="T79">
        <v>45735</v>
      </c>
      <c r="U79">
        <v>-22129.73</v>
      </c>
      <c r="V79" t="s">
        <v>1444</v>
      </c>
      <c r="Y79" t="s">
        <v>685</v>
      </c>
    </row>
    <row r="80" spans="2:25" x14ac:dyDescent="0.2">
      <c r="B80" s="141" t="str">
        <f t="shared" si="14"/>
        <v>BDFWD100000120</v>
      </c>
      <c r="C80">
        <v>3070983609</v>
      </c>
      <c r="D80" t="s">
        <v>363</v>
      </c>
      <c r="E80" t="s">
        <v>637</v>
      </c>
      <c r="F80" t="s">
        <v>680</v>
      </c>
      <c r="G80" t="s">
        <v>626</v>
      </c>
      <c r="H80">
        <v>20500000</v>
      </c>
      <c r="I80" t="s">
        <v>44</v>
      </c>
      <c r="J80">
        <v>20500000</v>
      </c>
      <c r="M80">
        <v>45670</v>
      </c>
      <c r="O80">
        <v>47233</v>
      </c>
      <c r="P80" t="s">
        <v>1627</v>
      </c>
      <c r="Q80">
        <v>-340310.24</v>
      </c>
      <c r="R80">
        <v>-304573.79599999997</v>
      </c>
      <c r="S80" t="s">
        <v>44</v>
      </c>
      <c r="T80">
        <v>45735</v>
      </c>
      <c r="U80">
        <v>-35736.444000000003</v>
      </c>
      <c r="V80" t="s">
        <v>1455</v>
      </c>
      <c r="Y80" t="s">
        <v>638</v>
      </c>
    </row>
    <row r="81" spans="2:25" x14ac:dyDescent="0.2">
      <c r="B81" s="141" t="str">
        <f t="shared" si="14"/>
        <v>BDFWD100000132</v>
      </c>
      <c r="C81">
        <v>3101241448</v>
      </c>
      <c r="D81" t="s">
        <v>363</v>
      </c>
      <c r="E81" t="s">
        <v>642</v>
      </c>
      <c r="F81" t="s">
        <v>680</v>
      </c>
      <c r="G81" t="s">
        <v>626</v>
      </c>
      <c r="H81">
        <v>23500000</v>
      </c>
      <c r="I81" t="s">
        <v>44</v>
      </c>
      <c r="J81">
        <v>23500000</v>
      </c>
      <c r="M81">
        <v>45722</v>
      </c>
      <c r="O81">
        <v>46693</v>
      </c>
      <c r="P81" t="s">
        <v>1628</v>
      </c>
      <c r="Q81">
        <v>11464.58</v>
      </c>
      <c r="R81">
        <v>39751.294000000002</v>
      </c>
      <c r="S81" t="s">
        <v>44</v>
      </c>
      <c r="T81">
        <v>45735</v>
      </c>
      <c r="U81">
        <v>-28286.714</v>
      </c>
      <c r="V81" t="s">
        <v>1615</v>
      </c>
      <c r="Y81" t="s">
        <v>643</v>
      </c>
    </row>
    <row r="82" spans="2:25" x14ac:dyDescent="0.2">
      <c r="B82" s="141" t="str">
        <f t="shared" si="14"/>
        <v>BDFWD100000128</v>
      </c>
      <c r="C82">
        <v>3102077893</v>
      </c>
      <c r="D82" t="s">
        <v>363</v>
      </c>
      <c r="E82" t="s">
        <v>313</v>
      </c>
      <c r="F82" t="s">
        <v>680</v>
      </c>
      <c r="G82" t="s">
        <v>626</v>
      </c>
      <c r="H82">
        <v>20000000</v>
      </c>
      <c r="I82" t="s">
        <v>44</v>
      </c>
      <c r="J82">
        <v>20000000</v>
      </c>
      <c r="M82">
        <v>45721</v>
      </c>
      <c r="O82">
        <v>46693</v>
      </c>
      <c r="P82" t="s">
        <v>1629</v>
      </c>
      <c r="Q82">
        <v>-159488.29999999999</v>
      </c>
      <c r="R82">
        <v>-136104.32999999999</v>
      </c>
      <c r="S82" t="s">
        <v>44</v>
      </c>
      <c r="T82">
        <v>45735</v>
      </c>
      <c r="U82">
        <v>-23383.97</v>
      </c>
      <c r="V82" t="s">
        <v>1611</v>
      </c>
      <c r="Y82" t="s">
        <v>1390</v>
      </c>
    </row>
    <row r="83" spans="2:25" x14ac:dyDescent="0.2">
      <c r="B83" s="141" t="str">
        <f t="shared" si="14"/>
        <v>BDFWD100000133</v>
      </c>
      <c r="C83">
        <v>3102126562</v>
      </c>
      <c r="D83" t="s">
        <v>363</v>
      </c>
      <c r="E83" t="s">
        <v>683</v>
      </c>
      <c r="F83" t="s">
        <v>680</v>
      </c>
      <c r="G83" t="s">
        <v>626</v>
      </c>
      <c r="H83">
        <v>23000000</v>
      </c>
      <c r="I83" t="s">
        <v>44</v>
      </c>
      <c r="J83">
        <v>23000000</v>
      </c>
      <c r="M83">
        <v>45722</v>
      </c>
      <c r="O83">
        <v>46840</v>
      </c>
      <c r="P83" t="s">
        <v>1630</v>
      </c>
      <c r="Q83">
        <v>-53778.39</v>
      </c>
      <c r="R83">
        <v>-25519.94</v>
      </c>
      <c r="S83" t="s">
        <v>44</v>
      </c>
      <c r="T83">
        <v>45735</v>
      </c>
      <c r="U83">
        <v>-28258.45</v>
      </c>
      <c r="V83" t="s">
        <v>1616</v>
      </c>
      <c r="Y83" t="s">
        <v>685</v>
      </c>
    </row>
    <row r="84" spans="2:25" x14ac:dyDescent="0.2">
      <c r="B84" s="141" t="str">
        <f t="shared" si="14"/>
        <v>BDFWD100000127</v>
      </c>
      <c r="C84">
        <v>3102155732</v>
      </c>
      <c r="D84" t="s">
        <v>363</v>
      </c>
      <c r="E84" t="s">
        <v>683</v>
      </c>
      <c r="F84" t="s">
        <v>680</v>
      </c>
      <c r="G84" t="s">
        <v>626</v>
      </c>
      <c r="H84">
        <v>20000000</v>
      </c>
      <c r="I84" t="s">
        <v>44</v>
      </c>
      <c r="J84">
        <v>20000000</v>
      </c>
      <c r="M84">
        <v>45721</v>
      </c>
      <c r="O84">
        <v>46840</v>
      </c>
      <c r="P84" t="s">
        <v>1630</v>
      </c>
      <c r="Q84">
        <v>-169068.25</v>
      </c>
      <c r="R84">
        <v>-144192.87</v>
      </c>
      <c r="S84" t="s">
        <v>44</v>
      </c>
      <c r="T84">
        <v>45735</v>
      </c>
      <c r="U84">
        <v>-24875.38</v>
      </c>
      <c r="V84" t="s">
        <v>1614</v>
      </c>
      <c r="Y84" t="s">
        <v>685</v>
      </c>
    </row>
    <row r="85" spans="2:25" x14ac:dyDescent="0.2">
      <c r="B85" s="141" t="str">
        <f t="shared" si="14"/>
        <v>BDFWD100000126</v>
      </c>
      <c r="C85">
        <v>3102155733</v>
      </c>
      <c r="D85" t="s">
        <v>363</v>
      </c>
      <c r="E85" t="s">
        <v>683</v>
      </c>
      <c r="F85" t="s">
        <v>680</v>
      </c>
      <c r="G85" t="s">
        <v>626</v>
      </c>
      <c r="H85">
        <v>15000000</v>
      </c>
      <c r="I85" t="s">
        <v>44</v>
      </c>
      <c r="J85">
        <v>15000000</v>
      </c>
      <c r="M85">
        <v>45721</v>
      </c>
      <c r="O85">
        <v>46139</v>
      </c>
      <c r="P85" t="s">
        <v>1631</v>
      </c>
      <c r="Q85">
        <v>-90996.81</v>
      </c>
      <c r="R85">
        <v>-82277.070000000007</v>
      </c>
      <c r="S85" t="s">
        <v>44</v>
      </c>
      <c r="T85">
        <v>45735</v>
      </c>
      <c r="U85">
        <v>-8719.74</v>
      </c>
      <c r="V85" t="s">
        <v>1609</v>
      </c>
      <c r="Y85" t="s">
        <v>685</v>
      </c>
    </row>
    <row r="86" spans="2:25" x14ac:dyDescent="0.2">
      <c r="B86" s="141" t="str">
        <f t="shared" si="14"/>
        <v>BDFWD100000135</v>
      </c>
      <c r="C86">
        <v>3106012851</v>
      </c>
      <c r="D86" t="s">
        <v>363</v>
      </c>
      <c r="E86" t="s">
        <v>683</v>
      </c>
      <c r="F86" t="s">
        <v>680</v>
      </c>
      <c r="G86" t="s">
        <v>626</v>
      </c>
      <c r="H86">
        <v>20000000</v>
      </c>
      <c r="I86" t="s">
        <v>44</v>
      </c>
      <c r="J86">
        <v>20000000</v>
      </c>
      <c r="M86">
        <v>45727</v>
      </c>
      <c r="O86">
        <v>47233</v>
      </c>
      <c r="P86" t="s">
        <v>1632</v>
      </c>
      <c r="Q86">
        <v>16585.47</v>
      </c>
      <c r="R86">
        <v>49835.49</v>
      </c>
      <c r="S86" t="s">
        <v>44</v>
      </c>
      <c r="T86">
        <v>45735</v>
      </c>
      <c r="U86">
        <v>-33250.019999999997</v>
      </c>
      <c r="V86" t="s">
        <v>1621</v>
      </c>
      <c r="Y86" t="s">
        <v>685</v>
      </c>
    </row>
    <row r="87" spans="2:25" x14ac:dyDescent="0.2">
      <c r="B87" s="141" t="str">
        <f t="shared" si="14"/>
        <v>BDFWD100000140</v>
      </c>
      <c r="C87">
        <v>3108650228</v>
      </c>
      <c r="D87" t="s">
        <v>363</v>
      </c>
      <c r="E87" t="s">
        <v>637</v>
      </c>
      <c r="F87" t="s">
        <v>680</v>
      </c>
      <c r="G87" t="s">
        <v>626</v>
      </c>
      <c r="H87">
        <v>18500000</v>
      </c>
      <c r="I87" t="s">
        <v>44</v>
      </c>
      <c r="J87">
        <v>18500000</v>
      </c>
      <c r="M87">
        <v>45730</v>
      </c>
      <c r="O87">
        <v>47233</v>
      </c>
      <c r="P87" t="s">
        <v>1647</v>
      </c>
      <c r="Q87">
        <v>193700</v>
      </c>
      <c r="R87">
        <v>0</v>
      </c>
      <c r="S87" t="s">
        <v>44</v>
      </c>
      <c r="T87">
        <v>45735</v>
      </c>
      <c r="U87">
        <v>193700.53</v>
      </c>
      <c r="V87" t="s">
        <v>1610</v>
      </c>
      <c r="Y87" t="s">
        <v>638</v>
      </c>
    </row>
    <row r="88" spans="2:25" x14ac:dyDescent="0.2">
      <c r="B88" s="141" t="str">
        <f t="shared" si="14"/>
        <v>BDFWD100000139</v>
      </c>
      <c r="C88">
        <v>3109472442</v>
      </c>
      <c r="D88" t="s">
        <v>363</v>
      </c>
      <c r="E88" t="s">
        <v>683</v>
      </c>
      <c r="F88" t="s">
        <v>680</v>
      </c>
      <c r="G88" t="s">
        <v>626</v>
      </c>
      <c r="H88">
        <v>12000000</v>
      </c>
      <c r="I88" t="s">
        <v>44</v>
      </c>
      <c r="J88">
        <v>12000000</v>
      </c>
      <c r="M88">
        <v>46139</v>
      </c>
      <c r="O88">
        <v>46139</v>
      </c>
      <c r="P88" t="s">
        <v>1631</v>
      </c>
      <c r="Q88">
        <v>209623.79</v>
      </c>
      <c r="R88">
        <v>216327.31</v>
      </c>
      <c r="S88" t="s">
        <v>44</v>
      </c>
      <c r="T88">
        <v>45735</v>
      </c>
      <c r="U88">
        <v>-6703.2</v>
      </c>
      <c r="V88" t="s">
        <v>1608</v>
      </c>
      <c r="Y88" t="s">
        <v>685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4"/>
  <dimension ref="A1:X54"/>
  <sheetViews>
    <sheetView workbookViewId="0">
      <selection activeCell="A2" sqref="A2"/>
    </sheetView>
  </sheetViews>
  <sheetFormatPr baseColWidth="10" defaultRowHeight="12.75" x14ac:dyDescent="0.2"/>
  <cols>
    <col min="2" max="2" width="22.140625" style="19" bestFit="1" customWidth="1"/>
    <col min="3" max="3" width="33.7109375" style="19" bestFit="1" customWidth="1"/>
    <col min="4" max="4" width="17.140625" style="19" bestFit="1" customWidth="1"/>
    <col min="5" max="5" width="13.140625" style="19" customWidth="1"/>
    <col min="6" max="6" width="12" style="19" bestFit="1" customWidth="1"/>
    <col min="7" max="8" width="14.5703125" style="19" bestFit="1" customWidth="1"/>
    <col min="9" max="9" width="13.140625" style="19" customWidth="1"/>
    <col min="10" max="10" width="13.85546875" style="19" customWidth="1"/>
    <col min="11" max="11" width="11.42578125" style="19"/>
    <col min="12" max="12" width="17.140625" style="77" customWidth="1"/>
    <col min="13" max="14" width="12.85546875" style="19" customWidth="1"/>
    <col min="15" max="15" width="14.85546875" style="19" customWidth="1"/>
    <col min="16" max="16" width="18.5703125" style="19" customWidth="1"/>
    <col min="17" max="19" width="11.42578125" style="19"/>
    <col min="20" max="20" width="13.5703125" style="19" customWidth="1"/>
    <col min="21" max="21" width="23" style="19" bestFit="1" customWidth="1"/>
  </cols>
  <sheetData>
    <row r="1" spans="1:24" x14ac:dyDescent="0.2">
      <c r="A1" t="s">
        <v>367</v>
      </c>
      <c r="B1" s="72" t="s">
        <v>307</v>
      </c>
      <c r="C1" s="72" t="s">
        <v>355</v>
      </c>
      <c r="D1" s="72" t="s">
        <v>356</v>
      </c>
      <c r="E1" s="72" t="s">
        <v>310</v>
      </c>
      <c r="F1" s="72" t="s">
        <v>308</v>
      </c>
      <c r="G1" s="72" t="s">
        <v>357</v>
      </c>
      <c r="H1" s="72" t="s">
        <v>358</v>
      </c>
      <c r="I1" s="72" t="s">
        <v>359</v>
      </c>
      <c r="J1" s="72" t="s">
        <v>360</v>
      </c>
      <c r="K1" s="72" t="s">
        <v>361</v>
      </c>
      <c r="L1" s="73" t="s">
        <v>309</v>
      </c>
      <c r="M1" s="72" t="s">
        <v>362</v>
      </c>
      <c r="N1" s="72" t="s">
        <v>329</v>
      </c>
      <c r="O1" s="72" t="s">
        <v>330</v>
      </c>
      <c r="Q1" s="72" t="s">
        <v>362</v>
      </c>
      <c r="R1" s="72" t="s">
        <v>329</v>
      </c>
      <c r="S1" s="72" t="s">
        <v>330</v>
      </c>
      <c r="T1" s="72" t="s">
        <v>366</v>
      </c>
      <c r="U1" s="72" t="s">
        <v>304</v>
      </c>
      <c r="X1" s="74" t="s">
        <v>331</v>
      </c>
    </row>
    <row r="2" spans="1:24" x14ac:dyDescent="0.2">
      <c r="A2">
        <f t="shared" ref="A2:C6" si="0">+A30</f>
        <v>0</v>
      </c>
      <c r="B2" s="19">
        <f t="shared" si="0"/>
        <v>0</v>
      </c>
      <c r="C2" s="19">
        <f t="shared" si="0"/>
        <v>0</v>
      </c>
      <c r="D2" s="19">
        <f t="shared" ref="D2:E5" si="1">+E30</f>
        <v>0</v>
      </c>
      <c r="E2" s="75">
        <f t="shared" si="1"/>
        <v>0</v>
      </c>
      <c r="F2" s="19">
        <f t="shared" ref="F2:F5" si="2">G30</f>
        <v>0</v>
      </c>
      <c r="G2" s="75">
        <f t="shared" ref="G2:G5" si="3">+H30</f>
        <v>0</v>
      </c>
      <c r="H2" s="19">
        <f t="shared" ref="H2:H5" si="4">J30</f>
        <v>0</v>
      </c>
      <c r="I2" s="76">
        <f t="shared" ref="I2:I5" si="5">+K30</f>
        <v>0</v>
      </c>
      <c r="J2" s="76">
        <f t="shared" ref="J2:J5" si="6">+L30</f>
        <v>0</v>
      </c>
      <c r="K2" s="76">
        <f t="shared" ref="K2:K5" si="7">+M30</f>
        <v>0</v>
      </c>
      <c r="L2" s="77">
        <f t="shared" ref="L2:L5" si="8">+Q30</f>
        <v>0</v>
      </c>
      <c r="M2" s="75">
        <f t="shared" ref="M2:M5" si="9">+O30</f>
        <v>0</v>
      </c>
      <c r="N2" s="75">
        <f t="shared" ref="N2:N5" si="10">+P30</f>
        <v>0</v>
      </c>
      <c r="O2" s="75">
        <f t="shared" ref="O2:O5" si="11">+S30</f>
        <v>0</v>
      </c>
      <c r="Q2" s="78" t="e">
        <f t="shared" ref="Q2:Q5" si="12">M2/$G2</f>
        <v>#DIV/0!</v>
      </c>
      <c r="R2" s="78" t="e">
        <f t="shared" ref="R2:R5" si="13">N2/$G2</f>
        <v>#DIV/0!</v>
      </c>
      <c r="S2" s="78" t="e">
        <f t="shared" ref="S2:S5" si="14">O2/$G2</f>
        <v>#DIV/0!</v>
      </c>
      <c r="T2" s="19">
        <f t="shared" ref="T2:T15" si="15">$E$51</f>
        <v>397.15</v>
      </c>
      <c r="U2" s="19" t="e">
        <f t="shared" ref="U2:U5" si="16">IF(ABS(Q2-R2)&gt;0.4%,"alerte","")</f>
        <v>#DIV/0!</v>
      </c>
      <c r="X2" s="19">
        <f t="shared" ref="X2:X5" si="17">+T30</f>
        <v>0</v>
      </c>
    </row>
    <row r="3" spans="1:24" x14ac:dyDescent="0.2">
      <c r="A3">
        <f t="shared" si="0"/>
        <v>0</v>
      </c>
      <c r="B3" s="19">
        <f t="shared" si="0"/>
        <v>0</v>
      </c>
      <c r="C3" s="19">
        <f t="shared" si="0"/>
        <v>0</v>
      </c>
      <c r="D3" s="19">
        <f t="shared" si="1"/>
        <v>0</v>
      </c>
      <c r="E3" s="75">
        <f t="shared" si="1"/>
        <v>0</v>
      </c>
      <c r="F3" s="19">
        <f t="shared" si="2"/>
        <v>0</v>
      </c>
      <c r="G3" s="75">
        <f t="shared" si="3"/>
        <v>0</v>
      </c>
      <c r="H3" s="19">
        <f t="shared" si="4"/>
        <v>0</v>
      </c>
      <c r="I3" s="76">
        <f t="shared" si="5"/>
        <v>0</v>
      </c>
      <c r="J3" s="76">
        <f t="shared" si="6"/>
        <v>0</v>
      </c>
      <c r="K3" s="76">
        <f t="shared" si="7"/>
        <v>0</v>
      </c>
      <c r="L3" s="77">
        <f t="shared" si="8"/>
        <v>0</v>
      </c>
      <c r="M3" s="75">
        <f t="shared" si="9"/>
        <v>0</v>
      </c>
      <c r="N3" s="75">
        <f t="shared" si="10"/>
        <v>0</v>
      </c>
      <c r="O3" s="75">
        <f t="shared" si="11"/>
        <v>0</v>
      </c>
      <c r="Q3" s="78" t="e">
        <f t="shared" si="12"/>
        <v>#DIV/0!</v>
      </c>
      <c r="R3" s="78" t="e">
        <f t="shared" si="13"/>
        <v>#DIV/0!</v>
      </c>
      <c r="S3" s="78" t="e">
        <f t="shared" si="14"/>
        <v>#DIV/0!</v>
      </c>
      <c r="T3" s="19">
        <f t="shared" si="15"/>
        <v>397.15</v>
      </c>
      <c r="U3" s="19" t="e">
        <f t="shared" si="16"/>
        <v>#DIV/0!</v>
      </c>
      <c r="X3" s="19">
        <f t="shared" si="17"/>
        <v>0</v>
      </c>
    </row>
    <row r="4" spans="1:24" x14ac:dyDescent="0.2">
      <c r="A4">
        <f t="shared" si="0"/>
        <v>0</v>
      </c>
      <c r="B4" s="19">
        <f t="shared" si="0"/>
        <v>0</v>
      </c>
      <c r="C4" s="19">
        <f t="shared" si="0"/>
        <v>0</v>
      </c>
      <c r="D4" s="19">
        <f t="shared" si="1"/>
        <v>0</v>
      </c>
      <c r="E4" s="75">
        <f t="shared" si="1"/>
        <v>0</v>
      </c>
      <c r="F4" s="19">
        <f t="shared" si="2"/>
        <v>0</v>
      </c>
      <c r="G4" s="75">
        <f t="shared" si="3"/>
        <v>0</v>
      </c>
      <c r="H4" s="19">
        <f t="shared" si="4"/>
        <v>0</v>
      </c>
      <c r="I4" s="76">
        <f t="shared" si="5"/>
        <v>0</v>
      </c>
      <c r="J4" s="76">
        <f t="shared" si="6"/>
        <v>0</v>
      </c>
      <c r="K4" s="76">
        <f t="shared" si="7"/>
        <v>0</v>
      </c>
      <c r="L4" s="77">
        <f t="shared" si="8"/>
        <v>0</v>
      </c>
      <c r="M4" s="75">
        <f>+O32</f>
        <v>0</v>
      </c>
      <c r="N4" s="75">
        <f t="shared" si="10"/>
        <v>0</v>
      </c>
      <c r="O4" s="75">
        <f t="shared" si="11"/>
        <v>0</v>
      </c>
      <c r="Q4" s="78" t="e">
        <f t="shared" si="12"/>
        <v>#DIV/0!</v>
      </c>
      <c r="R4" s="78" t="e">
        <f t="shared" si="13"/>
        <v>#DIV/0!</v>
      </c>
      <c r="S4" s="78" t="e">
        <f t="shared" si="14"/>
        <v>#DIV/0!</v>
      </c>
      <c r="T4" s="19">
        <f t="shared" si="15"/>
        <v>397.15</v>
      </c>
      <c r="U4" s="19" t="e">
        <f t="shared" si="16"/>
        <v>#DIV/0!</v>
      </c>
      <c r="X4" s="19">
        <f t="shared" si="17"/>
        <v>0</v>
      </c>
    </row>
    <row r="5" spans="1:24" x14ac:dyDescent="0.2">
      <c r="A5">
        <f t="shared" si="0"/>
        <v>0</v>
      </c>
      <c r="B5" s="19">
        <f t="shared" si="0"/>
        <v>0</v>
      </c>
      <c r="C5" s="19">
        <f t="shared" si="0"/>
        <v>0</v>
      </c>
      <c r="D5" s="19">
        <f t="shared" si="1"/>
        <v>0</v>
      </c>
      <c r="E5" s="75">
        <f t="shared" si="1"/>
        <v>0</v>
      </c>
      <c r="F5" s="19">
        <f t="shared" si="2"/>
        <v>0</v>
      </c>
      <c r="G5" s="75">
        <f t="shared" si="3"/>
        <v>0</v>
      </c>
      <c r="H5" s="19">
        <f t="shared" si="4"/>
        <v>0</v>
      </c>
      <c r="I5" s="76">
        <f t="shared" si="5"/>
        <v>0</v>
      </c>
      <c r="J5" s="76">
        <f t="shared" si="6"/>
        <v>0</v>
      </c>
      <c r="K5" s="76">
        <f t="shared" si="7"/>
        <v>0</v>
      </c>
      <c r="L5" s="77">
        <f t="shared" si="8"/>
        <v>0</v>
      </c>
      <c r="M5" s="75">
        <f t="shared" si="9"/>
        <v>0</v>
      </c>
      <c r="N5" s="75">
        <f t="shared" si="10"/>
        <v>0</v>
      </c>
      <c r="O5" s="75">
        <f t="shared" si="11"/>
        <v>0</v>
      </c>
      <c r="Q5" s="78" t="e">
        <f t="shared" si="12"/>
        <v>#DIV/0!</v>
      </c>
      <c r="R5" s="78" t="e">
        <f t="shared" si="13"/>
        <v>#DIV/0!</v>
      </c>
      <c r="S5" s="78" t="e">
        <f t="shared" si="14"/>
        <v>#DIV/0!</v>
      </c>
      <c r="T5" s="19">
        <f t="shared" si="15"/>
        <v>397.15</v>
      </c>
      <c r="U5" s="19" t="e">
        <f t="shared" si="16"/>
        <v>#DIV/0!</v>
      </c>
      <c r="X5" s="19">
        <f t="shared" si="17"/>
        <v>0</v>
      </c>
    </row>
    <row r="6" spans="1:24" x14ac:dyDescent="0.2">
      <c r="A6">
        <f t="shared" si="0"/>
        <v>0</v>
      </c>
      <c r="B6" s="19">
        <f t="shared" si="0"/>
        <v>0</v>
      </c>
      <c r="C6" s="19">
        <f t="shared" si="0"/>
        <v>0</v>
      </c>
      <c r="D6" s="19">
        <f t="shared" ref="D6" si="18">+E34</f>
        <v>0</v>
      </c>
      <c r="E6" s="75">
        <f t="shared" ref="E6" si="19">+F34</f>
        <v>0</v>
      </c>
      <c r="F6" s="19">
        <f t="shared" ref="F6" si="20">G34</f>
        <v>0</v>
      </c>
      <c r="G6" s="75">
        <f t="shared" ref="G6" si="21">+H34</f>
        <v>0</v>
      </c>
      <c r="H6" s="19">
        <f t="shared" ref="H6" si="22">J34</f>
        <v>0</v>
      </c>
      <c r="I6" s="76">
        <f t="shared" ref="I6" si="23">+K34</f>
        <v>0</v>
      </c>
      <c r="J6" s="76">
        <f t="shared" ref="J6" si="24">+L34</f>
        <v>0</v>
      </c>
      <c r="K6" s="76">
        <f t="shared" ref="K6" si="25">+M34</f>
        <v>0</v>
      </c>
      <c r="L6" s="77">
        <f t="shared" ref="L6" si="26">+Q34</f>
        <v>0</v>
      </c>
      <c r="M6" s="75">
        <f t="shared" ref="M6" si="27">+O34</f>
        <v>0</v>
      </c>
      <c r="N6" s="75">
        <f t="shared" ref="N6" si="28">+P34</f>
        <v>0</v>
      </c>
      <c r="O6" s="75">
        <f t="shared" ref="O6" si="29">+S34</f>
        <v>0</v>
      </c>
      <c r="Q6" s="78" t="e">
        <f t="shared" ref="Q6" si="30">M6/$G6</f>
        <v>#DIV/0!</v>
      </c>
      <c r="R6" s="78" t="e">
        <f t="shared" ref="R6" si="31">N6/$G6</f>
        <v>#DIV/0!</v>
      </c>
      <c r="S6" s="78" t="e">
        <f t="shared" ref="S6" si="32">O6/$G6</f>
        <v>#DIV/0!</v>
      </c>
      <c r="T6" s="19">
        <f t="shared" si="15"/>
        <v>397.15</v>
      </c>
      <c r="U6" s="19" t="e">
        <f t="shared" ref="U6" si="33">IF(ABS(Q6-R6)&gt;0.4%,"alerte","")</f>
        <v>#DIV/0!</v>
      </c>
      <c r="X6" s="19">
        <f t="shared" ref="X6" si="34">+T34</f>
        <v>0</v>
      </c>
    </row>
    <row r="7" spans="1:24" x14ac:dyDescent="0.2">
      <c r="A7">
        <f t="shared" ref="A7:C7" si="35">+A35</f>
        <v>0</v>
      </c>
      <c r="B7" s="19">
        <f t="shared" si="35"/>
        <v>0</v>
      </c>
      <c r="C7" s="19">
        <f t="shared" si="35"/>
        <v>0</v>
      </c>
      <c r="D7" s="19">
        <f t="shared" ref="D7:D15" si="36">+E35</f>
        <v>0</v>
      </c>
      <c r="E7" s="75">
        <f t="shared" ref="E7:E15" si="37">+F35</f>
        <v>0</v>
      </c>
      <c r="F7" s="19">
        <f t="shared" ref="F7:F15" si="38">G35</f>
        <v>0</v>
      </c>
      <c r="G7" s="75">
        <f t="shared" ref="G7:G15" si="39">+H35</f>
        <v>0</v>
      </c>
      <c r="H7" s="19">
        <f t="shared" ref="H7:H15" si="40">J35</f>
        <v>0</v>
      </c>
      <c r="I7" s="76">
        <f t="shared" ref="I7:I15" si="41">+K35</f>
        <v>0</v>
      </c>
      <c r="J7" s="76">
        <f t="shared" ref="J7:J15" si="42">+L35</f>
        <v>0</v>
      </c>
      <c r="K7" s="76">
        <f t="shared" ref="K7:K15" si="43">+M35</f>
        <v>0</v>
      </c>
      <c r="L7" s="77">
        <f t="shared" ref="L7:L15" si="44">+Q35</f>
        <v>0</v>
      </c>
      <c r="M7" s="75">
        <f t="shared" ref="M7:M15" si="45">+O35</f>
        <v>0</v>
      </c>
      <c r="N7" s="75">
        <f t="shared" ref="N7:N15" si="46">+P35</f>
        <v>0</v>
      </c>
      <c r="O7" s="75">
        <f t="shared" ref="O7:O15" si="47">+S35</f>
        <v>0</v>
      </c>
      <c r="Q7" s="78" t="e">
        <f t="shared" ref="Q7:Q15" si="48">M7/$G7</f>
        <v>#DIV/0!</v>
      </c>
      <c r="R7" s="78" t="e">
        <f t="shared" ref="R7:R15" si="49">N7/$G7</f>
        <v>#DIV/0!</v>
      </c>
      <c r="S7" s="78" t="e">
        <f t="shared" ref="S7:S15" si="50">O7/$G7</f>
        <v>#DIV/0!</v>
      </c>
      <c r="T7" s="19">
        <f t="shared" si="15"/>
        <v>397.15</v>
      </c>
      <c r="U7" s="19" t="e">
        <f t="shared" ref="U7:U15" si="51">IF(ABS(Q7-R7)&gt;0.4%,"alerte","")</f>
        <v>#DIV/0!</v>
      </c>
      <c r="X7" s="19">
        <f t="shared" ref="X7:X15" si="52">+T35</f>
        <v>0</v>
      </c>
    </row>
    <row r="8" spans="1:24" x14ac:dyDescent="0.2">
      <c r="A8">
        <f t="shared" ref="A8:C8" si="53">+A36</f>
        <v>0</v>
      </c>
      <c r="B8" s="19">
        <f t="shared" si="53"/>
        <v>0</v>
      </c>
      <c r="C8" s="19">
        <f t="shared" si="53"/>
        <v>0</v>
      </c>
      <c r="D8" s="19">
        <f t="shared" si="36"/>
        <v>0</v>
      </c>
      <c r="E8" s="75">
        <f t="shared" si="37"/>
        <v>0</v>
      </c>
      <c r="F8" s="19">
        <f t="shared" si="38"/>
        <v>0</v>
      </c>
      <c r="G8" s="75">
        <f t="shared" si="39"/>
        <v>0</v>
      </c>
      <c r="H8" s="19">
        <f t="shared" si="40"/>
        <v>0</v>
      </c>
      <c r="I8" s="76">
        <f t="shared" si="41"/>
        <v>0</v>
      </c>
      <c r="J8" s="76">
        <f t="shared" si="42"/>
        <v>0</v>
      </c>
      <c r="K8" s="76">
        <f t="shared" si="43"/>
        <v>0</v>
      </c>
      <c r="L8" s="77">
        <f t="shared" si="44"/>
        <v>0</v>
      </c>
      <c r="M8" s="75">
        <f t="shared" si="45"/>
        <v>0</v>
      </c>
      <c r="N8" s="75">
        <f t="shared" si="46"/>
        <v>0</v>
      </c>
      <c r="O8" s="75">
        <f t="shared" si="47"/>
        <v>0</v>
      </c>
      <c r="Q8" s="78" t="e">
        <f t="shared" si="48"/>
        <v>#DIV/0!</v>
      </c>
      <c r="R8" s="78" t="e">
        <f t="shared" si="49"/>
        <v>#DIV/0!</v>
      </c>
      <c r="S8" s="78" t="e">
        <f t="shared" si="50"/>
        <v>#DIV/0!</v>
      </c>
      <c r="T8" s="19">
        <f t="shared" si="15"/>
        <v>397.15</v>
      </c>
      <c r="U8" s="19" t="e">
        <f t="shared" si="51"/>
        <v>#DIV/0!</v>
      </c>
      <c r="X8" s="19">
        <f t="shared" si="52"/>
        <v>0</v>
      </c>
    </row>
    <row r="9" spans="1:24" x14ac:dyDescent="0.2">
      <c r="A9">
        <f t="shared" ref="A9:C9" si="54">+A37</f>
        <v>0</v>
      </c>
      <c r="B9" s="19">
        <f t="shared" si="54"/>
        <v>0</v>
      </c>
      <c r="C9" s="19">
        <f t="shared" si="54"/>
        <v>0</v>
      </c>
      <c r="D9" s="19">
        <f t="shared" si="36"/>
        <v>0</v>
      </c>
      <c r="E9" s="75">
        <f t="shared" si="37"/>
        <v>0</v>
      </c>
      <c r="F9" s="19">
        <f t="shared" si="38"/>
        <v>0</v>
      </c>
      <c r="G9" s="75">
        <f t="shared" si="39"/>
        <v>0</v>
      </c>
      <c r="H9" s="19">
        <f t="shared" si="40"/>
        <v>0</v>
      </c>
      <c r="I9" s="76">
        <f t="shared" si="41"/>
        <v>0</v>
      </c>
      <c r="J9" s="76">
        <f t="shared" si="42"/>
        <v>0</v>
      </c>
      <c r="K9" s="76">
        <f t="shared" si="43"/>
        <v>0</v>
      </c>
      <c r="L9" s="77">
        <f t="shared" si="44"/>
        <v>0</v>
      </c>
      <c r="M9" s="75">
        <f t="shared" si="45"/>
        <v>0</v>
      </c>
      <c r="N9" s="75">
        <f t="shared" si="46"/>
        <v>0</v>
      </c>
      <c r="O9" s="75">
        <f t="shared" si="47"/>
        <v>0</v>
      </c>
      <c r="Q9" s="78" t="e">
        <f t="shared" si="48"/>
        <v>#DIV/0!</v>
      </c>
      <c r="R9" s="78" t="e">
        <f t="shared" si="49"/>
        <v>#DIV/0!</v>
      </c>
      <c r="S9" s="78" t="e">
        <f t="shared" si="50"/>
        <v>#DIV/0!</v>
      </c>
      <c r="T9" s="19">
        <f t="shared" si="15"/>
        <v>397.15</v>
      </c>
      <c r="U9" s="19" t="e">
        <f t="shared" si="51"/>
        <v>#DIV/0!</v>
      </c>
      <c r="X9" s="19">
        <f t="shared" si="52"/>
        <v>0</v>
      </c>
    </row>
    <row r="10" spans="1:24" x14ac:dyDescent="0.2">
      <c r="A10">
        <f t="shared" ref="A10:C10" si="55">+A38</f>
        <v>0</v>
      </c>
      <c r="B10" s="19">
        <f t="shared" si="55"/>
        <v>0</v>
      </c>
      <c r="C10" s="19">
        <f t="shared" si="55"/>
        <v>0</v>
      </c>
      <c r="D10" s="19">
        <f t="shared" si="36"/>
        <v>0</v>
      </c>
      <c r="E10" s="75">
        <f t="shared" si="37"/>
        <v>0</v>
      </c>
      <c r="F10" s="19">
        <f t="shared" si="38"/>
        <v>0</v>
      </c>
      <c r="G10" s="75">
        <f t="shared" si="39"/>
        <v>0</v>
      </c>
      <c r="H10" s="19">
        <f t="shared" si="40"/>
        <v>0</v>
      </c>
      <c r="I10" s="76">
        <f t="shared" si="41"/>
        <v>0</v>
      </c>
      <c r="J10" s="76">
        <f t="shared" si="42"/>
        <v>0</v>
      </c>
      <c r="K10" s="76">
        <f t="shared" si="43"/>
        <v>0</v>
      </c>
      <c r="L10" s="77">
        <f t="shared" si="44"/>
        <v>0</v>
      </c>
      <c r="M10" s="75">
        <f t="shared" si="45"/>
        <v>0</v>
      </c>
      <c r="N10" s="75">
        <f t="shared" si="46"/>
        <v>0</v>
      </c>
      <c r="O10" s="75">
        <f t="shared" si="47"/>
        <v>0</v>
      </c>
      <c r="Q10" s="78" t="e">
        <f t="shared" si="48"/>
        <v>#DIV/0!</v>
      </c>
      <c r="R10" s="78" t="e">
        <f t="shared" si="49"/>
        <v>#DIV/0!</v>
      </c>
      <c r="S10" s="78" t="e">
        <f t="shared" si="50"/>
        <v>#DIV/0!</v>
      </c>
      <c r="T10" s="19">
        <f t="shared" si="15"/>
        <v>397.15</v>
      </c>
      <c r="U10" s="19" t="e">
        <f t="shared" si="51"/>
        <v>#DIV/0!</v>
      </c>
      <c r="X10" s="19">
        <f t="shared" si="52"/>
        <v>0</v>
      </c>
    </row>
    <row r="11" spans="1:24" x14ac:dyDescent="0.2">
      <c r="A11">
        <f t="shared" ref="A11:C11" si="56">+A39</f>
        <v>0</v>
      </c>
      <c r="B11" s="19">
        <f t="shared" si="56"/>
        <v>0</v>
      </c>
      <c r="C11" s="19">
        <f t="shared" si="56"/>
        <v>0</v>
      </c>
      <c r="D11" s="19">
        <f t="shared" si="36"/>
        <v>0</v>
      </c>
      <c r="E11" s="75">
        <f t="shared" si="37"/>
        <v>0</v>
      </c>
      <c r="F11" s="19">
        <f t="shared" si="38"/>
        <v>0</v>
      </c>
      <c r="G11" s="75">
        <f t="shared" si="39"/>
        <v>0</v>
      </c>
      <c r="H11" s="19">
        <f t="shared" si="40"/>
        <v>0</v>
      </c>
      <c r="I11" s="76">
        <f t="shared" si="41"/>
        <v>0</v>
      </c>
      <c r="J11" s="76">
        <f t="shared" si="42"/>
        <v>0</v>
      </c>
      <c r="K11" s="76">
        <f t="shared" si="43"/>
        <v>0</v>
      </c>
      <c r="L11" s="77">
        <f t="shared" si="44"/>
        <v>0</v>
      </c>
      <c r="M11" s="75">
        <f t="shared" si="45"/>
        <v>0</v>
      </c>
      <c r="N11" s="75">
        <f t="shared" si="46"/>
        <v>0</v>
      </c>
      <c r="O11" s="75">
        <f t="shared" si="47"/>
        <v>0</v>
      </c>
      <c r="Q11" s="78" t="e">
        <f t="shared" si="48"/>
        <v>#DIV/0!</v>
      </c>
      <c r="R11" s="78" t="e">
        <f t="shared" si="49"/>
        <v>#DIV/0!</v>
      </c>
      <c r="S11" s="78" t="e">
        <f t="shared" si="50"/>
        <v>#DIV/0!</v>
      </c>
      <c r="T11" s="19">
        <f t="shared" si="15"/>
        <v>397.15</v>
      </c>
      <c r="U11" s="19" t="e">
        <f t="shared" si="51"/>
        <v>#DIV/0!</v>
      </c>
      <c r="X11" s="19">
        <f t="shared" si="52"/>
        <v>0</v>
      </c>
    </row>
    <row r="12" spans="1:24" x14ac:dyDescent="0.2">
      <c r="A12">
        <f t="shared" ref="A12:C12" si="57">+A40</f>
        <v>0</v>
      </c>
      <c r="B12" s="19">
        <f t="shared" si="57"/>
        <v>0</v>
      </c>
      <c r="C12" s="19">
        <f t="shared" si="57"/>
        <v>0</v>
      </c>
      <c r="D12" s="19">
        <f t="shared" si="36"/>
        <v>0</v>
      </c>
      <c r="E12" s="75">
        <f t="shared" si="37"/>
        <v>0</v>
      </c>
      <c r="F12" s="19">
        <f t="shared" si="38"/>
        <v>0</v>
      </c>
      <c r="G12" s="75">
        <f t="shared" si="39"/>
        <v>0</v>
      </c>
      <c r="H12" s="19">
        <f t="shared" si="40"/>
        <v>0</v>
      </c>
      <c r="I12" s="76">
        <f t="shared" si="41"/>
        <v>0</v>
      </c>
      <c r="J12" s="76">
        <f t="shared" si="42"/>
        <v>0</v>
      </c>
      <c r="K12" s="76">
        <f t="shared" si="43"/>
        <v>0</v>
      </c>
      <c r="L12" s="77">
        <f t="shared" si="44"/>
        <v>0</v>
      </c>
      <c r="M12" s="75">
        <f t="shared" si="45"/>
        <v>0</v>
      </c>
      <c r="N12" s="75">
        <f t="shared" si="46"/>
        <v>0</v>
      </c>
      <c r="O12" s="75">
        <f t="shared" si="47"/>
        <v>0</v>
      </c>
      <c r="Q12" s="78" t="e">
        <f t="shared" si="48"/>
        <v>#DIV/0!</v>
      </c>
      <c r="R12" s="78" t="e">
        <f t="shared" si="49"/>
        <v>#DIV/0!</v>
      </c>
      <c r="S12" s="78" t="e">
        <f t="shared" si="50"/>
        <v>#DIV/0!</v>
      </c>
      <c r="T12" s="19">
        <f t="shared" si="15"/>
        <v>397.15</v>
      </c>
      <c r="U12" s="19" t="e">
        <f t="shared" si="51"/>
        <v>#DIV/0!</v>
      </c>
      <c r="X12" s="19">
        <f t="shared" si="52"/>
        <v>0</v>
      </c>
    </row>
    <row r="13" spans="1:24" x14ac:dyDescent="0.2">
      <c r="A13">
        <f t="shared" ref="A13:C13" si="58">+A41</f>
        <v>0</v>
      </c>
      <c r="B13" s="19">
        <f t="shared" si="58"/>
        <v>0</v>
      </c>
      <c r="C13" s="19">
        <f t="shared" si="58"/>
        <v>0</v>
      </c>
      <c r="D13" s="19">
        <f t="shared" si="36"/>
        <v>0</v>
      </c>
      <c r="E13" s="75">
        <f t="shared" si="37"/>
        <v>0</v>
      </c>
      <c r="F13" s="19">
        <f t="shared" si="38"/>
        <v>0</v>
      </c>
      <c r="G13" s="75">
        <f t="shared" si="39"/>
        <v>0</v>
      </c>
      <c r="H13" s="19">
        <f t="shared" si="40"/>
        <v>0</v>
      </c>
      <c r="I13" s="76">
        <f t="shared" si="41"/>
        <v>0</v>
      </c>
      <c r="J13" s="76">
        <f t="shared" si="42"/>
        <v>0</v>
      </c>
      <c r="K13" s="76">
        <f t="shared" si="43"/>
        <v>0</v>
      </c>
      <c r="L13" s="77">
        <f t="shared" si="44"/>
        <v>0</v>
      </c>
      <c r="M13" s="75">
        <f t="shared" si="45"/>
        <v>0</v>
      </c>
      <c r="N13" s="75">
        <f t="shared" si="46"/>
        <v>0</v>
      </c>
      <c r="O13" s="75">
        <f t="shared" si="47"/>
        <v>0</v>
      </c>
      <c r="Q13" s="78" t="e">
        <f t="shared" si="48"/>
        <v>#DIV/0!</v>
      </c>
      <c r="R13" s="78" t="e">
        <f t="shared" si="49"/>
        <v>#DIV/0!</v>
      </c>
      <c r="S13" s="78" t="e">
        <f t="shared" si="50"/>
        <v>#DIV/0!</v>
      </c>
      <c r="T13" s="19">
        <f t="shared" si="15"/>
        <v>397.15</v>
      </c>
      <c r="U13" s="19" t="e">
        <f t="shared" si="51"/>
        <v>#DIV/0!</v>
      </c>
      <c r="X13" s="19">
        <f t="shared" si="52"/>
        <v>0</v>
      </c>
    </row>
    <row r="14" spans="1:24" x14ac:dyDescent="0.2">
      <c r="A14">
        <f t="shared" ref="A14:C14" si="59">+A42</f>
        <v>0</v>
      </c>
      <c r="B14" s="19">
        <f t="shared" si="59"/>
        <v>0</v>
      </c>
      <c r="C14" s="19">
        <f t="shared" si="59"/>
        <v>0</v>
      </c>
      <c r="D14" s="19">
        <f t="shared" si="36"/>
        <v>0</v>
      </c>
      <c r="E14" s="75">
        <f t="shared" si="37"/>
        <v>0</v>
      </c>
      <c r="F14" s="19">
        <f t="shared" si="38"/>
        <v>0</v>
      </c>
      <c r="G14" s="75">
        <f t="shared" si="39"/>
        <v>0</v>
      </c>
      <c r="H14" s="19">
        <f t="shared" si="40"/>
        <v>0</v>
      </c>
      <c r="I14" s="76">
        <f t="shared" si="41"/>
        <v>0</v>
      </c>
      <c r="J14" s="76">
        <f t="shared" si="42"/>
        <v>0</v>
      </c>
      <c r="K14" s="76">
        <f t="shared" si="43"/>
        <v>0</v>
      </c>
      <c r="L14" s="77">
        <f t="shared" si="44"/>
        <v>0</v>
      </c>
      <c r="M14" s="75">
        <f t="shared" si="45"/>
        <v>0</v>
      </c>
      <c r="N14" s="75">
        <f t="shared" si="46"/>
        <v>0</v>
      </c>
      <c r="O14" s="75">
        <f t="shared" si="47"/>
        <v>0</v>
      </c>
      <c r="Q14" s="78" t="e">
        <f t="shared" si="48"/>
        <v>#DIV/0!</v>
      </c>
      <c r="R14" s="78" t="e">
        <f t="shared" si="49"/>
        <v>#DIV/0!</v>
      </c>
      <c r="S14" s="78" t="e">
        <f t="shared" si="50"/>
        <v>#DIV/0!</v>
      </c>
      <c r="T14" s="19">
        <f t="shared" si="15"/>
        <v>397.15</v>
      </c>
      <c r="U14" s="19" t="e">
        <f t="shared" si="51"/>
        <v>#DIV/0!</v>
      </c>
      <c r="X14" s="19">
        <f t="shared" si="52"/>
        <v>0</v>
      </c>
    </row>
    <row r="15" spans="1:24" x14ac:dyDescent="0.2">
      <c r="A15">
        <f t="shared" ref="A15:C15" si="60">+A43</f>
        <v>0</v>
      </c>
      <c r="B15" s="19">
        <f t="shared" si="60"/>
        <v>0</v>
      </c>
      <c r="C15" s="19">
        <f t="shared" si="60"/>
        <v>0</v>
      </c>
      <c r="D15" s="19">
        <f t="shared" si="36"/>
        <v>0</v>
      </c>
      <c r="E15" s="75">
        <f t="shared" si="37"/>
        <v>0</v>
      </c>
      <c r="F15" s="19">
        <f t="shared" si="38"/>
        <v>0</v>
      </c>
      <c r="G15" s="75">
        <f t="shared" si="39"/>
        <v>0</v>
      </c>
      <c r="H15" s="19">
        <f t="shared" si="40"/>
        <v>0</v>
      </c>
      <c r="I15" s="76">
        <f t="shared" si="41"/>
        <v>0</v>
      </c>
      <c r="J15" s="76">
        <f t="shared" si="42"/>
        <v>0</v>
      </c>
      <c r="K15" s="76">
        <f t="shared" si="43"/>
        <v>0</v>
      </c>
      <c r="L15" s="77">
        <f t="shared" si="44"/>
        <v>0</v>
      </c>
      <c r="M15" s="75">
        <f t="shared" si="45"/>
        <v>0</v>
      </c>
      <c r="N15" s="75">
        <f t="shared" si="46"/>
        <v>0</v>
      </c>
      <c r="O15" s="75">
        <f t="shared" si="47"/>
        <v>0</v>
      </c>
      <c r="Q15" s="78" t="e">
        <f t="shared" si="48"/>
        <v>#DIV/0!</v>
      </c>
      <c r="R15" s="78" t="e">
        <f t="shared" si="49"/>
        <v>#DIV/0!</v>
      </c>
      <c r="S15" s="78" t="e">
        <f t="shared" si="50"/>
        <v>#DIV/0!</v>
      </c>
      <c r="T15" s="19">
        <f t="shared" si="15"/>
        <v>397.15</v>
      </c>
      <c r="U15" s="19" t="e">
        <f t="shared" si="51"/>
        <v>#DIV/0!</v>
      </c>
      <c r="X15" s="19">
        <f t="shared" si="52"/>
        <v>0</v>
      </c>
    </row>
    <row r="16" spans="1:24" x14ac:dyDescent="0.2">
      <c r="E16" s="75"/>
      <c r="G16" s="75"/>
      <c r="I16" s="76"/>
      <c r="J16" s="76"/>
      <c r="K16" s="76"/>
      <c r="M16" s="75"/>
      <c r="N16" s="75"/>
      <c r="O16" s="75"/>
      <c r="Q16" s="78"/>
      <c r="R16" s="78"/>
      <c r="S16" s="78"/>
      <c r="X16" s="19"/>
    </row>
    <row r="17" spans="1:24" x14ac:dyDescent="0.2">
      <c r="E17" s="75"/>
      <c r="G17" s="75"/>
      <c r="I17" s="76"/>
      <c r="J17" s="76"/>
      <c r="K17" s="76"/>
      <c r="M17" s="75"/>
      <c r="N17" s="75"/>
      <c r="O17" s="75"/>
      <c r="Q17" s="78"/>
      <c r="R17" s="78"/>
      <c r="S17" s="78"/>
      <c r="X17" s="19"/>
    </row>
    <row r="18" spans="1:24" x14ac:dyDescent="0.2">
      <c r="E18" s="75"/>
      <c r="G18" s="75"/>
      <c r="I18" s="76"/>
      <c r="J18" s="76"/>
      <c r="K18" s="76"/>
      <c r="M18" s="75"/>
      <c r="N18" s="75"/>
      <c r="O18" s="75"/>
      <c r="Q18" s="78"/>
      <c r="R18" s="78"/>
      <c r="S18" s="78"/>
      <c r="X18" s="19"/>
    </row>
    <row r="19" spans="1:24" x14ac:dyDescent="0.2">
      <c r="E19" s="75"/>
      <c r="G19" s="75"/>
      <c r="I19" s="76"/>
      <c r="J19" s="76"/>
      <c r="K19" s="76"/>
      <c r="M19" s="75"/>
      <c r="N19" s="75"/>
      <c r="O19" s="75"/>
      <c r="Q19" s="78"/>
      <c r="R19" s="78"/>
      <c r="S19" s="78"/>
      <c r="X19" s="19"/>
    </row>
    <row r="20" spans="1:24" x14ac:dyDescent="0.2">
      <c r="E20" s="75"/>
      <c r="G20" s="75"/>
      <c r="I20" s="76"/>
      <c r="J20" s="76"/>
      <c r="K20" s="76"/>
      <c r="M20" s="75"/>
      <c r="N20" s="75"/>
      <c r="O20" s="75"/>
      <c r="Q20" s="78"/>
      <c r="R20" s="78"/>
      <c r="S20" s="78"/>
      <c r="X20" s="19"/>
    </row>
    <row r="21" spans="1:24" x14ac:dyDescent="0.2">
      <c r="E21" s="75"/>
      <c r="G21" s="75"/>
      <c r="I21" s="76"/>
      <c r="J21" s="76"/>
      <c r="K21" s="76"/>
      <c r="M21" s="75"/>
      <c r="N21" s="75"/>
      <c r="O21" s="75"/>
      <c r="Q21" s="78"/>
      <c r="R21" s="78"/>
      <c r="S21" s="78"/>
      <c r="X21" s="19"/>
    </row>
    <row r="23" spans="1:24" x14ac:dyDescent="0.2">
      <c r="E23" s="75"/>
      <c r="G23" s="75"/>
      <c r="I23" s="76"/>
      <c r="J23" s="76"/>
      <c r="K23" s="76"/>
      <c r="M23" s="75"/>
      <c r="N23" s="75"/>
      <c r="O23" s="75"/>
      <c r="Q23" s="78"/>
      <c r="R23" s="78"/>
      <c r="S23" s="78"/>
      <c r="X23" s="19"/>
    </row>
    <row r="24" spans="1:24" x14ac:dyDescent="0.2">
      <c r="E24" s="75"/>
      <c r="G24" s="75"/>
      <c r="I24" s="76"/>
      <c r="J24" s="76"/>
      <c r="K24" s="76"/>
      <c r="M24" s="75"/>
      <c r="N24" s="75"/>
      <c r="O24" s="75"/>
      <c r="Q24" s="78"/>
      <c r="R24" s="78"/>
      <c r="S24" s="78"/>
      <c r="X24" s="19"/>
    </row>
    <row r="25" spans="1:24" x14ac:dyDescent="0.2">
      <c r="E25" s="75"/>
      <c r="G25" s="75"/>
      <c r="I25" s="76"/>
      <c r="J25" s="76"/>
      <c r="K25" s="76"/>
      <c r="M25" s="75"/>
      <c r="N25" s="75"/>
      <c r="O25" s="75"/>
      <c r="Q25" s="78"/>
      <c r="R25" s="78"/>
      <c r="S25" s="78"/>
      <c r="X25" s="19"/>
    </row>
    <row r="27" spans="1:24" x14ac:dyDescent="0.2">
      <c r="A27" s="82" t="s">
        <v>375</v>
      </c>
      <c r="M27" s="75"/>
      <c r="N27" s="75"/>
    </row>
    <row r="28" spans="1:24" x14ac:dyDescent="0.2">
      <c r="A28" s="82"/>
      <c r="M28" s="75"/>
      <c r="N28" s="75"/>
    </row>
    <row r="29" spans="1:24" x14ac:dyDescent="0.2">
      <c r="A29" t="s">
        <v>367</v>
      </c>
      <c r="B29" t="s">
        <v>307</v>
      </c>
      <c r="C29" t="s">
        <v>355</v>
      </c>
      <c r="D29" t="s">
        <v>356</v>
      </c>
      <c r="E29" t="s">
        <v>368</v>
      </c>
      <c r="F29" t="s">
        <v>310</v>
      </c>
      <c r="G29" t="s">
        <v>308</v>
      </c>
      <c r="H29" t="s">
        <v>357</v>
      </c>
      <c r="I29" t="s">
        <v>369</v>
      </c>
      <c r="J29" t="s">
        <v>358</v>
      </c>
      <c r="K29" t="s">
        <v>359</v>
      </c>
      <c r="L29" t="s">
        <v>360</v>
      </c>
      <c r="M29" t="s">
        <v>361</v>
      </c>
      <c r="N29" t="s">
        <v>370</v>
      </c>
      <c r="O29" t="s">
        <v>311</v>
      </c>
      <c r="P29" t="s">
        <v>329</v>
      </c>
      <c r="Q29" t="s">
        <v>309</v>
      </c>
      <c r="R29" t="s">
        <v>371</v>
      </c>
      <c r="S29" t="s">
        <v>330</v>
      </c>
      <c r="T29" t="s">
        <v>331</v>
      </c>
      <c r="U29" t="s">
        <v>328</v>
      </c>
      <c r="V29" t="s">
        <v>627</v>
      </c>
      <c r="W29" t="s">
        <v>373</v>
      </c>
      <c r="X29" t="s">
        <v>374</v>
      </c>
    </row>
    <row r="30" spans="1:24" x14ac:dyDescent="0.2">
      <c r="B30"/>
      <c r="C30"/>
      <c r="D30"/>
      <c r="E30"/>
      <c r="F30"/>
      <c r="G30"/>
      <c r="H30"/>
      <c r="I30"/>
      <c r="J30"/>
      <c r="K30"/>
      <c r="L30"/>
      <c r="M30"/>
      <c r="N30"/>
      <c r="O30"/>
      <c r="P30"/>
      <c r="Q30"/>
      <c r="R30"/>
      <c r="S30"/>
      <c r="T30"/>
      <c r="U30"/>
    </row>
    <row r="31" spans="1:24" x14ac:dyDescent="0.2">
      <c r="B31"/>
      <c r="C31"/>
      <c r="D31"/>
      <c r="E31"/>
      <c r="F31"/>
      <c r="G31"/>
      <c r="H31"/>
      <c r="I31"/>
      <c r="J31"/>
      <c r="K31"/>
      <c r="L31"/>
      <c r="M31"/>
      <c r="N31"/>
      <c r="O31"/>
      <c r="P31"/>
      <c r="Q31"/>
      <c r="R31"/>
      <c r="S31"/>
      <c r="T31"/>
      <c r="U31"/>
    </row>
    <row r="32" spans="1:24" x14ac:dyDescent="0.2">
      <c r="B32"/>
      <c r="C32"/>
      <c r="D32"/>
      <c r="E32"/>
      <c r="F32"/>
      <c r="G32"/>
      <c r="H32"/>
      <c r="I32"/>
      <c r="J32"/>
      <c r="K32"/>
      <c r="L32"/>
      <c r="M32"/>
      <c r="N32"/>
      <c r="O32"/>
      <c r="P32"/>
      <c r="Q32"/>
      <c r="R32"/>
      <c r="S32"/>
      <c r="T32"/>
      <c r="U32"/>
    </row>
    <row r="33" spans="4:18" customFormat="1" x14ac:dyDescent="0.2"/>
    <row r="34" spans="4:18" customFormat="1" x14ac:dyDescent="0.2"/>
    <row r="35" spans="4:18" customFormat="1" x14ac:dyDescent="0.2"/>
    <row r="36" spans="4:18" customFormat="1" x14ac:dyDescent="0.2"/>
    <row r="37" spans="4:18" customFormat="1" x14ac:dyDescent="0.2"/>
    <row r="38" spans="4:18" customFormat="1" x14ac:dyDescent="0.2"/>
    <row r="39" spans="4:18" customFormat="1" x14ac:dyDescent="0.2"/>
    <row r="40" spans="4:18" customFormat="1" x14ac:dyDescent="0.2"/>
    <row r="41" spans="4:18" customFormat="1" x14ac:dyDescent="0.2"/>
    <row r="42" spans="4:18" customFormat="1" x14ac:dyDescent="0.2"/>
    <row r="43" spans="4:18" customFormat="1" x14ac:dyDescent="0.2"/>
    <row r="44" spans="4:18" customFormat="1" x14ac:dyDescent="0.2">
      <c r="D44" s="106"/>
      <c r="E44" s="79"/>
      <c r="I44" s="81"/>
      <c r="K44" s="79"/>
      <c r="L44" s="79"/>
      <c r="M44" s="79"/>
      <c r="R44" s="79"/>
    </row>
    <row r="45" spans="4:18" customFormat="1" x14ac:dyDescent="0.2">
      <c r="D45" s="79"/>
      <c r="E45" s="79"/>
      <c r="I45" s="81"/>
      <c r="K45" s="79"/>
      <c r="L45" s="79"/>
      <c r="M45" s="79"/>
      <c r="R45" s="79"/>
    </row>
    <row r="49" spans="1:7" x14ac:dyDescent="0.2">
      <c r="A49" s="80" t="s">
        <v>405</v>
      </c>
    </row>
    <row r="50" spans="1:7" x14ac:dyDescent="0.2">
      <c r="A50" t="s">
        <v>397</v>
      </c>
      <c r="B50" s="19" t="s">
        <v>398</v>
      </c>
      <c r="C50" s="19" t="s">
        <v>399</v>
      </c>
      <c r="D50" s="19" t="s">
        <v>400</v>
      </c>
      <c r="E50" s="19" t="s">
        <v>401</v>
      </c>
      <c r="F50" s="19" t="s">
        <v>402</v>
      </c>
    </row>
    <row r="51" spans="1:7" x14ac:dyDescent="0.2">
      <c r="C51" s="76"/>
      <c r="D51" s="19" t="s">
        <v>404</v>
      </c>
      <c r="E51" s="19">
        <v>397.15</v>
      </c>
      <c r="F51" s="19" t="s">
        <v>403</v>
      </c>
    </row>
    <row r="52" spans="1:7" x14ac:dyDescent="0.2">
      <c r="G52" s="194"/>
    </row>
    <row r="53" spans="1:7" x14ac:dyDescent="0.2">
      <c r="B53" s="76"/>
      <c r="D53" s="19" t="s">
        <v>1289</v>
      </c>
      <c r="E53" s="19">
        <f>E51/'FX FWD precedent'!E51-1</f>
        <v>0</v>
      </c>
    </row>
    <row r="54" spans="1:7" x14ac:dyDescent="0.2">
      <c r="B54" s="76"/>
      <c r="D54" s="19" t="s">
        <v>1290</v>
      </c>
      <c r="E54" s="195">
        <f>E53*SUM(H30:H34)</f>
        <v>0</v>
      </c>
    </row>
  </sheetData>
  <autoFilter ref="A1:U11" xr:uid="{00000000-0001-0000-0600-000000000000}">
    <sortState xmlns:xlrd2="http://schemas.microsoft.com/office/spreadsheetml/2017/richdata2" ref="A2:U11">
      <sortCondition ref="A1:A11"/>
    </sortState>
  </autoFilter>
  <pageMargins left="0.7" right="0.7" top="0.75" bottom="0.75" header="0.3" footer="0.3"/>
  <pageSetup paperSize="9"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filterMode="1"/>
  <dimension ref="A1:X54"/>
  <sheetViews>
    <sheetView workbookViewId="0">
      <selection activeCell="N21" sqref="N21"/>
    </sheetView>
  </sheetViews>
  <sheetFormatPr baseColWidth="10" defaultRowHeight="12.75" x14ac:dyDescent="0.2"/>
  <cols>
    <col min="2" max="2" width="22.140625" style="19" bestFit="1" customWidth="1"/>
    <col min="3" max="3" width="33.7109375" style="19" bestFit="1" customWidth="1"/>
    <col min="4" max="4" width="17.140625" style="19" bestFit="1" customWidth="1"/>
    <col min="5" max="5" width="13.140625" style="19" customWidth="1"/>
    <col min="6" max="6" width="12" style="19" bestFit="1" customWidth="1"/>
    <col min="7" max="8" width="14.5703125" style="19" bestFit="1" customWidth="1"/>
    <col min="9" max="9" width="13.140625" style="19" customWidth="1"/>
    <col min="10" max="10" width="13.85546875" style="19" customWidth="1"/>
    <col min="11" max="11" width="11.42578125" style="19"/>
    <col min="12" max="12" width="17.140625" style="77" customWidth="1"/>
    <col min="13" max="14" width="12.85546875" style="19" customWidth="1"/>
    <col min="15" max="15" width="14.85546875" style="19" customWidth="1"/>
    <col min="16" max="16" width="18.5703125" style="19" customWidth="1"/>
    <col min="17" max="19" width="11.42578125" style="19"/>
    <col min="20" max="20" width="13.5703125" style="19" customWidth="1"/>
    <col min="21" max="21" width="23" style="19" bestFit="1" customWidth="1"/>
  </cols>
  <sheetData>
    <row r="1" spans="1:24" x14ac:dyDescent="0.2">
      <c r="A1" t="s">
        <v>367</v>
      </c>
      <c r="B1" s="72" t="s">
        <v>307</v>
      </c>
      <c r="C1" s="72" t="s">
        <v>355</v>
      </c>
      <c r="D1" s="72" t="s">
        <v>356</v>
      </c>
      <c r="E1" s="72" t="s">
        <v>310</v>
      </c>
      <c r="F1" s="72" t="s">
        <v>308</v>
      </c>
      <c r="G1" s="72" t="s">
        <v>357</v>
      </c>
      <c r="H1" s="72" t="s">
        <v>358</v>
      </c>
      <c r="I1" s="72" t="s">
        <v>359</v>
      </c>
      <c r="J1" s="72" t="s">
        <v>360</v>
      </c>
      <c r="K1" s="72" t="s">
        <v>361</v>
      </c>
      <c r="L1" s="73" t="s">
        <v>309</v>
      </c>
      <c r="M1" s="72" t="s">
        <v>362</v>
      </c>
      <c r="N1" s="72" t="s">
        <v>329</v>
      </c>
      <c r="O1" s="72" t="s">
        <v>330</v>
      </c>
      <c r="Q1" s="72" t="s">
        <v>362</v>
      </c>
      <c r="R1" s="72" t="s">
        <v>329</v>
      </c>
      <c r="S1" s="72" t="s">
        <v>330</v>
      </c>
      <c r="T1" s="72" t="s">
        <v>366</v>
      </c>
      <c r="U1" s="72" t="s">
        <v>304</v>
      </c>
      <c r="X1" s="74" t="s">
        <v>331</v>
      </c>
    </row>
    <row r="2" spans="1:24" hidden="1" x14ac:dyDescent="0.2">
      <c r="A2">
        <f t="shared" ref="A2:C15" si="0">+A30</f>
        <v>2712194879</v>
      </c>
      <c r="B2" s="19" t="str">
        <f t="shared" si="0"/>
        <v>GROUPAMA-AM-000601</v>
      </c>
      <c r="C2" s="19" t="str">
        <f t="shared" si="0"/>
        <v>JPMSE</v>
      </c>
      <c r="D2" s="19" t="str">
        <f t="shared" ref="D2:E15" si="1">+E30</f>
        <v>FX swap</v>
      </c>
      <c r="E2" s="75">
        <f t="shared" si="1"/>
        <v>64500000000</v>
      </c>
      <c r="F2" s="19" t="str">
        <f t="shared" ref="F2:F15" si="2">G30</f>
        <v>HUF</v>
      </c>
      <c r="G2" s="75">
        <f t="shared" ref="G2:G15" si="3">+H30</f>
        <v>162338888.09</v>
      </c>
      <c r="H2" s="19" t="str">
        <f t="shared" ref="H2:H15" si="4">J30</f>
        <v>EUR</v>
      </c>
      <c r="I2" s="76">
        <f t="shared" ref="I2:K15" si="5">+K30</f>
        <v>45245</v>
      </c>
      <c r="J2" s="76">
        <f t="shared" si="5"/>
        <v>45245</v>
      </c>
      <c r="K2" s="76">
        <f t="shared" si="5"/>
        <v>45705</v>
      </c>
      <c r="L2" s="77" t="str">
        <f t="shared" ref="L2:L15" si="6">+Q30</f>
        <v>EUR</v>
      </c>
      <c r="M2" s="75">
        <f t="shared" ref="M2:N15" si="7">+O30</f>
        <v>6966039.0099999998</v>
      </c>
      <c r="N2" s="75">
        <f t="shared" si="7"/>
        <v>0</v>
      </c>
      <c r="O2" s="75">
        <f t="shared" ref="O2:O15" si="8">+S30</f>
        <v>6966039.0099999998</v>
      </c>
      <c r="Q2" s="78">
        <f t="shared" ref="Q2:S15" si="9">M2/$G2</f>
        <v>4.2910476300281525E-2</v>
      </c>
      <c r="R2" s="78">
        <f t="shared" si="9"/>
        <v>0</v>
      </c>
      <c r="S2" s="78">
        <f t="shared" si="9"/>
        <v>4.2910476300281525E-2</v>
      </c>
      <c r="T2" s="19">
        <f t="shared" ref="T2:T15" si="10">$E$51</f>
        <v>397.15</v>
      </c>
      <c r="U2" s="19" t="str">
        <f t="shared" ref="U2:U15" si="11">IF(ABS(Q2-R2)&gt;0.4%,"alerte","")</f>
        <v>alerte</v>
      </c>
      <c r="X2" s="19" t="str">
        <f t="shared" ref="X2:X15" si="12">+T30</f>
        <v>FXW1020430</v>
      </c>
    </row>
    <row r="3" spans="1:24" hidden="1" x14ac:dyDescent="0.2">
      <c r="A3">
        <f t="shared" si="0"/>
        <v>2978429171</v>
      </c>
      <c r="B3" s="19" t="str">
        <f t="shared" si="0"/>
        <v>GROUPAMA-AM-000601</v>
      </c>
      <c r="C3" s="19" t="str">
        <f t="shared" si="0"/>
        <v>JPMSE</v>
      </c>
      <c r="D3" s="19" t="str">
        <f t="shared" si="1"/>
        <v>FX swap</v>
      </c>
      <c r="E3" s="75">
        <f t="shared" si="1"/>
        <v>40000000000</v>
      </c>
      <c r="F3" s="19" t="str">
        <f t="shared" si="2"/>
        <v>HUF</v>
      </c>
      <c r="G3" s="75">
        <f t="shared" si="3"/>
        <v>98408607.349999994</v>
      </c>
      <c r="H3" s="19" t="str">
        <f t="shared" si="4"/>
        <v>EUR</v>
      </c>
      <c r="I3" s="76">
        <f t="shared" si="5"/>
        <v>45576</v>
      </c>
      <c r="J3" s="76">
        <f t="shared" si="5"/>
        <v>45576</v>
      </c>
      <c r="K3" s="76">
        <f t="shared" si="5"/>
        <v>45733</v>
      </c>
      <c r="L3" s="77" t="str">
        <f t="shared" si="6"/>
        <v>EUR</v>
      </c>
      <c r="M3" s="75">
        <f t="shared" si="7"/>
        <v>2326090.64</v>
      </c>
      <c r="N3" s="75">
        <f t="shared" si="7"/>
        <v>0</v>
      </c>
      <c r="O3" s="75">
        <f t="shared" si="8"/>
        <v>2326090.64</v>
      </c>
      <c r="Q3" s="78">
        <f t="shared" si="9"/>
        <v>2.3637064913712553E-2</v>
      </c>
      <c r="R3" s="78">
        <f t="shared" si="9"/>
        <v>0</v>
      </c>
      <c r="S3" s="78">
        <f t="shared" si="9"/>
        <v>2.3637064913712553E-2</v>
      </c>
      <c r="T3" s="19">
        <f t="shared" si="10"/>
        <v>397.15</v>
      </c>
      <c r="U3" s="19" t="str">
        <f t="shared" si="11"/>
        <v>alerte</v>
      </c>
      <c r="X3" s="19" t="str">
        <f t="shared" si="12"/>
        <v>FXW1022786</v>
      </c>
    </row>
    <row r="4" spans="1:24" hidden="1" x14ac:dyDescent="0.2">
      <c r="A4">
        <f t="shared" si="0"/>
        <v>2978673957</v>
      </c>
      <c r="B4" s="19" t="str">
        <f t="shared" si="0"/>
        <v>GROUPAMA-AM-000601</v>
      </c>
      <c r="C4" s="19" t="str">
        <f t="shared" si="0"/>
        <v>BNPP</v>
      </c>
      <c r="D4" s="19" t="str">
        <f t="shared" si="1"/>
        <v>FX swap</v>
      </c>
      <c r="E4" s="75">
        <f t="shared" si="1"/>
        <v>40000000000</v>
      </c>
      <c r="F4" s="19" t="str">
        <f t="shared" si="2"/>
        <v>HUF</v>
      </c>
      <c r="G4" s="75">
        <f t="shared" si="3"/>
        <v>99022401.340000004</v>
      </c>
      <c r="H4" s="19" t="str">
        <f t="shared" si="4"/>
        <v>EUR</v>
      </c>
      <c r="I4" s="76">
        <f t="shared" si="5"/>
        <v>45576</v>
      </c>
      <c r="J4" s="76">
        <f t="shared" si="5"/>
        <v>45576</v>
      </c>
      <c r="K4" s="76">
        <f t="shared" si="5"/>
        <v>45672</v>
      </c>
      <c r="L4" s="77" t="str">
        <f t="shared" si="6"/>
        <v>EUR</v>
      </c>
      <c r="M4" s="75">
        <f>+O32</f>
        <v>2351167.96</v>
      </c>
      <c r="N4" s="75">
        <f t="shared" si="7"/>
        <v>0</v>
      </c>
      <c r="O4" s="75">
        <f t="shared" si="8"/>
        <v>2351167.96</v>
      </c>
      <c r="Q4" s="78">
        <f t="shared" si="9"/>
        <v>2.3743798657508905E-2</v>
      </c>
      <c r="R4" s="78">
        <f t="shared" si="9"/>
        <v>0</v>
      </c>
      <c r="S4" s="78">
        <f t="shared" si="9"/>
        <v>2.3743798657508905E-2</v>
      </c>
      <c r="T4" s="19">
        <f t="shared" si="10"/>
        <v>397.15</v>
      </c>
      <c r="U4" s="19" t="str">
        <f t="shared" si="11"/>
        <v>alerte</v>
      </c>
      <c r="X4" s="19" t="str">
        <f t="shared" si="12"/>
        <v>FXW1022787</v>
      </c>
    </row>
    <row r="5" spans="1:24" hidden="1" x14ac:dyDescent="0.2">
      <c r="A5">
        <f t="shared" si="0"/>
        <v>3031084038</v>
      </c>
      <c r="B5" s="19" t="str">
        <f t="shared" si="0"/>
        <v>GROUPAMA-AM-000601</v>
      </c>
      <c r="C5" s="19" t="str">
        <f t="shared" si="0"/>
        <v>SGCIB</v>
      </c>
      <c r="D5" s="19" t="str">
        <f t="shared" si="1"/>
        <v>FX forward</v>
      </c>
      <c r="E5" s="75">
        <f t="shared" si="1"/>
        <v>5000000000</v>
      </c>
      <c r="F5" s="19" t="str">
        <f t="shared" si="2"/>
        <v>HUF</v>
      </c>
      <c r="G5" s="75">
        <f t="shared" si="3"/>
        <v>12102640.07</v>
      </c>
      <c r="H5" s="19" t="str">
        <f t="shared" si="4"/>
        <v>EUR</v>
      </c>
      <c r="I5" s="76">
        <f t="shared" si="5"/>
        <v>45637</v>
      </c>
      <c r="J5" s="76">
        <f t="shared" si="5"/>
        <v>45637</v>
      </c>
      <c r="K5" s="76">
        <f t="shared" si="5"/>
        <v>45705</v>
      </c>
      <c r="L5" s="77" t="str">
        <f t="shared" si="6"/>
        <v>EUR</v>
      </c>
      <c r="M5" s="75">
        <f t="shared" si="7"/>
        <v>-58233.16</v>
      </c>
      <c r="N5" s="75">
        <f t="shared" si="7"/>
        <v>0</v>
      </c>
      <c r="O5" s="75">
        <f t="shared" si="8"/>
        <v>-58233.16</v>
      </c>
      <c r="Q5" s="78">
        <f t="shared" si="9"/>
        <v>-4.8116080180181714E-3</v>
      </c>
      <c r="R5" s="78">
        <f t="shared" si="9"/>
        <v>0</v>
      </c>
      <c r="S5" s="78">
        <f t="shared" si="9"/>
        <v>-4.8116080180181714E-3</v>
      </c>
      <c r="T5" s="19">
        <f t="shared" si="10"/>
        <v>397.15</v>
      </c>
      <c r="U5" s="19" t="str">
        <f t="shared" si="11"/>
        <v>alerte</v>
      </c>
      <c r="X5" s="19" t="str">
        <f t="shared" si="12"/>
        <v>FXF11387</v>
      </c>
    </row>
    <row r="6" spans="1:24" hidden="1" x14ac:dyDescent="0.2">
      <c r="A6">
        <f t="shared" si="0"/>
        <v>3031084040</v>
      </c>
      <c r="B6" s="19" t="str">
        <f t="shared" si="0"/>
        <v>GROUPAMA-AM-000601</v>
      </c>
      <c r="C6" s="19" t="str">
        <f t="shared" si="0"/>
        <v>SGCIB</v>
      </c>
      <c r="D6" s="19" t="str">
        <f t="shared" si="1"/>
        <v>FX forward</v>
      </c>
      <c r="E6" s="75">
        <f t="shared" si="1"/>
        <v>5000000000</v>
      </c>
      <c r="F6" s="19" t="str">
        <f t="shared" si="2"/>
        <v>HUF</v>
      </c>
      <c r="G6" s="75">
        <f t="shared" si="3"/>
        <v>12116277.49</v>
      </c>
      <c r="H6" s="19" t="str">
        <f t="shared" si="4"/>
        <v>EUR</v>
      </c>
      <c r="I6" s="76">
        <f t="shared" si="5"/>
        <v>45637</v>
      </c>
      <c r="J6" s="76">
        <f t="shared" si="5"/>
        <v>45637</v>
      </c>
      <c r="K6" s="76">
        <f t="shared" si="5"/>
        <v>45705</v>
      </c>
      <c r="L6" s="77" t="str">
        <f t="shared" si="6"/>
        <v>EUR</v>
      </c>
      <c r="M6" s="75">
        <f t="shared" si="7"/>
        <v>-71870.59</v>
      </c>
      <c r="N6" s="75">
        <f t="shared" si="7"/>
        <v>0</v>
      </c>
      <c r="O6" s="75">
        <f t="shared" si="8"/>
        <v>-71870.59</v>
      </c>
      <c r="Q6" s="78">
        <f t="shared" si="9"/>
        <v>-5.9317385277216856E-3</v>
      </c>
      <c r="R6" s="78">
        <f t="shared" si="9"/>
        <v>0</v>
      </c>
      <c r="S6" s="78">
        <f t="shared" si="9"/>
        <v>-5.9317385277216856E-3</v>
      </c>
      <c r="T6" s="19">
        <f t="shared" si="10"/>
        <v>397.15</v>
      </c>
      <c r="U6" s="19" t="str">
        <f t="shared" si="11"/>
        <v>alerte</v>
      </c>
      <c r="X6" s="19" t="str">
        <f t="shared" si="12"/>
        <v>FXF11388</v>
      </c>
    </row>
    <row r="7" spans="1:24" hidden="1" x14ac:dyDescent="0.2">
      <c r="A7">
        <f t="shared" si="0"/>
        <v>3031191790</v>
      </c>
      <c r="B7" s="19" t="str">
        <f t="shared" si="0"/>
        <v>GROUPAMA-AM-000601</v>
      </c>
      <c r="C7" s="19" t="str">
        <f t="shared" si="0"/>
        <v>NATIXIS</v>
      </c>
      <c r="D7" s="19" t="str">
        <f t="shared" si="1"/>
        <v>FX forward</v>
      </c>
      <c r="E7" s="75">
        <f t="shared" si="1"/>
        <v>34500000000</v>
      </c>
      <c r="F7" s="19" t="str">
        <f t="shared" si="2"/>
        <v>HUF</v>
      </c>
      <c r="G7" s="75">
        <f t="shared" si="3"/>
        <v>83630615.930000007</v>
      </c>
      <c r="H7" s="19" t="str">
        <f t="shared" si="4"/>
        <v>EUR</v>
      </c>
      <c r="I7" s="76">
        <f t="shared" si="5"/>
        <v>45637</v>
      </c>
      <c r="J7" s="76">
        <f t="shared" si="5"/>
        <v>45637</v>
      </c>
      <c r="K7" s="76">
        <f t="shared" si="5"/>
        <v>45705</v>
      </c>
      <c r="L7" s="77" t="str">
        <f t="shared" si="6"/>
        <v>EUR</v>
      </c>
      <c r="M7" s="75">
        <f t="shared" si="7"/>
        <v>-524208.28</v>
      </c>
      <c r="N7" s="75">
        <f t="shared" si="7"/>
        <v>0</v>
      </c>
      <c r="O7" s="75">
        <f t="shared" si="8"/>
        <v>-524208.28</v>
      </c>
      <c r="Q7" s="78">
        <f t="shared" si="9"/>
        <v>-6.2681384582742965E-3</v>
      </c>
      <c r="R7" s="78">
        <f t="shared" si="9"/>
        <v>0</v>
      </c>
      <c r="S7" s="78">
        <f t="shared" si="9"/>
        <v>-6.2681384582742965E-3</v>
      </c>
      <c r="T7" s="19">
        <f t="shared" si="10"/>
        <v>397.15</v>
      </c>
      <c r="U7" s="19" t="str">
        <f t="shared" si="11"/>
        <v>alerte</v>
      </c>
      <c r="X7" s="19" t="str">
        <f t="shared" si="12"/>
        <v>FXF11384</v>
      </c>
    </row>
    <row r="8" spans="1:24" hidden="1" x14ac:dyDescent="0.2">
      <c r="A8">
        <f t="shared" si="0"/>
        <v>3032171344</v>
      </c>
      <c r="B8" s="19" t="str">
        <f t="shared" si="0"/>
        <v>GROUPAMA-AM-000601</v>
      </c>
      <c r="C8" s="19" t="str">
        <f t="shared" si="0"/>
        <v>BNPP</v>
      </c>
      <c r="D8" s="19" t="str">
        <f t="shared" si="1"/>
        <v>FX forward</v>
      </c>
      <c r="E8" s="75">
        <f t="shared" si="1"/>
        <v>20000000000</v>
      </c>
      <c r="F8" s="19" t="str">
        <f t="shared" si="2"/>
        <v>HUF</v>
      </c>
      <c r="G8" s="75">
        <f t="shared" si="3"/>
        <v>48543225.100000001</v>
      </c>
      <c r="H8" s="19" t="str">
        <f t="shared" si="4"/>
        <v>EUR</v>
      </c>
      <c r="I8" s="76">
        <f t="shared" si="5"/>
        <v>45638</v>
      </c>
      <c r="J8" s="76">
        <f t="shared" si="5"/>
        <v>45638</v>
      </c>
      <c r="K8" s="76">
        <f t="shared" si="5"/>
        <v>45705</v>
      </c>
      <c r="L8" s="77" t="str">
        <f t="shared" si="6"/>
        <v>EUR</v>
      </c>
      <c r="M8" s="75">
        <f t="shared" si="7"/>
        <v>-365597.47</v>
      </c>
      <c r="N8" s="75">
        <f t="shared" si="7"/>
        <v>0</v>
      </c>
      <c r="O8" s="75">
        <f t="shared" si="8"/>
        <v>-365597.47</v>
      </c>
      <c r="Q8" s="78">
        <f t="shared" si="9"/>
        <v>-7.5313799041341395E-3</v>
      </c>
      <c r="R8" s="78">
        <f t="shared" si="9"/>
        <v>0</v>
      </c>
      <c r="S8" s="78">
        <f t="shared" si="9"/>
        <v>-7.5313799041341395E-3</v>
      </c>
      <c r="T8" s="19">
        <f t="shared" si="10"/>
        <v>397.15</v>
      </c>
      <c r="U8" s="19" t="str">
        <f t="shared" si="11"/>
        <v>alerte</v>
      </c>
      <c r="X8" s="19" t="str">
        <f t="shared" si="12"/>
        <v>FXF11394</v>
      </c>
    </row>
    <row r="9" spans="1:24" x14ac:dyDescent="0.2">
      <c r="A9">
        <f t="shared" si="0"/>
        <v>3032269332</v>
      </c>
      <c r="B9" s="19" t="str">
        <f t="shared" si="0"/>
        <v>GROUPAMA-AM-000601</v>
      </c>
      <c r="C9" s="19" t="str">
        <f t="shared" si="0"/>
        <v>SGCIB</v>
      </c>
      <c r="D9" s="19" t="str">
        <f t="shared" si="1"/>
        <v>FX forward</v>
      </c>
      <c r="E9" s="75">
        <f t="shared" si="1"/>
        <v>5000000000</v>
      </c>
      <c r="F9" s="19" t="str">
        <f t="shared" si="2"/>
        <v>HUF</v>
      </c>
      <c r="G9" s="75">
        <f t="shared" si="3"/>
        <v>12073062.119999999</v>
      </c>
      <c r="H9" s="19" t="str">
        <f t="shared" si="4"/>
        <v>EUR</v>
      </c>
      <c r="I9" s="76">
        <f t="shared" si="5"/>
        <v>45638</v>
      </c>
      <c r="J9" s="76">
        <f t="shared" si="5"/>
        <v>45638</v>
      </c>
      <c r="K9" s="76">
        <f t="shared" si="5"/>
        <v>45762</v>
      </c>
      <c r="L9" s="77" t="str">
        <f t="shared" si="6"/>
        <v>EUR</v>
      </c>
      <c r="M9" s="75">
        <f t="shared" si="7"/>
        <v>-98372.33</v>
      </c>
      <c r="N9" s="75">
        <f t="shared" si="7"/>
        <v>0</v>
      </c>
      <c r="O9" s="75">
        <f t="shared" si="8"/>
        <v>-98372.33</v>
      </c>
      <c r="Q9" s="78">
        <f t="shared" si="9"/>
        <v>-8.1480844728727374E-3</v>
      </c>
      <c r="R9" s="78">
        <f t="shared" si="9"/>
        <v>0</v>
      </c>
      <c r="S9" s="78">
        <f t="shared" si="9"/>
        <v>-8.1480844728727374E-3</v>
      </c>
      <c r="T9" s="19">
        <f t="shared" si="10"/>
        <v>397.15</v>
      </c>
      <c r="U9" s="19" t="str">
        <f t="shared" si="11"/>
        <v>alerte</v>
      </c>
      <c r="X9" s="19" t="str">
        <f t="shared" si="12"/>
        <v>FXF11395</v>
      </c>
    </row>
    <row r="10" spans="1:24" x14ac:dyDescent="0.2">
      <c r="A10">
        <f t="shared" si="0"/>
        <v>3032269335</v>
      </c>
      <c r="B10" s="19" t="str">
        <f t="shared" si="0"/>
        <v>GROUPAMA-AM-000601</v>
      </c>
      <c r="C10" s="19" t="str">
        <f t="shared" si="0"/>
        <v>SGCIB</v>
      </c>
      <c r="D10" s="19" t="str">
        <f t="shared" si="1"/>
        <v>FX forward</v>
      </c>
      <c r="E10" s="75">
        <f t="shared" si="1"/>
        <v>2000000000</v>
      </c>
      <c r="F10" s="19" t="str">
        <f t="shared" si="2"/>
        <v>HUF</v>
      </c>
      <c r="G10" s="75">
        <f t="shared" si="3"/>
        <v>4827303.93</v>
      </c>
      <c r="H10" s="19" t="str">
        <f t="shared" si="4"/>
        <v>EUR</v>
      </c>
      <c r="I10" s="76">
        <f t="shared" si="5"/>
        <v>45638</v>
      </c>
      <c r="J10" s="76">
        <f t="shared" si="5"/>
        <v>45638</v>
      </c>
      <c r="K10" s="76">
        <f t="shared" si="5"/>
        <v>45762</v>
      </c>
      <c r="L10" s="77" t="str">
        <f t="shared" si="6"/>
        <v>EUR</v>
      </c>
      <c r="M10" s="75">
        <f t="shared" si="7"/>
        <v>-37428.01</v>
      </c>
      <c r="N10" s="75">
        <f t="shared" si="7"/>
        <v>0</v>
      </c>
      <c r="O10" s="75">
        <f t="shared" si="8"/>
        <v>-37428.01</v>
      </c>
      <c r="Q10" s="78">
        <f t="shared" si="9"/>
        <v>-7.7533982825067332E-3</v>
      </c>
      <c r="R10" s="78">
        <f t="shared" si="9"/>
        <v>0</v>
      </c>
      <c r="S10" s="78">
        <f t="shared" si="9"/>
        <v>-7.7533982825067332E-3</v>
      </c>
      <c r="T10" s="19">
        <f t="shared" si="10"/>
        <v>397.15</v>
      </c>
      <c r="U10" s="19" t="str">
        <f t="shared" si="11"/>
        <v>alerte</v>
      </c>
      <c r="X10" s="19" t="str">
        <f t="shared" si="12"/>
        <v>FXF11397</v>
      </c>
    </row>
    <row r="11" spans="1:24" x14ac:dyDescent="0.2">
      <c r="A11">
        <f t="shared" si="0"/>
        <v>3032269336</v>
      </c>
      <c r="B11" s="19" t="str">
        <f t="shared" si="0"/>
        <v>GROUPAMA-AM-000601</v>
      </c>
      <c r="C11" s="19" t="str">
        <f t="shared" si="0"/>
        <v>SGCIB</v>
      </c>
      <c r="D11" s="19" t="str">
        <f t="shared" si="1"/>
        <v>FX forward</v>
      </c>
      <c r="E11" s="75">
        <f t="shared" si="1"/>
        <v>1000000000</v>
      </c>
      <c r="F11" s="19" t="str">
        <f t="shared" si="2"/>
        <v>HUF</v>
      </c>
      <c r="G11" s="75">
        <f t="shared" si="3"/>
        <v>2415676.81</v>
      </c>
      <c r="H11" s="19" t="str">
        <f t="shared" si="4"/>
        <v>EUR</v>
      </c>
      <c r="I11" s="76">
        <f t="shared" si="5"/>
        <v>45638</v>
      </c>
      <c r="J11" s="76">
        <f t="shared" si="5"/>
        <v>45638</v>
      </c>
      <c r="K11" s="76">
        <f t="shared" si="5"/>
        <v>45762</v>
      </c>
      <c r="L11" s="77" t="str">
        <f t="shared" si="6"/>
        <v>EUR</v>
      </c>
      <c r="M11" s="75">
        <f t="shared" si="7"/>
        <v>-20738.86</v>
      </c>
      <c r="N11" s="75">
        <f t="shared" si="7"/>
        <v>0</v>
      </c>
      <c r="O11" s="75">
        <f t="shared" si="8"/>
        <v>-20738.86</v>
      </c>
      <c r="Q11" s="78">
        <f t="shared" si="9"/>
        <v>-8.5851136684132849E-3</v>
      </c>
      <c r="R11" s="78">
        <f t="shared" si="9"/>
        <v>0</v>
      </c>
      <c r="S11" s="78">
        <f t="shared" si="9"/>
        <v>-8.5851136684132849E-3</v>
      </c>
      <c r="T11" s="19">
        <f t="shared" si="10"/>
        <v>397.15</v>
      </c>
      <c r="U11" s="19" t="str">
        <f t="shared" si="11"/>
        <v>alerte</v>
      </c>
      <c r="X11" s="19" t="str">
        <f>+T39</f>
        <v>FXF11396</v>
      </c>
    </row>
    <row r="12" spans="1:24" hidden="1" x14ac:dyDescent="0.2">
      <c r="A12">
        <f t="shared" si="0"/>
        <v>3035434093</v>
      </c>
      <c r="B12" s="19" t="str">
        <f t="shared" si="0"/>
        <v>GROUPAMA-AM-000601</v>
      </c>
      <c r="C12" s="19" t="str">
        <f t="shared" si="0"/>
        <v>JPMSE</v>
      </c>
      <c r="D12" s="19" t="str">
        <f t="shared" si="1"/>
        <v>FX forward</v>
      </c>
      <c r="E12" s="75">
        <f t="shared" si="1"/>
        <v>40000000000</v>
      </c>
      <c r="F12" s="19" t="str">
        <f t="shared" si="2"/>
        <v>HUF</v>
      </c>
      <c r="G12" s="75">
        <f t="shared" si="3"/>
        <v>97076775.590000004</v>
      </c>
      <c r="H12" s="19" t="str">
        <f t="shared" si="4"/>
        <v>EUR</v>
      </c>
      <c r="I12" s="76">
        <f t="shared" si="5"/>
        <v>45642</v>
      </c>
      <c r="J12" s="76">
        <f t="shared" si="5"/>
        <v>45642</v>
      </c>
      <c r="K12" s="76">
        <f t="shared" si="5"/>
        <v>45733</v>
      </c>
      <c r="L12" s="77" t="str">
        <f t="shared" si="6"/>
        <v>EUR</v>
      </c>
      <c r="M12" s="75">
        <f t="shared" si="7"/>
        <v>-994258.89</v>
      </c>
      <c r="N12" s="75">
        <f t="shared" si="7"/>
        <v>0</v>
      </c>
      <c r="O12" s="75">
        <f t="shared" si="8"/>
        <v>-994258.89</v>
      </c>
      <c r="Q12" s="78">
        <f t="shared" si="9"/>
        <v>-1.0241985108768073E-2</v>
      </c>
      <c r="R12" s="78">
        <f t="shared" si="9"/>
        <v>0</v>
      </c>
      <c r="S12" s="78">
        <f t="shared" si="9"/>
        <v>-1.0241985108768073E-2</v>
      </c>
      <c r="T12" s="19">
        <f t="shared" si="10"/>
        <v>397.15</v>
      </c>
      <c r="U12" s="19" t="str">
        <f t="shared" si="11"/>
        <v>alerte</v>
      </c>
      <c r="X12" s="19" t="str">
        <f t="shared" si="12"/>
        <v>FXF11405</v>
      </c>
    </row>
    <row r="13" spans="1:24" x14ac:dyDescent="0.2">
      <c r="A13">
        <f t="shared" si="0"/>
        <v>3037093951</v>
      </c>
      <c r="B13" s="19" t="str">
        <f t="shared" si="0"/>
        <v>GROUPAMA-AM-000601</v>
      </c>
      <c r="C13" s="19" t="str">
        <f t="shared" si="0"/>
        <v>CA</v>
      </c>
      <c r="D13" s="19" t="str">
        <f t="shared" si="1"/>
        <v>FX forward</v>
      </c>
      <c r="E13" s="75">
        <f t="shared" si="1"/>
        <v>17000000000</v>
      </c>
      <c r="F13" s="19" t="str">
        <f t="shared" si="2"/>
        <v>HUF</v>
      </c>
      <c r="G13" s="75">
        <f t="shared" si="3"/>
        <v>41167709.990000002</v>
      </c>
      <c r="H13" s="19" t="str">
        <f t="shared" si="4"/>
        <v>EUR</v>
      </c>
      <c r="I13" s="76">
        <f t="shared" si="5"/>
        <v>45643</v>
      </c>
      <c r="J13" s="76">
        <f t="shared" si="5"/>
        <v>45643</v>
      </c>
      <c r="K13" s="76">
        <f t="shared" si="5"/>
        <v>45762</v>
      </c>
      <c r="L13" s="77" t="str">
        <f t="shared" si="6"/>
        <v>EUR</v>
      </c>
      <c r="M13" s="75">
        <f t="shared" si="7"/>
        <v>-453764.7</v>
      </c>
      <c r="N13" s="75">
        <f t="shared" si="7"/>
        <v>-448060.4</v>
      </c>
      <c r="O13" s="75">
        <f t="shared" si="8"/>
        <v>-5704.3</v>
      </c>
      <c r="Q13" s="78">
        <f t="shared" si="9"/>
        <v>-1.1022344942437251E-2</v>
      </c>
      <c r="R13" s="78">
        <f t="shared" si="9"/>
        <v>-1.0883782462246208E-2</v>
      </c>
      <c r="S13" s="78">
        <f t="shared" si="9"/>
        <v>-1.3856248019104354E-4</v>
      </c>
      <c r="T13" s="19">
        <f t="shared" si="10"/>
        <v>397.15</v>
      </c>
      <c r="U13" s="19" t="str">
        <f t="shared" si="11"/>
        <v/>
      </c>
      <c r="X13" s="19" t="str">
        <f t="shared" si="12"/>
        <v>FXF11412</v>
      </c>
    </row>
    <row r="14" spans="1:24" x14ac:dyDescent="0.2">
      <c r="A14">
        <f t="shared" si="0"/>
        <v>3041312314</v>
      </c>
      <c r="B14" s="19" t="str">
        <f t="shared" si="0"/>
        <v>GROUPAMA-AM-000601</v>
      </c>
      <c r="C14" s="19" t="str">
        <f t="shared" si="0"/>
        <v>CA</v>
      </c>
      <c r="D14" s="19" t="str">
        <f t="shared" si="1"/>
        <v>FX swap</v>
      </c>
      <c r="E14" s="75">
        <f t="shared" si="1"/>
        <v>25000000000</v>
      </c>
      <c r="F14" s="19" t="str">
        <f t="shared" si="2"/>
        <v>HUF</v>
      </c>
      <c r="G14" s="75">
        <f t="shared" si="3"/>
        <v>61336146.619999997</v>
      </c>
      <c r="H14" s="19" t="str">
        <f t="shared" si="4"/>
        <v>EUR</v>
      </c>
      <c r="I14" s="76">
        <f t="shared" si="5"/>
        <v>45576</v>
      </c>
      <c r="J14" s="76">
        <f t="shared" si="5"/>
        <v>45576</v>
      </c>
      <c r="K14" s="76">
        <f t="shared" si="5"/>
        <v>45762</v>
      </c>
      <c r="L14" s="77" t="str">
        <f t="shared" si="6"/>
        <v>EUR</v>
      </c>
      <c r="M14" s="75">
        <f t="shared" si="7"/>
        <v>1462697.68</v>
      </c>
      <c r="N14" s="75">
        <f t="shared" si="7"/>
        <v>0</v>
      </c>
      <c r="O14" s="75">
        <f t="shared" si="8"/>
        <v>1462697.68</v>
      </c>
      <c r="Q14" s="78">
        <f t="shared" si="9"/>
        <v>2.3847237894841201E-2</v>
      </c>
      <c r="R14" s="78">
        <f t="shared" si="9"/>
        <v>0</v>
      </c>
      <c r="S14" s="78">
        <f t="shared" si="9"/>
        <v>2.3847237894841201E-2</v>
      </c>
      <c r="T14" s="19">
        <f t="shared" si="10"/>
        <v>397.15</v>
      </c>
      <c r="U14" s="19" t="str">
        <f t="shared" si="11"/>
        <v>alerte</v>
      </c>
      <c r="X14" s="19" t="str">
        <f t="shared" si="12"/>
        <v>FXW1022785</v>
      </c>
    </row>
    <row r="15" spans="1:24" hidden="1" x14ac:dyDescent="0.2">
      <c r="A15">
        <f t="shared" si="0"/>
        <v>3041644569</v>
      </c>
      <c r="B15" s="19" t="str">
        <f t="shared" si="0"/>
        <v>GROUPAMA-AM-000601</v>
      </c>
      <c r="C15" s="19" t="str">
        <f t="shared" si="0"/>
        <v>NATIXIS</v>
      </c>
      <c r="D15" s="19" t="str">
        <f t="shared" si="1"/>
        <v>FX forward</v>
      </c>
      <c r="E15" s="75">
        <f t="shared" si="1"/>
        <v>40000000000</v>
      </c>
      <c r="F15" s="19" t="str">
        <f t="shared" si="2"/>
        <v>HUF</v>
      </c>
      <c r="G15" s="75">
        <f t="shared" si="3"/>
        <v>96898731.859999999</v>
      </c>
      <c r="H15" s="19" t="str">
        <f t="shared" si="4"/>
        <v>EUR</v>
      </c>
      <c r="I15" s="76">
        <f t="shared" si="5"/>
        <v>45636</v>
      </c>
      <c r="J15" s="76">
        <f t="shared" si="5"/>
        <v>45636</v>
      </c>
      <c r="K15" s="76">
        <f t="shared" si="5"/>
        <v>45672</v>
      </c>
      <c r="L15" s="77" t="str">
        <f t="shared" si="6"/>
        <v>EUR</v>
      </c>
      <c r="M15" s="75">
        <f t="shared" si="7"/>
        <v>-227498.48</v>
      </c>
      <c r="N15" s="75">
        <f t="shared" si="7"/>
        <v>0</v>
      </c>
      <c r="O15" s="75">
        <f t="shared" si="8"/>
        <v>-227498.48</v>
      </c>
      <c r="Q15" s="78">
        <f t="shared" si="9"/>
        <v>-2.3477962573203899E-3</v>
      </c>
      <c r="R15" s="78">
        <f t="shared" si="9"/>
        <v>0</v>
      </c>
      <c r="S15" s="78">
        <f t="shared" si="9"/>
        <v>-2.3477962573203899E-3</v>
      </c>
      <c r="T15" s="19">
        <f t="shared" si="10"/>
        <v>397.15</v>
      </c>
      <c r="U15" s="19" t="str">
        <f t="shared" si="11"/>
        <v/>
      </c>
      <c r="X15" s="19" t="str">
        <f t="shared" si="12"/>
        <v>FXF11383</v>
      </c>
    </row>
    <row r="16" spans="1:24" x14ac:dyDescent="0.2">
      <c r="E16" s="75"/>
      <c r="G16" s="75"/>
      <c r="I16" s="76"/>
      <c r="J16" s="76"/>
      <c r="K16" s="76"/>
      <c r="M16" s="75"/>
      <c r="N16" s="75"/>
      <c r="O16" s="75"/>
      <c r="Q16" s="78"/>
      <c r="R16" s="78"/>
      <c r="S16" s="78"/>
      <c r="X16" s="19"/>
    </row>
    <row r="17" spans="1:24" x14ac:dyDescent="0.2">
      <c r="E17" s="75"/>
      <c r="G17" s="75"/>
      <c r="I17" s="76"/>
      <c r="J17" s="76"/>
      <c r="K17" s="76"/>
      <c r="M17" s="75"/>
      <c r="N17" s="75"/>
      <c r="O17" s="75"/>
      <c r="Q17" s="78"/>
      <c r="R17" s="78"/>
      <c r="S17" s="78"/>
      <c r="X17" s="19"/>
    </row>
    <row r="18" spans="1:24" x14ac:dyDescent="0.2">
      <c r="E18" s="75"/>
      <c r="G18" s="75"/>
      <c r="I18" s="76"/>
      <c r="J18" s="76"/>
      <c r="K18" s="76"/>
      <c r="M18" s="75"/>
      <c r="N18" s="75"/>
      <c r="O18" s="75"/>
      <c r="Q18" s="78"/>
      <c r="R18" s="78"/>
      <c r="S18" s="78"/>
      <c r="X18" s="19"/>
    </row>
    <row r="19" spans="1:24" x14ac:dyDescent="0.2">
      <c r="A19">
        <v>3032269336</v>
      </c>
      <c r="E19" s="75"/>
      <c r="G19" s="75"/>
      <c r="I19" s="76"/>
      <c r="J19" s="76"/>
      <c r="K19" s="76"/>
      <c r="M19" s="75"/>
      <c r="N19" s="75"/>
      <c r="O19" s="75"/>
      <c r="Q19" s="78"/>
      <c r="R19" s="78"/>
      <c r="S19" s="78"/>
      <c r="X19" s="19"/>
    </row>
    <row r="20" spans="1:24" x14ac:dyDescent="0.2">
      <c r="E20" s="75"/>
      <c r="G20" s="75"/>
      <c r="I20" s="76"/>
      <c r="J20" s="76"/>
      <c r="K20" s="76"/>
      <c r="M20" s="75"/>
      <c r="N20" s="75"/>
      <c r="O20" s="75"/>
      <c r="Q20" s="78"/>
      <c r="R20" s="78"/>
      <c r="S20" s="78"/>
      <c r="X20" s="19"/>
    </row>
    <row r="21" spans="1:24" x14ac:dyDescent="0.2">
      <c r="E21" s="75"/>
      <c r="G21" s="75"/>
      <c r="I21" s="76"/>
      <c r="J21" s="76"/>
      <c r="K21" s="76"/>
      <c r="M21" s="75"/>
      <c r="N21" s="75"/>
      <c r="O21" s="75"/>
      <c r="Q21" s="78"/>
      <c r="R21" s="78"/>
      <c r="S21" s="78"/>
      <c r="X21" s="19"/>
    </row>
    <row r="23" spans="1:24" x14ac:dyDescent="0.2">
      <c r="E23" s="75"/>
      <c r="G23" s="75"/>
      <c r="I23" s="76"/>
      <c r="J23" s="76"/>
      <c r="K23" s="76"/>
      <c r="M23" s="75"/>
      <c r="N23" s="75"/>
      <c r="O23" s="75"/>
      <c r="Q23" s="78"/>
      <c r="R23" s="78"/>
      <c r="S23" s="78"/>
      <c r="X23" s="19"/>
    </row>
    <row r="24" spans="1:24" x14ac:dyDescent="0.2">
      <c r="E24" s="75"/>
      <c r="G24" s="75"/>
      <c r="I24" s="76"/>
      <c r="J24" s="76"/>
      <c r="K24" s="76"/>
      <c r="M24" s="75"/>
      <c r="N24" s="75"/>
      <c r="O24" s="75"/>
      <c r="Q24" s="78"/>
      <c r="R24" s="78"/>
      <c r="S24" s="78"/>
      <c r="X24" s="19"/>
    </row>
    <row r="25" spans="1:24" x14ac:dyDescent="0.2">
      <c r="E25" s="75"/>
      <c r="G25" s="75"/>
      <c r="I25" s="76"/>
      <c r="J25" s="76"/>
      <c r="K25" s="76"/>
      <c r="M25" s="75"/>
      <c r="N25" s="75"/>
      <c r="O25" s="75"/>
      <c r="Q25" s="78"/>
      <c r="R25" s="78"/>
      <c r="S25" s="78"/>
      <c r="X25" s="19"/>
    </row>
    <row r="27" spans="1:24" x14ac:dyDescent="0.2">
      <c r="A27" s="82" t="s">
        <v>375</v>
      </c>
      <c r="M27" s="75"/>
      <c r="N27" s="75"/>
    </row>
    <row r="28" spans="1:24" x14ac:dyDescent="0.2">
      <c r="A28" s="82"/>
      <c r="M28" s="75"/>
      <c r="N28" s="75"/>
    </row>
    <row r="29" spans="1:24" x14ac:dyDescent="0.2">
      <c r="A29" t="s">
        <v>367</v>
      </c>
      <c r="B29" t="s">
        <v>307</v>
      </c>
      <c r="C29" t="s">
        <v>355</v>
      </c>
      <c r="D29" t="s">
        <v>356</v>
      </c>
      <c r="E29" t="s">
        <v>368</v>
      </c>
      <c r="F29" t="s">
        <v>310</v>
      </c>
      <c r="G29" t="s">
        <v>308</v>
      </c>
      <c r="H29" t="s">
        <v>357</v>
      </c>
      <c r="I29" t="s">
        <v>369</v>
      </c>
      <c r="J29" t="s">
        <v>358</v>
      </c>
      <c r="K29" t="s">
        <v>359</v>
      </c>
      <c r="L29" t="s">
        <v>360</v>
      </c>
      <c r="M29" t="s">
        <v>361</v>
      </c>
      <c r="N29" t="s">
        <v>370</v>
      </c>
      <c r="O29" t="s">
        <v>311</v>
      </c>
      <c r="P29" t="s">
        <v>329</v>
      </c>
      <c r="Q29" t="s">
        <v>309</v>
      </c>
      <c r="R29" t="s">
        <v>371</v>
      </c>
      <c r="S29" t="s">
        <v>330</v>
      </c>
      <c r="T29" t="s">
        <v>331</v>
      </c>
      <c r="U29" t="s">
        <v>328</v>
      </c>
      <c r="V29" t="s">
        <v>627</v>
      </c>
      <c r="W29" t="s">
        <v>373</v>
      </c>
      <c r="X29" t="s">
        <v>374</v>
      </c>
    </row>
    <row r="30" spans="1:24" x14ac:dyDescent="0.2">
      <c r="A30">
        <v>2712194879</v>
      </c>
      <c r="B30" t="s">
        <v>363</v>
      </c>
      <c r="C30" t="s">
        <v>637</v>
      </c>
      <c r="D30" t="s">
        <v>364</v>
      </c>
      <c r="E30" t="s">
        <v>372</v>
      </c>
      <c r="F30">
        <v>64500000000</v>
      </c>
      <c r="G30" t="s">
        <v>365</v>
      </c>
      <c r="H30">
        <v>162338888.09</v>
      </c>
      <c r="I30">
        <v>162338888.09</v>
      </c>
      <c r="J30" t="s">
        <v>44</v>
      </c>
      <c r="K30">
        <v>45245</v>
      </c>
      <c r="L30">
        <v>45245</v>
      </c>
      <c r="M30">
        <v>45705</v>
      </c>
      <c r="N30" t="s">
        <v>884</v>
      </c>
      <c r="O30">
        <v>6966039.0099999998</v>
      </c>
      <c r="P30">
        <v>0</v>
      </c>
      <c r="Q30" t="s">
        <v>44</v>
      </c>
      <c r="R30">
        <v>45649</v>
      </c>
      <c r="S30">
        <v>6966039.0099999998</v>
      </c>
      <c r="T30" t="s">
        <v>885</v>
      </c>
      <c r="U30"/>
      <c r="W30" t="s">
        <v>638</v>
      </c>
    </row>
    <row r="31" spans="1:24" x14ac:dyDescent="0.2">
      <c r="A31">
        <v>2978429171</v>
      </c>
      <c r="B31" t="s">
        <v>363</v>
      </c>
      <c r="C31" t="s">
        <v>637</v>
      </c>
      <c r="D31" t="s">
        <v>364</v>
      </c>
      <c r="E31" t="s">
        <v>372</v>
      </c>
      <c r="F31">
        <v>40000000000</v>
      </c>
      <c r="G31" t="s">
        <v>365</v>
      </c>
      <c r="H31">
        <v>98408607.349999994</v>
      </c>
      <c r="I31">
        <v>98408607.349999994</v>
      </c>
      <c r="J31" t="s">
        <v>44</v>
      </c>
      <c r="K31">
        <v>45576</v>
      </c>
      <c r="L31">
        <v>45576</v>
      </c>
      <c r="M31">
        <v>45733</v>
      </c>
      <c r="N31" t="s">
        <v>1371</v>
      </c>
      <c r="O31">
        <v>2326090.64</v>
      </c>
      <c r="P31">
        <v>0</v>
      </c>
      <c r="Q31" t="s">
        <v>44</v>
      </c>
      <c r="R31">
        <v>45649</v>
      </c>
      <c r="S31">
        <v>2326090.64</v>
      </c>
      <c r="T31" t="s">
        <v>1372</v>
      </c>
      <c r="U31"/>
      <c r="W31" t="s">
        <v>638</v>
      </c>
    </row>
    <row r="32" spans="1:24" x14ac:dyDescent="0.2">
      <c r="A32">
        <v>2978673957</v>
      </c>
      <c r="B32" t="s">
        <v>363</v>
      </c>
      <c r="C32" t="s">
        <v>312</v>
      </c>
      <c r="D32" t="s">
        <v>364</v>
      </c>
      <c r="E32" t="s">
        <v>372</v>
      </c>
      <c r="F32">
        <v>40000000000</v>
      </c>
      <c r="G32" t="s">
        <v>365</v>
      </c>
      <c r="H32">
        <v>99022401.340000004</v>
      </c>
      <c r="I32">
        <v>99022401.340000004</v>
      </c>
      <c r="J32" t="s">
        <v>44</v>
      </c>
      <c r="K32">
        <v>45576</v>
      </c>
      <c r="L32">
        <v>45576</v>
      </c>
      <c r="M32">
        <v>45672</v>
      </c>
      <c r="N32" t="s">
        <v>1373</v>
      </c>
      <c r="O32">
        <v>2351167.96</v>
      </c>
      <c r="P32">
        <v>0</v>
      </c>
      <c r="Q32" t="s">
        <v>44</v>
      </c>
      <c r="R32">
        <v>45649</v>
      </c>
      <c r="S32">
        <v>2351167.96</v>
      </c>
      <c r="T32" t="s">
        <v>1374</v>
      </c>
      <c r="U32"/>
      <c r="W32" t="s">
        <v>421</v>
      </c>
    </row>
    <row r="33" spans="1:23" x14ac:dyDescent="0.2">
      <c r="A33">
        <v>3031084038</v>
      </c>
      <c r="B33" t="s">
        <v>363</v>
      </c>
      <c r="C33" t="s">
        <v>640</v>
      </c>
      <c r="D33" t="s">
        <v>1288</v>
      </c>
      <c r="E33" t="s">
        <v>639</v>
      </c>
      <c r="F33">
        <v>5000000000</v>
      </c>
      <c r="G33" t="s">
        <v>365</v>
      </c>
      <c r="H33">
        <v>12102640.07</v>
      </c>
      <c r="I33">
        <v>12102640.07</v>
      </c>
      <c r="J33" t="s">
        <v>44</v>
      </c>
      <c r="K33">
        <v>45637</v>
      </c>
      <c r="L33">
        <v>45637</v>
      </c>
      <c r="M33">
        <v>45705</v>
      </c>
      <c r="N33" t="s">
        <v>1375</v>
      </c>
      <c r="O33">
        <v>-58233.16</v>
      </c>
      <c r="P33">
        <v>0</v>
      </c>
      <c r="Q33" t="s">
        <v>44</v>
      </c>
      <c r="R33">
        <v>45649</v>
      </c>
      <c r="S33">
        <v>-58233.16</v>
      </c>
      <c r="T33" t="s">
        <v>1376</v>
      </c>
      <c r="U33"/>
      <c r="W33" t="s">
        <v>420</v>
      </c>
    </row>
    <row r="34" spans="1:23" x14ac:dyDescent="0.2">
      <c r="A34">
        <v>3031084040</v>
      </c>
      <c r="B34" t="s">
        <v>363</v>
      </c>
      <c r="C34" t="s">
        <v>640</v>
      </c>
      <c r="D34" t="s">
        <v>1288</v>
      </c>
      <c r="E34" t="s">
        <v>639</v>
      </c>
      <c r="F34">
        <v>5000000000</v>
      </c>
      <c r="G34" t="s">
        <v>365</v>
      </c>
      <c r="H34">
        <v>12116277.49</v>
      </c>
      <c r="I34">
        <v>12116277.49</v>
      </c>
      <c r="J34" t="s">
        <v>44</v>
      </c>
      <c r="K34">
        <v>45637</v>
      </c>
      <c r="L34">
        <v>45637</v>
      </c>
      <c r="M34">
        <v>45705</v>
      </c>
      <c r="N34" t="s">
        <v>1375</v>
      </c>
      <c r="O34">
        <v>-71870.59</v>
      </c>
      <c r="P34">
        <v>0</v>
      </c>
      <c r="Q34" t="s">
        <v>44</v>
      </c>
      <c r="R34">
        <v>45649</v>
      </c>
      <c r="S34">
        <v>-71870.59</v>
      </c>
      <c r="T34" t="s">
        <v>1377</v>
      </c>
      <c r="U34"/>
      <c r="W34" t="s">
        <v>420</v>
      </c>
    </row>
    <row r="35" spans="1:23" x14ac:dyDescent="0.2">
      <c r="A35">
        <v>3031191790</v>
      </c>
      <c r="B35" t="s">
        <v>363</v>
      </c>
      <c r="C35" t="s">
        <v>43</v>
      </c>
      <c r="D35" t="s">
        <v>1288</v>
      </c>
      <c r="E35" t="s">
        <v>639</v>
      </c>
      <c r="F35">
        <v>34500000000</v>
      </c>
      <c r="G35" t="s">
        <v>365</v>
      </c>
      <c r="H35">
        <v>83630615.930000007</v>
      </c>
      <c r="I35">
        <v>83630615.930000007</v>
      </c>
      <c r="J35" t="s">
        <v>44</v>
      </c>
      <c r="K35">
        <v>45637</v>
      </c>
      <c r="L35">
        <v>45637</v>
      </c>
      <c r="M35">
        <v>45705</v>
      </c>
      <c r="N35" t="s">
        <v>1378</v>
      </c>
      <c r="O35">
        <v>-524208.28</v>
      </c>
      <c r="P35">
        <v>0</v>
      </c>
      <c r="Q35" t="s">
        <v>44</v>
      </c>
      <c r="R35">
        <v>45649</v>
      </c>
      <c r="S35">
        <v>-524208.28</v>
      </c>
      <c r="T35" t="s">
        <v>1379</v>
      </c>
      <c r="U35"/>
      <c r="W35" t="s">
        <v>1267</v>
      </c>
    </row>
    <row r="36" spans="1:23" x14ac:dyDescent="0.2">
      <c r="A36">
        <v>3032171344</v>
      </c>
      <c r="B36" t="s">
        <v>363</v>
      </c>
      <c r="C36" t="s">
        <v>312</v>
      </c>
      <c r="D36" t="s">
        <v>1288</v>
      </c>
      <c r="E36" t="s">
        <v>639</v>
      </c>
      <c r="F36">
        <v>20000000000</v>
      </c>
      <c r="G36" t="s">
        <v>365</v>
      </c>
      <c r="H36">
        <v>48543225.100000001</v>
      </c>
      <c r="I36">
        <v>48543225.100000001</v>
      </c>
      <c r="J36" t="s">
        <v>44</v>
      </c>
      <c r="K36">
        <v>45638</v>
      </c>
      <c r="L36">
        <v>45638</v>
      </c>
      <c r="M36">
        <v>45705</v>
      </c>
      <c r="N36" t="s">
        <v>1380</v>
      </c>
      <c r="O36">
        <v>-365597.47</v>
      </c>
      <c r="P36">
        <v>0</v>
      </c>
      <c r="Q36" t="s">
        <v>44</v>
      </c>
      <c r="R36">
        <v>45649</v>
      </c>
      <c r="S36">
        <v>-365597.47</v>
      </c>
      <c r="T36" t="s">
        <v>1381</v>
      </c>
      <c r="U36"/>
      <c r="W36" t="s">
        <v>421</v>
      </c>
    </row>
    <row r="37" spans="1:23" x14ac:dyDescent="0.2">
      <c r="A37">
        <v>3032269332</v>
      </c>
      <c r="B37" t="s">
        <v>363</v>
      </c>
      <c r="C37" t="s">
        <v>640</v>
      </c>
      <c r="D37" t="s">
        <v>1288</v>
      </c>
      <c r="E37" t="s">
        <v>639</v>
      </c>
      <c r="F37">
        <v>5000000000</v>
      </c>
      <c r="G37" t="s">
        <v>365</v>
      </c>
      <c r="H37">
        <v>12073062.119999999</v>
      </c>
      <c r="I37">
        <v>12073062.119999999</v>
      </c>
      <c r="J37" t="s">
        <v>44</v>
      </c>
      <c r="K37">
        <v>45638</v>
      </c>
      <c r="L37">
        <v>45638</v>
      </c>
      <c r="M37">
        <v>45762</v>
      </c>
      <c r="N37" t="s">
        <v>1382</v>
      </c>
      <c r="O37">
        <v>-98372.33</v>
      </c>
      <c r="P37">
        <v>0</v>
      </c>
      <c r="Q37" t="s">
        <v>44</v>
      </c>
      <c r="R37">
        <v>45649</v>
      </c>
      <c r="S37">
        <v>-98372.33</v>
      </c>
      <c r="T37" t="s">
        <v>1383</v>
      </c>
      <c r="U37"/>
      <c r="W37" t="s">
        <v>420</v>
      </c>
    </row>
    <row r="38" spans="1:23" x14ac:dyDescent="0.2">
      <c r="A38">
        <v>3032269335</v>
      </c>
      <c r="B38" t="s">
        <v>363</v>
      </c>
      <c r="C38" t="s">
        <v>640</v>
      </c>
      <c r="D38" t="s">
        <v>1288</v>
      </c>
      <c r="E38" t="s">
        <v>639</v>
      </c>
      <c r="F38">
        <v>2000000000</v>
      </c>
      <c r="G38" t="s">
        <v>365</v>
      </c>
      <c r="H38">
        <v>4827303.93</v>
      </c>
      <c r="I38">
        <v>4827303.93</v>
      </c>
      <c r="J38" t="s">
        <v>44</v>
      </c>
      <c r="K38">
        <v>45638</v>
      </c>
      <c r="L38">
        <v>45638</v>
      </c>
      <c r="M38">
        <v>45762</v>
      </c>
      <c r="N38" t="s">
        <v>1382</v>
      </c>
      <c r="O38">
        <v>-37428.01</v>
      </c>
      <c r="P38">
        <v>0</v>
      </c>
      <c r="Q38" t="s">
        <v>44</v>
      </c>
      <c r="R38">
        <v>45649</v>
      </c>
      <c r="S38">
        <v>-37428.01</v>
      </c>
      <c r="T38" t="s">
        <v>1384</v>
      </c>
      <c r="U38"/>
      <c r="W38" t="s">
        <v>420</v>
      </c>
    </row>
    <row r="39" spans="1:23" x14ac:dyDescent="0.2">
      <c r="A39">
        <v>3032269336</v>
      </c>
      <c r="B39" t="s">
        <v>363</v>
      </c>
      <c r="C39" t="s">
        <v>640</v>
      </c>
      <c r="D39" t="s">
        <v>1288</v>
      </c>
      <c r="E39" t="s">
        <v>639</v>
      </c>
      <c r="F39">
        <v>1000000000</v>
      </c>
      <c r="G39" t="s">
        <v>365</v>
      </c>
      <c r="H39">
        <v>2415676.81</v>
      </c>
      <c r="I39">
        <v>2415676.81</v>
      </c>
      <c r="J39" t="s">
        <v>44</v>
      </c>
      <c r="K39">
        <v>45638</v>
      </c>
      <c r="L39">
        <v>45638</v>
      </c>
      <c r="M39">
        <v>45762</v>
      </c>
      <c r="N39" t="s">
        <v>1382</v>
      </c>
      <c r="O39">
        <v>-20738.86</v>
      </c>
      <c r="P39">
        <v>0</v>
      </c>
      <c r="Q39" t="s">
        <v>44</v>
      </c>
      <c r="R39">
        <v>45649</v>
      </c>
      <c r="S39">
        <v>-20738.86</v>
      </c>
      <c r="T39" t="s">
        <v>1385</v>
      </c>
      <c r="U39"/>
      <c r="W39" t="s">
        <v>420</v>
      </c>
    </row>
    <row r="40" spans="1:23" x14ac:dyDescent="0.2">
      <c r="A40">
        <v>3035434093</v>
      </c>
      <c r="B40" t="s">
        <v>363</v>
      </c>
      <c r="C40" t="s">
        <v>637</v>
      </c>
      <c r="D40" t="s">
        <v>1288</v>
      </c>
      <c r="E40" t="s">
        <v>639</v>
      </c>
      <c r="F40">
        <v>40000000000</v>
      </c>
      <c r="G40" t="s">
        <v>365</v>
      </c>
      <c r="H40">
        <v>97076775.590000004</v>
      </c>
      <c r="I40">
        <v>97076775.590000004</v>
      </c>
      <c r="J40" t="s">
        <v>44</v>
      </c>
      <c r="K40">
        <v>45642</v>
      </c>
      <c r="L40">
        <v>45642</v>
      </c>
      <c r="M40">
        <v>45733</v>
      </c>
      <c r="N40" t="s">
        <v>1386</v>
      </c>
      <c r="O40">
        <v>-994258.89</v>
      </c>
      <c r="P40">
        <v>0</v>
      </c>
      <c r="Q40" t="s">
        <v>44</v>
      </c>
      <c r="R40">
        <v>45649</v>
      </c>
      <c r="S40">
        <v>-994258.89</v>
      </c>
      <c r="T40" t="s">
        <v>1387</v>
      </c>
      <c r="U40"/>
      <c r="W40" t="s">
        <v>638</v>
      </c>
    </row>
    <row r="41" spans="1:23" x14ac:dyDescent="0.2">
      <c r="A41">
        <v>3037093951</v>
      </c>
      <c r="B41" t="s">
        <v>363</v>
      </c>
      <c r="C41" t="s">
        <v>313</v>
      </c>
      <c r="D41" t="s">
        <v>1288</v>
      </c>
      <c r="E41" t="s">
        <v>639</v>
      </c>
      <c r="F41">
        <v>17000000000</v>
      </c>
      <c r="G41" t="s">
        <v>365</v>
      </c>
      <c r="H41">
        <v>41167709.990000002</v>
      </c>
      <c r="I41">
        <v>41167709.990000002</v>
      </c>
      <c r="J41" t="s">
        <v>44</v>
      </c>
      <c r="K41">
        <v>45643</v>
      </c>
      <c r="L41">
        <v>45643</v>
      </c>
      <c r="M41">
        <v>45762</v>
      </c>
      <c r="N41" t="s">
        <v>1388</v>
      </c>
      <c r="O41">
        <v>-453764.7</v>
      </c>
      <c r="P41">
        <v>-448060.4</v>
      </c>
      <c r="Q41" t="s">
        <v>44</v>
      </c>
      <c r="R41">
        <v>45649</v>
      </c>
      <c r="S41">
        <v>-5704.3</v>
      </c>
      <c r="T41" t="s">
        <v>1389</v>
      </c>
      <c r="U41"/>
      <c r="W41" t="s">
        <v>1390</v>
      </c>
    </row>
    <row r="42" spans="1:23" x14ac:dyDescent="0.2">
      <c r="A42">
        <v>3041312314</v>
      </c>
      <c r="B42" t="s">
        <v>363</v>
      </c>
      <c r="C42" t="s">
        <v>313</v>
      </c>
      <c r="D42" t="s">
        <v>364</v>
      </c>
      <c r="E42" t="s">
        <v>372</v>
      </c>
      <c r="F42">
        <v>25000000000</v>
      </c>
      <c r="G42" t="s">
        <v>365</v>
      </c>
      <c r="H42">
        <v>61336146.619999997</v>
      </c>
      <c r="I42">
        <v>61336146.619999997</v>
      </c>
      <c r="J42" t="s">
        <v>44</v>
      </c>
      <c r="K42">
        <v>45576</v>
      </c>
      <c r="L42">
        <v>45576</v>
      </c>
      <c r="M42">
        <v>45762</v>
      </c>
      <c r="N42" t="s">
        <v>1391</v>
      </c>
      <c r="O42">
        <v>1462697.68</v>
      </c>
      <c r="P42">
        <v>0</v>
      </c>
      <c r="Q42" t="s">
        <v>44</v>
      </c>
      <c r="R42">
        <v>45649</v>
      </c>
      <c r="S42">
        <v>1462697.68</v>
      </c>
      <c r="T42" t="s">
        <v>1392</v>
      </c>
      <c r="U42"/>
      <c r="W42" t="s">
        <v>1390</v>
      </c>
    </row>
    <row r="43" spans="1:23" x14ac:dyDescent="0.2">
      <c r="A43">
        <v>3041644569</v>
      </c>
      <c r="B43" t="s">
        <v>363</v>
      </c>
      <c r="C43" t="s">
        <v>43</v>
      </c>
      <c r="D43" t="s">
        <v>1288</v>
      </c>
      <c r="E43" t="s">
        <v>639</v>
      </c>
      <c r="F43">
        <v>40000000000</v>
      </c>
      <c r="G43" t="s">
        <v>365</v>
      </c>
      <c r="H43">
        <v>96898731.859999999</v>
      </c>
      <c r="I43">
        <v>96898731.859999999</v>
      </c>
      <c r="J43" t="s">
        <v>44</v>
      </c>
      <c r="K43">
        <v>45636</v>
      </c>
      <c r="L43">
        <v>45636</v>
      </c>
      <c r="M43">
        <v>45672</v>
      </c>
      <c r="N43" t="s">
        <v>1393</v>
      </c>
      <c r="O43">
        <v>-227498.48</v>
      </c>
      <c r="P43">
        <v>0</v>
      </c>
      <c r="Q43" t="s">
        <v>44</v>
      </c>
      <c r="R43">
        <v>45649</v>
      </c>
      <c r="S43">
        <v>-227498.48</v>
      </c>
      <c r="T43" t="s">
        <v>1394</v>
      </c>
      <c r="U43"/>
      <c r="W43" t="s">
        <v>1267</v>
      </c>
    </row>
    <row r="44" spans="1:23" x14ac:dyDescent="0.2">
      <c r="B44"/>
      <c r="C44"/>
      <c r="D44" s="106"/>
      <c r="E44" s="79"/>
      <c r="F44"/>
      <c r="G44"/>
      <c r="H44"/>
      <c r="I44" s="81"/>
      <c r="J44"/>
      <c r="K44" s="79"/>
      <c r="L44" s="79"/>
      <c r="M44" s="79"/>
      <c r="N44"/>
      <c r="O44"/>
      <c r="P44"/>
      <c r="Q44"/>
      <c r="R44" s="79"/>
      <c r="S44"/>
      <c r="T44"/>
      <c r="U44"/>
    </row>
    <row r="45" spans="1:23" x14ac:dyDescent="0.2">
      <c r="B45"/>
      <c r="C45"/>
      <c r="D45" s="79"/>
      <c r="E45" s="79"/>
      <c r="F45"/>
      <c r="G45"/>
      <c r="H45"/>
      <c r="I45" s="81"/>
      <c r="J45"/>
      <c r="K45" s="79"/>
      <c r="L45" s="79"/>
      <c r="M45" s="79"/>
      <c r="N45"/>
      <c r="O45"/>
      <c r="P45"/>
      <c r="Q45"/>
      <c r="R45" s="79"/>
      <c r="S45"/>
      <c r="T45"/>
      <c r="U45"/>
    </row>
    <row r="49" spans="1:7" x14ac:dyDescent="0.2">
      <c r="A49" s="80" t="s">
        <v>405</v>
      </c>
    </row>
    <row r="50" spans="1:7" x14ac:dyDescent="0.2">
      <c r="A50" t="s">
        <v>397</v>
      </c>
      <c r="B50" s="19" t="s">
        <v>398</v>
      </c>
      <c r="C50" s="19" t="s">
        <v>399</v>
      </c>
      <c r="D50" s="19" t="s">
        <v>400</v>
      </c>
      <c r="E50" s="19" t="s">
        <v>401</v>
      </c>
      <c r="F50" s="19" t="s">
        <v>402</v>
      </c>
    </row>
    <row r="51" spans="1:7" x14ac:dyDescent="0.2">
      <c r="C51" s="76"/>
      <c r="D51" s="19" t="s">
        <v>404</v>
      </c>
      <c r="E51" s="19">
        <v>397.15</v>
      </c>
      <c r="F51" s="19" t="s">
        <v>403</v>
      </c>
    </row>
    <row r="52" spans="1:7" x14ac:dyDescent="0.2">
      <c r="G52" s="194"/>
    </row>
    <row r="53" spans="1:7" x14ac:dyDescent="0.2">
      <c r="B53" s="76"/>
      <c r="D53" s="19" t="s">
        <v>1289</v>
      </c>
      <c r="E53" s="19">
        <f>E51/'FX FWD precedent'!E51-1</f>
        <v>0</v>
      </c>
    </row>
    <row r="54" spans="1:7" x14ac:dyDescent="0.2">
      <c r="B54" s="76"/>
      <c r="D54" s="19" t="s">
        <v>1290</v>
      </c>
      <c r="E54" s="195">
        <f>E53*SUM(H30:H34)</f>
        <v>0</v>
      </c>
    </row>
  </sheetData>
  <autoFilter ref="A1:O15" xr:uid="{00000000-0001-0000-0700-000000000000}">
    <filterColumn colId="10">
      <filters>
        <dateGroupItem year="2025" month="4" dateTimeGrouping="month"/>
      </filters>
    </filterColumn>
    <sortState xmlns:xlrd2="http://schemas.microsoft.com/office/spreadsheetml/2017/richdata2" ref="A2:O11">
      <sortCondition ref="A1:A11"/>
    </sortState>
  </autoFilter>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ADD8F-A970-4970-8417-9BA22E61C43F}">
  <sheetPr codeName="Feuil4"/>
  <dimension ref="A1:X19"/>
  <sheetViews>
    <sheetView workbookViewId="0">
      <selection activeCell="AN7" sqref="AN7:AN33"/>
    </sheetView>
  </sheetViews>
  <sheetFormatPr baseColWidth="10" defaultRowHeight="12.75" x14ac:dyDescent="0.2"/>
  <cols>
    <col min="1" max="1" width="22.140625" bestFit="1" customWidth="1"/>
    <col min="2" max="2" width="9" bestFit="1" customWidth="1"/>
    <col min="3" max="3" width="18.140625" bestFit="1" customWidth="1"/>
    <col min="4" max="4" width="22.85546875" bestFit="1" customWidth="1"/>
    <col min="5" max="5" width="10.140625" bestFit="1" customWidth="1"/>
    <col min="6" max="6" width="9.7109375" bestFit="1" customWidth="1"/>
    <col min="7" max="7" width="14.5703125" bestFit="1" customWidth="1"/>
    <col min="8" max="8" width="11.140625" bestFit="1" customWidth="1"/>
    <col min="9" max="9" width="7.140625" bestFit="1" customWidth="1"/>
    <col min="10" max="10" width="13" bestFit="1" customWidth="1"/>
    <col min="11" max="11" width="21.7109375" bestFit="1" customWidth="1"/>
    <col min="12" max="12" width="73.140625" bestFit="1" customWidth="1"/>
    <col min="13" max="13" width="19" customWidth="1"/>
  </cols>
  <sheetData>
    <row r="1" spans="1:12" x14ac:dyDescent="0.2">
      <c r="A1" s="72" t="s">
        <v>649</v>
      </c>
      <c r="B1" s="72" t="s">
        <v>654</v>
      </c>
      <c r="C1" s="72" t="s">
        <v>355</v>
      </c>
      <c r="D1" s="72" t="s">
        <v>2</v>
      </c>
      <c r="E1" s="72" t="s">
        <v>653</v>
      </c>
      <c r="F1" s="72" t="s">
        <v>650</v>
      </c>
      <c r="G1" s="72" t="s">
        <v>651</v>
      </c>
      <c r="H1" s="72" t="s">
        <v>652</v>
      </c>
      <c r="I1" s="72" t="s">
        <v>689</v>
      </c>
      <c r="J1" s="72" t="s">
        <v>690</v>
      </c>
      <c r="K1" s="72" t="s">
        <v>304</v>
      </c>
      <c r="L1" s="72" t="s">
        <v>691</v>
      </c>
    </row>
    <row r="2" spans="1:12" x14ac:dyDescent="0.2">
      <c r="A2" t="str">
        <f>+T19</f>
        <v>TRS100000132</v>
      </c>
      <c r="B2" s="22"/>
      <c r="C2" t="str">
        <f>+W19</f>
        <v>BNP Paribas</v>
      </c>
      <c r="D2" s="64">
        <f>+H19</f>
        <v>30000000</v>
      </c>
      <c r="E2" s="64">
        <f>+O19</f>
        <v>-855000</v>
      </c>
      <c r="F2" s="64">
        <f>+P19</f>
        <v>-834012.97249999992</v>
      </c>
      <c r="G2" s="142">
        <f>E2/D2</f>
        <v>-2.8500000000000001E-2</v>
      </c>
      <c r="H2" s="142">
        <f>F2/D2</f>
        <v>-2.7800432416666663E-2</v>
      </c>
      <c r="I2" s="144">
        <v>0.02</v>
      </c>
      <c r="J2" s="144">
        <f>+G2-H2</f>
        <v>-6.9956758333333813E-4</v>
      </c>
      <c r="K2" t="str">
        <f t="shared" ref="K2" si="0">IF(ABS(G2-H2)&gt;I2,"alerte","")</f>
        <v/>
      </c>
      <c r="L2" s="22" t="s">
        <v>1412</v>
      </c>
    </row>
    <row r="17" spans="1:24" x14ac:dyDescent="0.2">
      <c r="A17" s="82" t="s">
        <v>916</v>
      </c>
    </row>
    <row r="18" spans="1:24" x14ac:dyDescent="0.2">
      <c r="A18" t="s">
        <v>367</v>
      </c>
      <c r="B18" t="s">
        <v>307</v>
      </c>
      <c r="C18" t="s">
        <v>355</v>
      </c>
      <c r="D18" t="s">
        <v>356</v>
      </c>
      <c r="E18" t="s">
        <v>368</v>
      </c>
      <c r="F18" t="s">
        <v>310</v>
      </c>
      <c r="G18" t="s">
        <v>308</v>
      </c>
      <c r="H18" t="s">
        <v>357</v>
      </c>
      <c r="I18" t="s">
        <v>369</v>
      </c>
      <c r="J18" t="s">
        <v>358</v>
      </c>
      <c r="K18" t="s">
        <v>359</v>
      </c>
      <c r="L18" t="s">
        <v>360</v>
      </c>
      <c r="M18" t="s">
        <v>361</v>
      </c>
      <c r="N18" t="s">
        <v>370</v>
      </c>
      <c r="O18" t="s">
        <v>311</v>
      </c>
      <c r="P18" t="s">
        <v>329</v>
      </c>
      <c r="Q18" t="s">
        <v>309</v>
      </c>
      <c r="R18" t="s">
        <v>371</v>
      </c>
      <c r="S18" t="s">
        <v>330</v>
      </c>
      <c r="T18" t="s">
        <v>331</v>
      </c>
      <c r="U18" t="s">
        <v>328</v>
      </c>
      <c r="V18" t="s">
        <v>627</v>
      </c>
      <c r="W18" t="s">
        <v>373</v>
      </c>
      <c r="X18" t="s">
        <v>374</v>
      </c>
    </row>
    <row r="19" spans="1:24" x14ac:dyDescent="0.2">
      <c r="A19">
        <v>2920761446</v>
      </c>
      <c r="B19" t="s">
        <v>363</v>
      </c>
      <c r="C19" t="s">
        <v>312</v>
      </c>
      <c r="D19" t="s">
        <v>1270</v>
      </c>
      <c r="E19" t="s">
        <v>1269</v>
      </c>
      <c r="F19">
        <v>30000000</v>
      </c>
      <c r="G19" t="s">
        <v>44</v>
      </c>
      <c r="H19">
        <v>30000000</v>
      </c>
      <c r="I19">
        <v>30000000</v>
      </c>
      <c r="J19" t="s">
        <v>44</v>
      </c>
      <c r="K19">
        <v>45503</v>
      </c>
      <c r="L19">
        <v>45677</v>
      </c>
      <c r="M19">
        <v>47750</v>
      </c>
      <c r="N19" t="s">
        <v>1271</v>
      </c>
      <c r="O19">
        <v>-855000</v>
      </c>
      <c r="P19">
        <v>-834012.97249999992</v>
      </c>
      <c r="Q19" t="s">
        <v>44</v>
      </c>
      <c r="R19">
        <v>45657</v>
      </c>
      <c r="S19">
        <v>-20987.0275</v>
      </c>
      <c r="T19" t="s">
        <v>1183</v>
      </c>
      <c r="W19" t="s">
        <v>421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512DE-6E24-483C-9545-1A77A975EA6F}">
  <sheetPr codeName="Feuil11"/>
  <dimension ref="A1:X19"/>
  <sheetViews>
    <sheetView workbookViewId="0">
      <selection sqref="A1:XFD1048576"/>
    </sheetView>
  </sheetViews>
  <sheetFormatPr baseColWidth="10" defaultRowHeight="12.75" x14ac:dyDescent="0.2"/>
  <cols>
    <col min="1" max="1" width="22.140625" bestFit="1" customWidth="1"/>
    <col min="2" max="2" width="9" bestFit="1" customWidth="1"/>
    <col min="3" max="3" width="18.140625" bestFit="1" customWidth="1"/>
    <col min="4" max="4" width="22.85546875" bestFit="1" customWidth="1"/>
    <col min="5" max="5" width="10.140625" bestFit="1" customWidth="1"/>
    <col min="6" max="6" width="9.7109375" bestFit="1" customWidth="1"/>
    <col min="7" max="7" width="14.5703125" bestFit="1" customWidth="1"/>
    <col min="8" max="8" width="11.140625" bestFit="1" customWidth="1"/>
    <col min="9" max="9" width="7.140625" bestFit="1" customWidth="1"/>
    <col min="10" max="10" width="13" bestFit="1" customWidth="1"/>
    <col min="11" max="11" width="21.7109375" bestFit="1" customWidth="1"/>
    <col min="12" max="12" width="73.140625" bestFit="1" customWidth="1"/>
    <col min="13" max="13" width="19" customWidth="1"/>
  </cols>
  <sheetData>
    <row r="1" spans="1:12" x14ac:dyDescent="0.2">
      <c r="A1" s="72" t="s">
        <v>649</v>
      </c>
      <c r="B1" s="72" t="s">
        <v>654</v>
      </c>
      <c r="C1" s="72" t="s">
        <v>355</v>
      </c>
      <c r="D1" s="72" t="s">
        <v>2</v>
      </c>
      <c r="E1" s="72" t="s">
        <v>653</v>
      </c>
      <c r="F1" s="72" t="s">
        <v>650</v>
      </c>
      <c r="G1" s="72" t="s">
        <v>651</v>
      </c>
      <c r="H1" s="72" t="s">
        <v>652</v>
      </c>
      <c r="I1" s="72" t="s">
        <v>689</v>
      </c>
      <c r="J1" s="72" t="s">
        <v>690</v>
      </c>
      <c r="K1" s="72" t="s">
        <v>304</v>
      </c>
      <c r="L1" s="72" t="s">
        <v>691</v>
      </c>
    </row>
    <row r="2" spans="1:12" x14ac:dyDescent="0.2">
      <c r="A2" t="str">
        <f>+T19</f>
        <v>TRS100000132</v>
      </c>
      <c r="B2" s="22"/>
      <c r="C2" t="str">
        <f>+W19</f>
        <v>BNP Paribas</v>
      </c>
      <c r="D2" s="64">
        <f>+H19</f>
        <v>30000000</v>
      </c>
      <c r="E2" s="64">
        <f>+O19</f>
        <v>-888000</v>
      </c>
      <c r="F2" s="64">
        <f>+P19</f>
        <v>-786094.44530000002</v>
      </c>
      <c r="G2" s="142">
        <f>E2/D2</f>
        <v>-2.9600000000000001E-2</v>
      </c>
      <c r="H2" s="142">
        <f>F2/D2</f>
        <v>-2.6203148176666666E-2</v>
      </c>
      <c r="I2" s="144">
        <v>0.02</v>
      </c>
      <c r="J2" s="144">
        <f>+G2-H2</f>
        <v>-3.3968518233333349E-3</v>
      </c>
      <c r="K2" t="str">
        <f t="shared" ref="K2" si="0">IF(ABS(G2-H2)&gt;I2,"alerte","")</f>
        <v/>
      </c>
      <c r="L2" s="22" t="s">
        <v>1412</v>
      </c>
    </row>
    <row r="17" spans="1:24" x14ac:dyDescent="0.2">
      <c r="A17" s="82" t="s">
        <v>916</v>
      </c>
    </row>
    <row r="18" spans="1:24" x14ac:dyDescent="0.2">
      <c r="A18" t="s">
        <v>367</v>
      </c>
      <c r="B18" t="s">
        <v>307</v>
      </c>
      <c r="C18" t="s">
        <v>355</v>
      </c>
      <c r="D18" t="s">
        <v>356</v>
      </c>
      <c r="E18" t="s">
        <v>368</v>
      </c>
      <c r="F18" t="s">
        <v>310</v>
      </c>
      <c r="G18" t="s">
        <v>308</v>
      </c>
      <c r="H18" t="s">
        <v>357</v>
      </c>
      <c r="I18" t="s">
        <v>369</v>
      </c>
      <c r="J18" t="s">
        <v>358</v>
      </c>
      <c r="K18" t="s">
        <v>359</v>
      </c>
      <c r="L18" t="s">
        <v>360</v>
      </c>
      <c r="M18" t="s">
        <v>361</v>
      </c>
      <c r="N18" t="s">
        <v>370</v>
      </c>
      <c r="O18" t="s">
        <v>311</v>
      </c>
      <c r="P18" t="s">
        <v>329</v>
      </c>
      <c r="Q18" t="s">
        <v>309</v>
      </c>
      <c r="R18" t="s">
        <v>371</v>
      </c>
      <c r="S18" t="s">
        <v>330</v>
      </c>
      <c r="T18" t="s">
        <v>331</v>
      </c>
      <c r="U18" t="s">
        <v>328</v>
      </c>
      <c r="V18" t="s">
        <v>627</v>
      </c>
      <c r="W18" t="s">
        <v>373</v>
      </c>
      <c r="X18" t="s">
        <v>374</v>
      </c>
    </row>
    <row r="19" spans="1:24" x14ac:dyDescent="0.2">
      <c r="A19">
        <v>2920761446</v>
      </c>
      <c r="B19" t="s">
        <v>363</v>
      </c>
      <c r="C19" t="s">
        <v>312</v>
      </c>
      <c r="D19" t="s">
        <v>1270</v>
      </c>
      <c r="E19" t="s">
        <v>1269</v>
      </c>
      <c r="F19">
        <v>30000000</v>
      </c>
      <c r="G19" t="s">
        <v>44</v>
      </c>
      <c r="H19">
        <v>30000000</v>
      </c>
      <c r="I19">
        <v>30000000</v>
      </c>
      <c r="J19" t="s">
        <v>44</v>
      </c>
      <c r="K19">
        <v>45503</v>
      </c>
      <c r="L19">
        <v>45677</v>
      </c>
      <c r="M19">
        <v>47750</v>
      </c>
      <c r="N19" t="s">
        <v>1271</v>
      </c>
      <c r="O19">
        <v>-888000</v>
      </c>
      <c r="P19">
        <v>-786094.44530000002</v>
      </c>
      <c r="Q19" t="s">
        <v>44</v>
      </c>
      <c r="R19">
        <v>45649</v>
      </c>
      <c r="S19">
        <v>-101905.55469999999</v>
      </c>
      <c r="T19" t="s">
        <v>1183</v>
      </c>
      <c r="W19" t="s">
        <v>421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6"/>
  <dimension ref="A1:V191"/>
  <sheetViews>
    <sheetView topLeftCell="A4" zoomScaleNormal="100" workbookViewId="0">
      <selection activeCell="K28" sqref="K28"/>
    </sheetView>
  </sheetViews>
  <sheetFormatPr baseColWidth="10" defaultColWidth="11.42578125" defaultRowHeight="12.75" x14ac:dyDescent="0.2"/>
  <cols>
    <col min="1" max="1" width="27.85546875" style="19" customWidth="1"/>
    <col min="2" max="2" width="11.42578125" style="19"/>
    <col min="3" max="3" width="25" style="19" bestFit="1" customWidth="1"/>
    <col min="4" max="4" width="21.28515625" style="19" bestFit="1" customWidth="1"/>
    <col min="5" max="5" width="22.85546875" style="19" bestFit="1" customWidth="1"/>
    <col min="6" max="7" width="11.42578125" style="19"/>
    <col min="8" max="22" width="10.85546875"/>
    <col min="23" max="23" width="11.42578125" style="19" customWidth="1"/>
    <col min="24" max="16384" width="11.42578125" style="19"/>
  </cols>
  <sheetData>
    <row r="1" spans="1:22" x14ac:dyDescent="0.2">
      <c r="A1" s="19" t="s">
        <v>425</v>
      </c>
      <c r="D1" s="19" t="s">
        <v>354</v>
      </c>
    </row>
    <row r="2" spans="1:22" ht="11.25" x14ac:dyDescent="0.2">
      <c r="A2" s="90" t="s">
        <v>423</v>
      </c>
      <c r="C2" s="19" t="s">
        <v>426</v>
      </c>
      <c r="D2" s="90" t="s">
        <v>424</v>
      </c>
      <c r="H2" s="19"/>
      <c r="I2" s="19"/>
      <c r="J2" s="19"/>
      <c r="K2" s="19"/>
      <c r="L2" s="19"/>
      <c r="M2" s="19"/>
      <c r="N2" s="19"/>
      <c r="O2" s="19"/>
      <c r="P2" s="19"/>
      <c r="Q2" s="19"/>
      <c r="R2" s="19"/>
      <c r="S2" s="19"/>
      <c r="T2" s="19"/>
      <c r="U2" s="19"/>
      <c r="V2" s="19"/>
    </row>
    <row r="3" spans="1:22" ht="11.25" x14ac:dyDescent="0.2">
      <c r="A3" s="90"/>
      <c r="D3" s="90"/>
      <c r="H3" s="19"/>
      <c r="I3" s="19"/>
      <c r="J3" s="19"/>
      <c r="K3" s="19"/>
      <c r="L3" s="19"/>
      <c r="M3" s="19"/>
      <c r="N3" s="19"/>
      <c r="O3" s="19"/>
      <c r="P3" s="19"/>
      <c r="Q3" s="19"/>
      <c r="R3" s="19"/>
      <c r="S3" s="19"/>
      <c r="T3" s="19"/>
      <c r="U3" s="19"/>
      <c r="V3" s="19"/>
    </row>
    <row r="4" spans="1:22" ht="11.25" x14ac:dyDescent="0.2">
      <c r="H4" s="19"/>
      <c r="I4" s="19"/>
      <c r="J4" s="19"/>
      <c r="K4" s="19"/>
      <c r="L4" s="19"/>
      <c r="M4" s="19"/>
      <c r="N4" s="19"/>
      <c r="O4" s="19"/>
      <c r="P4" s="19"/>
      <c r="Q4" s="19"/>
      <c r="R4" s="19"/>
      <c r="S4" s="19"/>
      <c r="T4" s="19"/>
      <c r="U4" s="19"/>
      <c r="V4" s="19"/>
    </row>
    <row r="5" spans="1:22" ht="15" x14ac:dyDescent="0.25">
      <c r="A5" s="47" t="s">
        <v>435</v>
      </c>
      <c r="B5" s="47" t="s">
        <v>309</v>
      </c>
      <c r="C5" s="47" t="s">
        <v>335</v>
      </c>
      <c r="D5" s="47" t="s">
        <v>336</v>
      </c>
      <c r="E5" s="47" t="s">
        <v>337</v>
      </c>
      <c r="H5" s="86"/>
      <c r="I5" s="86"/>
      <c r="J5" s="86"/>
      <c r="K5" s="86"/>
      <c r="L5" s="86"/>
      <c r="M5" s="86"/>
      <c r="N5" s="86"/>
      <c r="O5" s="86"/>
      <c r="P5" s="86"/>
      <c r="Q5" s="86"/>
      <c r="R5" s="86"/>
      <c r="S5" s="86"/>
      <c r="T5" s="86"/>
      <c r="U5" s="86"/>
      <c r="V5" s="86"/>
    </row>
    <row r="6" spans="1:22" s="18" customFormat="1" ht="15" x14ac:dyDescent="0.25">
      <c r="A6" s="143"/>
      <c r="B6"/>
      <c r="C6" s="64"/>
      <c r="D6" s="64"/>
      <c r="E6" s="64"/>
    </row>
    <row r="7" spans="1:22" ht="15" x14ac:dyDescent="0.25">
      <c r="A7" s="143"/>
      <c r="B7"/>
      <c r="C7" s="64"/>
      <c r="D7" s="64"/>
      <c r="E7" s="64"/>
      <c r="H7" s="19"/>
      <c r="I7" s="19"/>
      <c r="J7" s="19"/>
      <c r="K7" s="19"/>
      <c r="L7" s="19"/>
      <c r="M7" s="19"/>
      <c r="N7" s="19"/>
      <c r="O7" s="19"/>
      <c r="P7" s="19"/>
      <c r="Q7" s="19"/>
      <c r="R7" s="19"/>
      <c r="S7" s="19"/>
      <c r="T7" s="19"/>
      <c r="U7" s="19"/>
      <c r="V7" s="19"/>
    </row>
    <row r="8" spans="1:22" ht="15" x14ac:dyDescent="0.25">
      <c r="A8" s="107"/>
      <c r="B8"/>
      <c r="C8" s="64"/>
      <c r="D8" s="64"/>
      <c r="E8" s="64"/>
      <c r="H8" s="19"/>
      <c r="I8" s="19"/>
      <c r="J8" s="19"/>
      <c r="K8" s="19"/>
      <c r="L8" s="19"/>
      <c r="M8" s="19"/>
      <c r="N8" s="19"/>
      <c r="O8" s="19"/>
      <c r="P8" s="19"/>
      <c r="Q8" s="19"/>
      <c r="R8" s="19"/>
      <c r="S8" s="19"/>
      <c r="T8" s="19"/>
      <c r="U8" s="19"/>
      <c r="V8" s="19"/>
    </row>
    <row r="9" spans="1:22" ht="15" x14ac:dyDescent="0.25">
      <c r="A9" s="107"/>
      <c r="B9"/>
      <c r="C9" s="64"/>
      <c r="D9" s="64"/>
      <c r="E9" s="64"/>
      <c r="H9" s="19"/>
      <c r="I9" s="19"/>
      <c r="J9" s="19"/>
      <c r="K9" s="19"/>
      <c r="L9" s="19"/>
      <c r="M9" s="19"/>
      <c r="N9" s="19"/>
      <c r="O9" s="19"/>
      <c r="P9" s="19"/>
      <c r="Q9" s="19"/>
      <c r="R9" s="19"/>
      <c r="S9" s="19"/>
      <c r="T9" s="19"/>
      <c r="U9" s="19"/>
      <c r="V9" s="19"/>
    </row>
    <row r="10" spans="1:22" ht="15" x14ac:dyDescent="0.25">
      <c r="A10" s="107" t="s">
        <v>269</v>
      </c>
      <c r="B10" t="s">
        <v>44</v>
      </c>
      <c r="C10" s="64">
        <v>-3543992.82</v>
      </c>
      <c r="D10" s="64">
        <v>-3547451.0453499998</v>
      </c>
      <c r="E10" s="64">
        <v>3458.2253500000002</v>
      </c>
      <c r="H10" s="19"/>
      <c r="I10" s="19"/>
      <c r="J10" s="19"/>
      <c r="K10" s="19"/>
      <c r="L10" s="19"/>
      <c r="M10" s="19"/>
      <c r="N10" s="19"/>
      <c r="O10" s="19"/>
      <c r="P10" s="19"/>
      <c r="Q10" s="19"/>
      <c r="R10" s="19"/>
      <c r="S10" s="19"/>
      <c r="T10" s="19"/>
      <c r="U10" s="19"/>
      <c r="V10" s="19"/>
    </row>
    <row r="11" spans="1:22" ht="15" x14ac:dyDescent="0.25">
      <c r="A11" s="107" t="s">
        <v>272</v>
      </c>
      <c r="B11" t="s">
        <v>44</v>
      </c>
      <c r="C11" s="64">
        <v>-1969488.7</v>
      </c>
      <c r="D11" s="64">
        <v>-1971424.9786939998</v>
      </c>
      <c r="E11" s="64">
        <v>1936.278695</v>
      </c>
      <c r="H11" s="19"/>
      <c r="I11" s="19"/>
      <c r="J11" s="19"/>
      <c r="K11" s="19"/>
      <c r="L11" s="19"/>
      <c r="M11" s="19"/>
      <c r="N11" s="19"/>
      <c r="O11" s="19"/>
      <c r="P11" s="19"/>
      <c r="Q11" s="19"/>
      <c r="R11" s="19"/>
      <c r="S11" s="19"/>
      <c r="T11" s="19"/>
      <c r="U11" s="19"/>
      <c r="V11" s="19"/>
    </row>
    <row r="12" spans="1:22" ht="15" x14ac:dyDescent="0.25">
      <c r="A12" s="107" t="s">
        <v>280</v>
      </c>
      <c r="B12" t="s">
        <v>44</v>
      </c>
      <c r="C12" s="64">
        <v>-3658795.1999999997</v>
      </c>
      <c r="D12" s="64">
        <v>-3659680.74</v>
      </c>
      <c r="E12" s="64">
        <v>885.54</v>
      </c>
      <c r="H12" s="19"/>
      <c r="I12" s="19"/>
      <c r="J12" s="19"/>
      <c r="K12" s="19"/>
      <c r="L12" s="19"/>
      <c r="M12" s="19"/>
      <c r="N12" s="19"/>
      <c r="O12" s="19"/>
      <c r="P12" s="19"/>
      <c r="Q12" s="19"/>
      <c r="R12" s="19"/>
      <c r="S12" s="19"/>
      <c r="T12" s="19"/>
      <c r="U12" s="19"/>
      <c r="V12" s="19"/>
    </row>
    <row r="13" spans="1:22" ht="15" x14ac:dyDescent="0.25">
      <c r="A13" s="107" t="s">
        <v>283</v>
      </c>
      <c r="B13" t="s">
        <v>44</v>
      </c>
      <c r="C13" s="64">
        <v>-7053626.5599999996</v>
      </c>
      <c r="D13" s="64">
        <v>-7055338.8399999999</v>
      </c>
      <c r="E13" s="64">
        <v>1712.28</v>
      </c>
      <c r="H13" s="19"/>
      <c r="I13" s="19"/>
      <c r="J13" s="19"/>
      <c r="K13" s="19"/>
      <c r="L13" s="19"/>
      <c r="M13" s="19"/>
      <c r="N13" s="19"/>
      <c r="O13" s="19"/>
      <c r="P13" s="19"/>
      <c r="Q13" s="19"/>
      <c r="R13" s="19"/>
      <c r="S13" s="19"/>
      <c r="T13" s="19"/>
      <c r="U13" s="19"/>
      <c r="V13" s="19"/>
    </row>
    <row r="14" spans="1:22" ht="15" x14ac:dyDescent="0.25">
      <c r="A14" s="107" t="s">
        <v>277</v>
      </c>
      <c r="B14" t="s">
        <v>44</v>
      </c>
      <c r="C14" s="64">
        <v>-11282115.17</v>
      </c>
      <c r="D14" s="64">
        <v>-11379259.09</v>
      </c>
      <c r="E14" s="64">
        <v>97143.92</v>
      </c>
      <c r="H14" s="19"/>
      <c r="I14" s="19"/>
      <c r="J14" s="19"/>
      <c r="K14" s="19"/>
      <c r="L14" s="19"/>
      <c r="M14" s="19"/>
      <c r="N14" s="19"/>
      <c r="O14" s="19"/>
      <c r="P14" s="19"/>
      <c r="Q14" s="19"/>
      <c r="R14" s="19"/>
      <c r="S14" s="19"/>
      <c r="T14" s="19"/>
      <c r="U14" s="19"/>
      <c r="V14" s="19"/>
    </row>
    <row r="15" spans="1:22" ht="15" x14ac:dyDescent="0.25">
      <c r="A15" s="107" t="s">
        <v>300</v>
      </c>
      <c r="B15" t="s">
        <v>44</v>
      </c>
      <c r="C15" s="64">
        <v>-13917128.869999999</v>
      </c>
      <c r="D15" s="64">
        <v>-13703543.4977</v>
      </c>
      <c r="E15" s="64">
        <v>-213585.37229999999</v>
      </c>
      <c r="H15" s="19"/>
      <c r="I15" s="19"/>
      <c r="J15" s="19"/>
      <c r="K15" s="19"/>
      <c r="L15" s="19"/>
      <c r="M15" s="19"/>
      <c r="N15" s="19"/>
      <c r="O15" s="19"/>
      <c r="P15" s="19"/>
      <c r="Q15" s="19"/>
      <c r="R15" s="19"/>
      <c r="S15" s="19"/>
      <c r="T15" s="19"/>
      <c r="U15" s="19"/>
      <c r="V15" s="19"/>
    </row>
    <row r="16" spans="1:22" ht="15" x14ac:dyDescent="0.25">
      <c r="A16" s="107" t="s">
        <v>185</v>
      </c>
      <c r="B16" t="s">
        <v>44</v>
      </c>
      <c r="C16" s="64">
        <v>-3853062.01</v>
      </c>
      <c r="D16" s="64">
        <v>-3869409.05</v>
      </c>
      <c r="E16" s="64">
        <v>16347.04</v>
      </c>
      <c r="H16" s="19"/>
      <c r="I16" s="19"/>
      <c r="J16" s="19"/>
      <c r="K16" s="19"/>
      <c r="L16" s="19"/>
      <c r="M16" s="19"/>
      <c r="N16" s="19"/>
      <c r="O16" s="19"/>
      <c r="P16" s="19"/>
      <c r="Q16" s="19"/>
      <c r="R16" s="19"/>
      <c r="S16" s="19"/>
      <c r="T16" s="19"/>
      <c r="U16" s="19"/>
      <c r="V16" s="19"/>
    </row>
    <row r="17" spans="1:22" ht="15" x14ac:dyDescent="0.25">
      <c r="A17" s="107" t="s">
        <v>180</v>
      </c>
      <c r="B17" t="s">
        <v>44</v>
      </c>
      <c r="C17" s="64">
        <v>-16909211.210000001</v>
      </c>
      <c r="D17" s="64">
        <v>-16910400.890000001</v>
      </c>
      <c r="E17" s="64">
        <v>1189.68</v>
      </c>
      <c r="H17" s="19"/>
      <c r="I17" s="19"/>
      <c r="J17" s="19"/>
      <c r="K17" s="19"/>
      <c r="L17" s="19"/>
      <c r="M17" s="19"/>
      <c r="N17" s="19"/>
      <c r="O17" s="19"/>
      <c r="P17" s="19"/>
      <c r="Q17" s="19"/>
      <c r="R17" s="19"/>
      <c r="S17" s="19"/>
      <c r="T17" s="19"/>
      <c r="U17" s="19"/>
      <c r="V17" s="19"/>
    </row>
    <row r="18" spans="1:22" ht="15" x14ac:dyDescent="0.25">
      <c r="A18" s="107" t="s">
        <v>292</v>
      </c>
      <c r="B18" t="s">
        <v>44</v>
      </c>
      <c r="C18" s="64">
        <v>-13653128.050000001</v>
      </c>
      <c r="D18" s="64">
        <v>-13511966.157534</v>
      </c>
      <c r="E18" s="64">
        <v>-141161.89246599999</v>
      </c>
      <c r="H18" s="19"/>
      <c r="I18" s="19"/>
      <c r="J18" s="19"/>
      <c r="K18" s="19"/>
      <c r="L18" s="19"/>
      <c r="M18" s="19"/>
      <c r="N18" s="19"/>
      <c r="O18" s="19"/>
      <c r="P18" s="19"/>
      <c r="Q18" s="19"/>
      <c r="R18" s="19"/>
      <c r="S18" s="19"/>
      <c r="T18" s="19"/>
      <c r="U18" s="19"/>
      <c r="V18" s="19"/>
    </row>
    <row r="19" spans="1:22" ht="15" x14ac:dyDescent="0.25">
      <c r="A19" s="107" t="s">
        <v>289</v>
      </c>
      <c r="B19" t="s">
        <v>44</v>
      </c>
      <c r="C19" s="64">
        <v>-25926340.670000002</v>
      </c>
      <c r="D19" s="64">
        <v>-25700771.426013</v>
      </c>
      <c r="E19" s="64">
        <v>-225569.24398699999</v>
      </c>
      <c r="H19" s="19"/>
      <c r="I19" s="19"/>
      <c r="J19" s="19"/>
      <c r="K19" s="19"/>
      <c r="L19" s="19"/>
      <c r="M19" s="19"/>
      <c r="N19" s="19"/>
      <c r="O19" s="19"/>
      <c r="P19" s="19"/>
      <c r="Q19" s="19"/>
      <c r="R19" s="19"/>
      <c r="S19" s="19"/>
      <c r="T19" s="19"/>
      <c r="U19" s="19"/>
      <c r="V19" s="19"/>
    </row>
    <row r="20" spans="1:22" ht="15" x14ac:dyDescent="0.25">
      <c r="A20" s="107" t="s">
        <v>286</v>
      </c>
      <c r="B20" t="s">
        <v>44</v>
      </c>
      <c r="C20" s="64">
        <v>-5450130.1699999999</v>
      </c>
      <c r="D20" s="64">
        <v>-5451457.0899999999</v>
      </c>
      <c r="E20" s="64">
        <v>1326.92</v>
      </c>
      <c r="H20" s="19"/>
      <c r="I20" s="19"/>
      <c r="J20" s="19"/>
      <c r="K20" s="19"/>
      <c r="L20" s="19"/>
      <c r="M20" s="19"/>
      <c r="N20" s="19"/>
      <c r="O20" s="19"/>
      <c r="P20" s="19"/>
      <c r="Q20" s="19"/>
      <c r="R20" s="19"/>
      <c r="S20" s="19"/>
      <c r="T20" s="19"/>
      <c r="U20" s="19"/>
      <c r="V20" s="19"/>
    </row>
    <row r="21" spans="1:22" ht="15" x14ac:dyDescent="0.25">
      <c r="A21" s="107" t="s">
        <v>171</v>
      </c>
      <c r="B21" t="s">
        <v>44</v>
      </c>
      <c r="C21" s="64">
        <v>58268.25</v>
      </c>
      <c r="D21" s="64">
        <v>70020.12</v>
      </c>
      <c r="E21" s="64">
        <v>-11751.87</v>
      </c>
      <c r="H21" s="19"/>
      <c r="I21" s="19"/>
      <c r="J21" s="19"/>
      <c r="K21" s="19"/>
      <c r="L21" s="19"/>
      <c r="M21" s="19"/>
      <c r="N21" s="19"/>
      <c r="O21" s="19"/>
      <c r="P21" s="19"/>
      <c r="Q21" s="19"/>
      <c r="R21" s="19"/>
      <c r="S21" s="19"/>
      <c r="T21" s="19"/>
      <c r="U21" s="19"/>
      <c r="V21" s="19"/>
    </row>
    <row r="22" spans="1:22" ht="15" x14ac:dyDescent="0.25">
      <c r="A22" s="107" t="s">
        <v>149</v>
      </c>
      <c r="B22" t="s">
        <v>44</v>
      </c>
      <c r="C22" s="64">
        <v>-35096.870000000003</v>
      </c>
      <c r="D22" s="64">
        <v>-26996.94</v>
      </c>
      <c r="E22" s="64">
        <v>-8099.93</v>
      </c>
      <c r="H22" s="19"/>
      <c r="I22" s="19"/>
      <c r="J22" s="19"/>
      <c r="K22" s="19"/>
      <c r="L22" s="19"/>
      <c r="M22" s="19"/>
      <c r="N22" s="19"/>
      <c r="O22" s="19"/>
      <c r="P22" s="19"/>
      <c r="Q22" s="19"/>
      <c r="R22" s="19"/>
      <c r="S22" s="19"/>
      <c r="T22" s="19"/>
      <c r="U22" s="19"/>
      <c r="V22" s="19"/>
    </row>
    <row r="23" spans="1:22" ht="15" x14ac:dyDescent="0.25">
      <c r="A23" s="107" t="s">
        <v>164</v>
      </c>
      <c r="B23" t="s">
        <v>44</v>
      </c>
      <c r="C23" s="64">
        <v>-194186.23999999999</v>
      </c>
      <c r="D23" s="64">
        <v>-156940.04</v>
      </c>
      <c r="E23" s="64">
        <v>-37246.199999999997</v>
      </c>
      <c r="H23" s="19"/>
      <c r="I23" s="19"/>
      <c r="J23" s="19"/>
      <c r="K23" s="19"/>
      <c r="L23" s="19"/>
      <c r="M23" s="19"/>
      <c r="N23" s="19"/>
      <c r="O23" s="19"/>
      <c r="P23" s="19"/>
      <c r="Q23" s="19"/>
      <c r="R23" s="19"/>
      <c r="S23" s="19"/>
      <c r="T23" s="19"/>
      <c r="U23" s="19"/>
      <c r="V23" s="19"/>
    </row>
    <row r="24" spans="1:22" ht="15" x14ac:dyDescent="0.25">
      <c r="A24" s="107" t="s">
        <v>235</v>
      </c>
      <c r="B24" t="s">
        <v>44</v>
      </c>
      <c r="C24" s="64">
        <v>-179446.95</v>
      </c>
      <c r="D24" s="64">
        <v>-184849.35769999999</v>
      </c>
      <c r="E24" s="64">
        <v>5402.4076999999997</v>
      </c>
      <c r="H24" s="19"/>
      <c r="I24" s="19"/>
      <c r="J24" s="19"/>
      <c r="K24" s="19"/>
      <c r="L24" s="19"/>
      <c r="M24" s="19"/>
      <c r="N24" s="19"/>
      <c r="O24" s="19"/>
      <c r="P24" s="19"/>
      <c r="Q24" s="19"/>
      <c r="R24" s="19"/>
      <c r="S24" s="19"/>
      <c r="T24" s="19"/>
      <c r="U24" s="19"/>
      <c r="V24" s="19"/>
    </row>
    <row r="25" spans="1:22" ht="15" x14ac:dyDescent="0.25">
      <c r="A25" s="107" t="s">
        <v>239</v>
      </c>
      <c r="B25" t="s">
        <v>44</v>
      </c>
      <c r="C25" s="64">
        <v>-137108.01999999999</v>
      </c>
      <c r="D25" s="64">
        <v>-123292.31050000001</v>
      </c>
      <c r="E25" s="64">
        <v>-13815.709500000001</v>
      </c>
      <c r="H25" s="19"/>
      <c r="I25" s="19"/>
      <c r="J25" s="19"/>
      <c r="K25" s="19"/>
      <c r="L25" s="19"/>
      <c r="M25" s="19"/>
      <c r="N25" s="19"/>
      <c r="O25" s="19"/>
      <c r="P25" s="19"/>
      <c r="Q25" s="19"/>
      <c r="R25" s="19"/>
      <c r="S25" s="19"/>
      <c r="T25" s="19"/>
      <c r="U25" s="19"/>
      <c r="V25" s="19"/>
    </row>
    <row r="26" spans="1:22" ht="15" x14ac:dyDescent="0.25">
      <c r="A26" s="107" t="s">
        <v>156</v>
      </c>
      <c r="B26" t="s">
        <v>44</v>
      </c>
      <c r="C26" s="64">
        <v>-48171.54</v>
      </c>
      <c r="D26" s="64">
        <v>-27650.99</v>
      </c>
      <c r="E26" s="64">
        <v>-20520.55</v>
      </c>
      <c r="H26" s="19"/>
      <c r="I26" s="19"/>
      <c r="J26" s="19"/>
      <c r="K26" s="19"/>
      <c r="L26" s="19"/>
      <c r="M26" s="19"/>
      <c r="N26" s="19"/>
      <c r="O26" s="19"/>
      <c r="P26" s="19"/>
      <c r="Q26" s="19"/>
      <c r="R26" s="19"/>
      <c r="S26" s="19"/>
      <c r="T26" s="19"/>
      <c r="U26" s="19"/>
      <c r="V26" s="19"/>
    </row>
    <row r="27" spans="1:22" ht="15" x14ac:dyDescent="0.25">
      <c r="A27" s="107" t="s">
        <v>139</v>
      </c>
      <c r="B27" t="s">
        <v>44</v>
      </c>
      <c r="C27" s="64">
        <v>-222201.54</v>
      </c>
      <c r="D27" s="64">
        <v>-190956.58</v>
      </c>
      <c r="E27" s="64">
        <v>-31244.959999999999</v>
      </c>
      <c r="H27" s="19"/>
      <c r="I27" s="19"/>
      <c r="J27" s="19"/>
      <c r="K27" s="19"/>
      <c r="L27" s="19"/>
      <c r="M27" s="19"/>
      <c r="N27" s="19"/>
      <c r="O27" s="19"/>
      <c r="P27" s="19"/>
      <c r="Q27" s="19"/>
      <c r="R27" s="19"/>
      <c r="S27" s="19"/>
      <c r="T27" s="19"/>
      <c r="U27" s="19"/>
      <c r="V27" s="19"/>
    </row>
    <row r="28" spans="1:22" ht="15" x14ac:dyDescent="0.25">
      <c r="A28" s="107" t="s">
        <v>130</v>
      </c>
      <c r="B28" t="s">
        <v>44</v>
      </c>
      <c r="C28" s="64">
        <v>-213314.47</v>
      </c>
      <c r="D28" s="64">
        <v>-185932.4</v>
      </c>
      <c r="E28" s="64">
        <v>-27382.07</v>
      </c>
      <c r="H28" s="19"/>
      <c r="I28" s="19"/>
      <c r="J28" s="19"/>
      <c r="K28" s="19"/>
      <c r="L28" s="19"/>
      <c r="M28" s="19"/>
      <c r="N28" s="19"/>
      <c r="O28" s="19"/>
      <c r="P28" s="19"/>
      <c r="Q28" s="19"/>
      <c r="R28" s="19"/>
      <c r="S28" s="19"/>
      <c r="T28" s="19"/>
      <c r="U28" s="19"/>
      <c r="V28" s="19"/>
    </row>
    <row r="29" spans="1:22" ht="15" x14ac:dyDescent="0.25">
      <c r="A29" s="107" t="s">
        <v>126</v>
      </c>
      <c r="B29" t="s">
        <v>44</v>
      </c>
      <c r="C29" s="64">
        <v>52671.44</v>
      </c>
      <c r="D29" s="64">
        <v>81172.2</v>
      </c>
      <c r="E29" s="64">
        <v>-28500.76</v>
      </c>
      <c r="H29" s="19"/>
      <c r="I29" s="19"/>
      <c r="J29" s="19"/>
      <c r="K29" s="19"/>
      <c r="L29" s="19"/>
      <c r="M29" s="19"/>
      <c r="N29" s="19"/>
      <c r="O29" s="19"/>
      <c r="P29" s="19"/>
      <c r="Q29" s="19"/>
      <c r="R29" s="19"/>
      <c r="S29" s="19"/>
      <c r="T29" s="19"/>
      <c r="U29" s="19"/>
      <c r="V29" s="19"/>
    </row>
    <row r="30" spans="1:22" ht="15" x14ac:dyDescent="0.25">
      <c r="A30" s="107" t="s">
        <v>115</v>
      </c>
      <c r="B30" t="s">
        <v>44</v>
      </c>
      <c r="C30" s="64">
        <v>-39233.68</v>
      </c>
      <c r="D30" s="64">
        <v>-15779.36</v>
      </c>
      <c r="E30" s="64">
        <v>-23454.32</v>
      </c>
      <c r="H30" s="19"/>
      <c r="I30" s="19"/>
      <c r="J30" s="19"/>
      <c r="K30" s="19"/>
      <c r="L30" s="19"/>
      <c r="M30" s="19"/>
      <c r="N30" s="19"/>
      <c r="O30" s="19"/>
      <c r="P30" s="19"/>
      <c r="Q30" s="19"/>
      <c r="R30" s="19"/>
      <c r="S30" s="19"/>
      <c r="T30" s="19"/>
      <c r="U30" s="19"/>
      <c r="V30" s="19"/>
    </row>
    <row r="31" spans="1:22" ht="15" x14ac:dyDescent="0.25">
      <c r="A31" s="107" t="s">
        <v>219</v>
      </c>
      <c r="B31" t="s">
        <v>44</v>
      </c>
      <c r="C31" s="64">
        <v>-198294</v>
      </c>
      <c r="D31" s="64">
        <v>-186746.67</v>
      </c>
      <c r="E31" s="64">
        <v>-11547.33</v>
      </c>
      <c r="H31" s="19"/>
      <c r="I31" s="19"/>
      <c r="J31" s="19"/>
      <c r="K31" s="19"/>
      <c r="L31" s="19"/>
      <c r="M31" s="19"/>
      <c r="N31" s="19"/>
      <c r="O31" s="19"/>
      <c r="P31" s="19"/>
      <c r="Q31" s="19"/>
      <c r="R31" s="19"/>
      <c r="S31" s="19"/>
      <c r="T31" s="19"/>
      <c r="U31" s="19"/>
      <c r="V31" s="19"/>
    </row>
    <row r="32" spans="1:22" ht="15" x14ac:dyDescent="0.25">
      <c r="A32" s="107" t="s">
        <v>214</v>
      </c>
      <c r="B32" t="s">
        <v>44</v>
      </c>
      <c r="C32" s="64">
        <v>-10610885.6</v>
      </c>
      <c r="D32" s="64">
        <v>-10590403.51</v>
      </c>
      <c r="E32" s="64">
        <v>-20482.09</v>
      </c>
      <c r="H32" s="19"/>
      <c r="I32" s="19"/>
      <c r="J32" s="19"/>
      <c r="K32" s="19"/>
      <c r="L32" s="19"/>
      <c r="M32" s="19"/>
      <c r="N32" s="19"/>
      <c r="O32" s="19"/>
      <c r="P32" s="19"/>
      <c r="Q32" s="19"/>
      <c r="R32" s="19"/>
      <c r="S32" s="19"/>
      <c r="T32" s="19"/>
      <c r="U32" s="19"/>
      <c r="V32" s="19"/>
    </row>
    <row r="33" spans="1:22" ht="15" x14ac:dyDescent="0.25">
      <c r="A33" s="107" t="s">
        <v>118</v>
      </c>
      <c r="B33" t="s">
        <v>44</v>
      </c>
      <c r="C33" s="64">
        <v>-29205.84</v>
      </c>
      <c r="D33" s="64">
        <v>-14241.48</v>
      </c>
      <c r="E33" s="64">
        <v>-14964.36</v>
      </c>
      <c r="H33" s="19"/>
      <c r="I33" s="19"/>
      <c r="J33" s="19"/>
      <c r="K33" s="19"/>
      <c r="L33" s="19"/>
      <c r="M33" s="19"/>
      <c r="N33" s="19"/>
      <c r="O33" s="19"/>
      <c r="P33" s="19"/>
      <c r="Q33" s="19"/>
      <c r="R33" s="19"/>
      <c r="S33" s="19"/>
      <c r="T33" s="19"/>
      <c r="U33" s="19"/>
      <c r="V33" s="19"/>
    </row>
    <row r="34" spans="1:22" ht="15" x14ac:dyDescent="0.25">
      <c r="A34" s="107" t="s">
        <v>264</v>
      </c>
      <c r="B34" t="s">
        <v>44</v>
      </c>
      <c r="C34" s="64">
        <v>-16211071.18</v>
      </c>
      <c r="D34" s="64">
        <v>-16006135.998788001</v>
      </c>
      <c r="E34" s="64">
        <v>-204935.181212</v>
      </c>
      <c r="H34" s="19"/>
      <c r="I34" s="19"/>
      <c r="J34" s="19"/>
      <c r="K34" s="19"/>
      <c r="L34" s="19"/>
      <c r="M34" s="19"/>
      <c r="N34" s="19"/>
      <c r="O34" s="19"/>
      <c r="P34" s="19"/>
      <c r="Q34" s="19"/>
      <c r="R34" s="19"/>
      <c r="S34" s="19"/>
      <c r="T34" s="19"/>
      <c r="U34" s="19"/>
      <c r="V34" s="19"/>
    </row>
    <row r="35" spans="1:22" ht="15" x14ac:dyDescent="0.25">
      <c r="A35" s="107" t="s">
        <v>225</v>
      </c>
      <c r="B35" t="s">
        <v>44</v>
      </c>
      <c r="C35" s="64">
        <v>-6731068.7300000004</v>
      </c>
      <c r="D35" s="64">
        <v>-6693654.1749999998</v>
      </c>
      <c r="E35" s="64">
        <v>-37414.555</v>
      </c>
      <c r="H35" s="19"/>
      <c r="I35" s="19"/>
      <c r="J35" s="19"/>
      <c r="K35" s="19"/>
      <c r="L35" s="19"/>
      <c r="M35" s="19"/>
      <c r="N35" s="19"/>
      <c r="O35" s="19"/>
      <c r="P35" s="19"/>
      <c r="Q35" s="19"/>
      <c r="R35" s="19"/>
      <c r="S35" s="19"/>
      <c r="T35" s="19"/>
      <c r="U35" s="19"/>
      <c r="V35" s="19"/>
    </row>
    <row r="36" spans="1:22" ht="15" x14ac:dyDescent="0.25">
      <c r="A36" s="107" t="s">
        <v>297</v>
      </c>
      <c r="B36" t="s">
        <v>44</v>
      </c>
      <c r="C36" s="64">
        <v>-3529371.94</v>
      </c>
      <c r="D36" s="64">
        <v>-3531330</v>
      </c>
      <c r="E36" s="64">
        <v>1958.06</v>
      </c>
      <c r="H36" s="19"/>
      <c r="I36" s="19"/>
      <c r="J36" s="19"/>
      <c r="K36" s="19"/>
      <c r="L36" s="19"/>
      <c r="M36" s="19"/>
      <c r="N36" s="19"/>
      <c r="O36" s="19"/>
      <c r="P36" s="19"/>
      <c r="Q36" s="19"/>
      <c r="R36" s="19"/>
      <c r="S36" s="19"/>
      <c r="T36" s="19"/>
      <c r="U36" s="19"/>
      <c r="V36" s="19"/>
    </row>
    <row r="37" spans="1:22" ht="15" x14ac:dyDescent="0.25">
      <c r="A37" s="107"/>
      <c r="B37"/>
      <c r="C37" s="64"/>
      <c r="D37" s="64"/>
      <c r="E37" s="64"/>
      <c r="H37" s="19"/>
      <c r="I37" s="19"/>
      <c r="J37" s="19"/>
      <c r="K37" s="19"/>
      <c r="L37" s="19"/>
      <c r="M37" s="19"/>
      <c r="N37" s="19"/>
      <c r="O37" s="19"/>
      <c r="P37" s="19"/>
      <c r="Q37" s="19"/>
      <c r="R37" s="19"/>
      <c r="S37" s="19"/>
      <c r="T37" s="19"/>
      <c r="U37" s="19"/>
      <c r="V37" s="19"/>
    </row>
    <row r="38" spans="1:22" ht="15" x14ac:dyDescent="0.25">
      <c r="A38" s="107"/>
      <c r="B38"/>
      <c r="C38" s="64"/>
      <c r="D38" s="64"/>
      <c r="E38" s="64"/>
      <c r="H38" s="19"/>
      <c r="I38" s="19"/>
      <c r="J38" s="19"/>
      <c r="K38" s="19"/>
      <c r="L38" s="19"/>
      <c r="M38" s="19"/>
      <c r="N38" s="19"/>
      <c r="O38" s="19"/>
      <c r="P38" s="19"/>
      <c r="Q38" s="19"/>
      <c r="R38" s="19"/>
      <c r="S38" s="19"/>
      <c r="T38" s="19"/>
      <c r="U38" s="19"/>
      <c r="V38" s="19"/>
    </row>
    <row r="39" spans="1:22" ht="15" x14ac:dyDescent="0.25">
      <c r="A39" s="107"/>
      <c r="B39"/>
      <c r="C39" s="64"/>
      <c r="D39" s="64"/>
      <c r="E39" s="64"/>
      <c r="H39" s="19"/>
      <c r="I39" s="19"/>
      <c r="J39" s="19"/>
      <c r="K39" s="19"/>
      <c r="L39" s="19"/>
      <c r="M39" s="19"/>
      <c r="N39" s="19"/>
      <c r="O39" s="19"/>
      <c r="P39" s="19"/>
      <c r="Q39" s="19"/>
      <c r="R39" s="19"/>
      <c r="S39" s="19"/>
      <c r="T39" s="19"/>
      <c r="U39" s="19"/>
      <c r="V39" s="19"/>
    </row>
    <row r="40" spans="1:22" ht="15" x14ac:dyDescent="0.25">
      <c r="A40" s="107"/>
      <c r="B40"/>
      <c r="C40" s="64"/>
      <c r="D40" s="64"/>
      <c r="E40" s="64"/>
      <c r="H40" s="19"/>
      <c r="I40" s="19"/>
      <c r="J40" s="19"/>
      <c r="K40" s="19"/>
      <c r="L40" s="19"/>
      <c r="M40" s="19"/>
      <c r="N40" s="19"/>
      <c r="O40" s="19"/>
      <c r="P40" s="19"/>
      <c r="Q40" s="19"/>
      <c r="R40" s="19"/>
      <c r="S40" s="19"/>
      <c r="T40" s="19"/>
      <c r="U40" s="19"/>
      <c r="V40" s="19"/>
    </row>
    <row r="41" spans="1:22" ht="15" x14ac:dyDescent="0.25">
      <c r="A41" s="107"/>
      <c r="B41"/>
      <c r="C41" s="64"/>
      <c r="D41" s="64"/>
      <c r="E41" s="64"/>
      <c r="H41" s="19"/>
      <c r="I41" s="19"/>
      <c r="J41" s="19"/>
      <c r="K41" s="19"/>
      <c r="L41" s="19"/>
      <c r="M41" s="19"/>
      <c r="N41" s="19"/>
      <c r="O41" s="19"/>
      <c r="P41" s="19"/>
      <c r="Q41" s="19"/>
      <c r="R41" s="19"/>
      <c r="S41" s="19"/>
      <c r="T41" s="19"/>
      <c r="U41" s="19"/>
      <c r="V41" s="19"/>
    </row>
    <row r="42" spans="1:22" ht="15" x14ac:dyDescent="0.25">
      <c r="A42" s="107"/>
      <c r="B42"/>
      <c r="C42" s="64"/>
      <c r="D42" s="64"/>
      <c r="E42" s="64"/>
      <c r="H42" s="19"/>
      <c r="I42" s="19"/>
      <c r="J42" s="19"/>
      <c r="K42" s="19"/>
      <c r="L42" s="19"/>
      <c r="M42" s="19"/>
      <c r="N42" s="19"/>
      <c r="O42" s="19"/>
      <c r="P42" s="19"/>
      <c r="Q42" s="19"/>
      <c r="R42" s="19"/>
      <c r="S42" s="19"/>
      <c r="T42" s="19"/>
      <c r="U42" s="19"/>
      <c r="V42" s="19"/>
    </row>
    <row r="43" spans="1:22" ht="15" x14ac:dyDescent="0.25">
      <c r="A43" s="107"/>
      <c r="B43"/>
      <c r="C43" s="64"/>
      <c r="D43" s="64"/>
      <c r="E43" s="64"/>
      <c r="H43" s="19"/>
      <c r="I43" s="19"/>
      <c r="J43" s="19"/>
      <c r="K43" s="19"/>
      <c r="L43" s="19"/>
      <c r="M43" s="19"/>
      <c r="N43" s="19"/>
      <c r="O43" s="19"/>
      <c r="P43" s="19"/>
      <c r="Q43" s="19"/>
      <c r="R43" s="19"/>
      <c r="S43" s="19"/>
      <c r="T43" s="19"/>
      <c r="U43" s="19"/>
      <c r="V43" s="19"/>
    </row>
    <row r="44" spans="1:22" ht="15" x14ac:dyDescent="0.25">
      <c r="A44" s="107"/>
      <c r="B44"/>
      <c r="C44" s="64"/>
      <c r="D44" s="64"/>
      <c r="E44" s="64"/>
      <c r="H44" s="19"/>
      <c r="I44" s="19"/>
      <c r="J44" s="19"/>
      <c r="K44" s="19"/>
      <c r="L44" s="19"/>
      <c r="M44" s="19"/>
      <c r="N44" s="19"/>
      <c r="O44" s="19"/>
      <c r="P44" s="19"/>
      <c r="Q44" s="19"/>
      <c r="R44" s="19"/>
      <c r="S44" s="19"/>
      <c r="T44" s="19"/>
      <c r="U44" s="19"/>
      <c r="V44" s="19"/>
    </row>
    <row r="45" spans="1:22" ht="15" x14ac:dyDescent="0.25">
      <c r="A45" s="107"/>
      <c r="B45"/>
      <c r="C45" s="64"/>
      <c r="D45" s="64"/>
      <c r="E45" s="64"/>
      <c r="H45" s="19"/>
      <c r="I45" s="19"/>
      <c r="J45" s="19"/>
      <c r="K45" s="19"/>
      <c r="L45" s="19"/>
      <c r="M45" s="19"/>
      <c r="N45" s="19"/>
      <c r="O45" s="19"/>
      <c r="P45" s="19"/>
      <c r="Q45" s="19"/>
      <c r="R45" s="19"/>
      <c r="S45" s="19"/>
      <c r="T45" s="19"/>
      <c r="U45" s="19"/>
      <c r="V45" s="19"/>
    </row>
    <row r="46" spans="1:22" ht="15" x14ac:dyDescent="0.25">
      <c r="A46" s="107"/>
      <c r="B46"/>
      <c r="C46" s="64"/>
      <c r="D46" s="64"/>
      <c r="E46" s="64"/>
      <c r="H46" s="19"/>
      <c r="I46" s="19"/>
      <c r="J46" s="19"/>
      <c r="K46" s="19"/>
      <c r="L46" s="19"/>
      <c r="M46" s="19"/>
      <c r="N46" s="19"/>
      <c r="O46" s="19"/>
      <c r="P46" s="19"/>
      <c r="Q46" s="19"/>
      <c r="R46" s="19"/>
      <c r="S46" s="19"/>
      <c r="T46" s="19"/>
      <c r="U46" s="19"/>
      <c r="V46" s="19"/>
    </row>
    <row r="47" spans="1:22" ht="15" x14ac:dyDescent="0.25">
      <c r="A47" s="107"/>
      <c r="B47"/>
      <c r="C47" s="64"/>
      <c r="D47" s="64"/>
      <c r="E47" s="64"/>
      <c r="H47" s="19"/>
      <c r="I47" s="19"/>
      <c r="J47" s="19"/>
      <c r="K47" s="19"/>
      <c r="L47" s="19"/>
      <c r="M47" s="19"/>
      <c r="N47" s="19"/>
      <c r="O47" s="19"/>
      <c r="P47" s="19"/>
      <c r="Q47" s="19"/>
      <c r="R47" s="19"/>
      <c r="S47" s="19"/>
      <c r="T47" s="19"/>
      <c r="U47" s="19"/>
      <c r="V47" s="19"/>
    </row>
    <row r="48" spans="1:22" ht="15" x14ac:dyDescent="0.25">
      <c r="A48" s="107"/>
      <c r="B48"/>
      <c r="C48" s="64"/>
      <c r="D48" s="64"/>
      <c r="E48" s="64"/>
      <c r="H48" s="19"/>
      <c r="I48" s="19"/>
      <c r="J48" s="19"/>
      <c r="K48" s="19"/>
      <c r="L48" s="19"/>
      <c r="M48" s="19"/>
      <c r="N48" s="19"/>
      <c r="O48" s="19"/>
      <c r="P48" s="19"/>
      <c r="Q48" s="19"/>
      <c r="R48" s="19"/>
      <c r="S48" s="19"/>
      <c r="T48" s="19"/>
      <c r="U48" s="19"/>
      <c r="V48" s="19"/>
    </row>
    <row r="49" spans="1:22" ht="15" x14ac:dyDescent="0.25">
      <c r="A49" s="107"/>
      <c r="B49"/>
      <c r="C49" s="64"/>
      <c r="D49" s="64"/>
      <c r="E49" s="64"/>
      <c r="H49" s="19"/>
      <c r="I49" s="19"/>
      <c r="J49" s="19"/>
      <c r="K49" s="19"/>
      <c r="L49" s="19"/>
      <c r="M49" s="19"/>
      <c r="N49" s="19"/>
      <c r="O49" s="19"/>
      <c r="P49" s="19"/>
      <c r="Q49" s="19"/>
      <c r="R49" s="19"/>
      <c r="S49" s="19"/>
      <c r="T49" s="19"/>
      <c r="U49" s="19"/>
      <c r="V49" s="19"/>
    </row>
    <row r="50" spans="1:22" ht="15" x14ac:dyDescent="0.25">
      <c r="A50" s="107"/>
      <c r="B50"/>
      <c r="C50" s="64"/>
      <c r="D50" s="64"/>
      <c r="E50" s="64"/>
      <c r="H50" s="19"/>
      <c r="I50" s="19"/>
      <c r="J50" s="19"/>
      <c r="K50" s="19"/>
      <c r="L50" s="19"/>
      <c r="M50" s="19"/>
      <c r="N50" s="19"/>
      <c r="O50" s="19"/>
      <c r="P50" s="19"/>
      <c r="Q50" s="19"/>
      <c r="R50" s="19"/>
      <c r="S50" s="19"/>
      <c r="T50" s="19"/>
      <c r="U50" s="19"/>
      <c r="V50" s="19"/>
    </row>
    <row r="51" spans="1:22" ht="15" x14ac:dyDescent="0.25">
      <c r="A51" s="107"/>
      <c r="B51"/>
      <c r="C51" s="64"/>
      <c r="D51" s="64"/>
      <c r="E51" s="64"/>
      <c r="H51" s="19"/>
      <c r="I51" s="19"/>
      <c r="J51" s="19"/>
      <c r="K51" s="19"/>
      <c r="L51" s="19"/>
      <c r="M51" s="19"/>
      <c r="N51" s="19"/>
      <c r="O51" s="19"/>
      <c r="P51" s="19"/>
      <c r="Q51" s="19"/>
      <c r="R51" s="19"/>
      <c r="S51" s="19"/>
      <c r="T51" s="19"/>
      <c r="U51" s="19"/>
      <c r="V51" s="19"/>
    </row>
    <row r="52" spans="1:22" ht="15" x14ac:dyDescent="0.25">
      <c r="A52" s="107"/>
      <c r="B52"/>
      <c r="C52" s="64"/>
      <c r="D52" s="64"/>
      <c r="E52" s="64"/>
      <c r="H52" s="19"/>
      <c r="I52" s="19"/>
      <c r="J52" s="19"/>
      <c r="K52" s="19"/>
      <c r="L52" s="19"/>
      <c r="M52" s="19"/>
      <c r="N52" s="19"/>
      <c r="O52" s="19"/>
      <c r="P52" s="19"/>
      <c r="Q52" s="19"/>
      <c r="R52" s="19"/>
      <c r="S52" s="19"/>
      <c r="T52" s="19"/>
      <c r="U52" s="19"/>
      <c r="V52" s="19"/>
    </row>
    <row r="53" spans="1:22" ht="15" x14ac:dyDescent="0.25">
      <c r="A53" s="107"/>
      <c r="B53"/>
      <c r="C53" s="64"/>
      <c r="D53" s="64"/>
      <c r="E53" s="64"/>
      <c r="H53" s="19"/>
      <c r="I53" s="19"/>
      <c r="J53" s="19"/>
      <c r="K53" s="19"/>
      <c r="L53" s="19"/>
      <c r="M53" s="19"/>
      <c r="N53" s="19"/>
      <c r="O53" s="19"/>
      <c r="P53" s="19"/>
      <c r="Q53" s="19"/>
      <c r="R53" s="19"/>
      <c r="S53" s="19"/>
      <c r="T53" s="19"/>
      <c r="U53" s="19"/>
      <c r="V53" s="19"/>
    </row>
    <row r="54" spans="1:22" ht="15" x14ac:dyDescent="0.25">
      <c r="A54" s="107"/>
      <c r="B54"/>
      <c r="C54" s="64"/>
      <c r="D54" s="64"/>
      <c r="E54" s="64"/>
      <c r="H54" s="19"/>
      <c r="I54" s="19"/>
      <c r="J54" s="19"/>
      <c r="K54" s="19"/>
      <c r="L54" s="19"/>
      <c r="M54" s="19"/>
      <c r="N54" s="19"/>
      <c r="O54" s="19"/>
      <c r="P54" s="19"/>
      <c r="Q54" s="19"/>
      <c r="R54" s="19"/>
      <c r="S54" s="19"/>
      <c r="T54" s="19"/>
      <c r="U54" s="19"/>
      <c r="V54" s="19"/>
    </row>
    <row r="55" spans="1:22" ht="15" x14ac:dyDescent="0.25">
      <c r="A55" s="107"/>
      <c r="B55"/>
      <c r="C55" s="64"/>
      <c r="D55" s="64"/>
      <c r="E55" s="64"/>
      <c r="H55" s="19"/>
      <c r="I55" s="19"/>
      <c r="J55" s="19"/>
      <c r="K55" s="19"/>
      <c r="L55" s="19"/>
      <c r="M55" s="19"/>
      <c r="N55" s="19"/>
      <c r="O55" s="19"/>
      <c r="P55" s="19"/>
      <c r="Q55" s="19"/>
      <c r="R55" s="19"/>
      <c r="S55" s="19"/>
      <c r="T55" s="19"/>
      <c r="U55" s="19"/>
      <c r="V55" s="19"/>
    </row>
    <row r="56" spans="1:22" ht="15" x14ac:dyDescent="0.25">
      <c r="A56" s="107"/>
      <c r="B56"/>
      <c r="C56" s="64"/>
      <c r="D56" s="64"/>
      <c r="E56" s="64"/>
      <c r="H56" s="19"/>
      <c r="I56" s="19"/>
      <c r="J56" s="19"/>
      <c r="K56" s="19"/>
      <c r="L56" s="19"/>
      <c r="M56" s="19"/>
      <c r="N56" s="19"/>
      <c r="O56" s="19"/>
      <c r="P56" s="19"/>
      <c r="Q56" s="19"/>
      <c r="R56" s="19"/>
      <c r="S56" s="19"/>
      <c r="T56" s="19"/>
      <c r="U56" s="19"/>
      <c r="V56" s="19"/>
    </row>
    <row r="57" spans="1:22" ht="15" x14ac:dyDescent="0.25">
      <c r="A57" s="107"/>
      <c r="B57"/>
      <c r="C57" s="64"/>
      <c r="D57" s="64"/>
      <c r="E57" s="64"/>
      <c r="H57" s="19"/>
      <c r="I57" s="19"/>
      <c r="J57" s="19"/>
      <c r="K57" s="19"/>
      <c r="L57" s="19"/>
      <c r="M57" s="19"/>
      <c r="N57" s="19"/>
      <c r="O57" s="19"/>
      <c r="P57" s="19"/>
      <c r="Q57" s="19"/>
      <c r="R57" s="19"/>
      <c r="S57" s="19"/>
      <c r="T57" s="19"/>
      <c r="U57" s="19"/>
      <c r="V57" s="19"/>
    </row>
    <row r="58" spans="1:22" ht="15" x14ac:dyDescent="0.25">
      <c r="A58" s="107"/>
      <c r="B58"/>
      <c r="C58" s="64"/>
      <c r="D58" s="64"/>
      <c r="E58" s="64"/>
      <c r="H58" s="19"/>
      <c r="I58" s="19"/>
      <c r="J58" s="19"/>
      <c r="K58" s="19"/>
      <c r="L58" s="19"/>
      <c r="M58" s="19"/>
      <c r="N58" s="19"/>
      <c r="O58" s="19"/>
      <c r="P58" s="19"/>
      <c r="Q58" s="19"/>
      <c r="R58" s="19"/>
      <c r="S58" s="19"/>
      <c r="T58" s="19"/>
      <c r="U58" s="19"/>
      <c r="V58" s="19"/>
    </row>
    <row r="59" spans="1:22" ht="15" x14ac:dyDescent="0.25">
      <c r="A59" s="107"/>
      <c r="B59"/>
      <c r="C59" s="64"/>
      <c r="D59" s="64"/>
      <c r="E59" s="64"/>
      <c r="H59" s="19"/>
      <c r="I59" s="19"/>
      <c r="J59" s="19"/>
      <c r="K59" s="19"/>
      <c r="L59" s="19"/>
      <c r="M59" s="19"/>
      <c r="N59" s="19"/>
      <c r="O59" s="19"/>
      <c r="P59" s="19"/>
      <c r="Q59" s="19"/>
      <c r="R59" s="19"/>
      <c r="S59" s="19"/>
      <c r="T59" s="19"/>
      <c r="U59" s="19"/>
      <c r="V59" s="19"/>
    </row>
    <row r="60" spans="1:22" ht="15" x14ac:dyDescent="0.25">
      <c r="A60" s="107"/>
      <c r="B60"/>
      <c r="C60" s="64"/>
      <c r="D60" s="64"/>
      <c r="E60" s="64"/>
      <c r="H60" s="19"/>
      <c r="I60" s="19"/>
      <c r="J60" s="19"/>
      <c r="K60" s="19"/>
      <c r="L60" s="19"/>
      <c r="M60" s="19"/>
      <c r="N60" s="19"/>
      <c r="O60" s="19"/>
      <c r="P60" s="19"/>
      <c r="Q60" s="19"/>
      <c r="R60" s="19"/>
      <c r="S60" s="19"/>
      <c r="T60" s="19"/>
      <c r="U60" s="19"/>
      <c r="V60" s="19"/>
    </row>
    <row r="61" spans="1:22" ht="15" x14ac:dyDescent="0.25">
      <c r="A61" s="107"/>
      <c r="B61"/>
      <c r="C61" s="64"/>
      <c r="D61" s="64"/>
      <c r="E61" s="64"/>
      <c r="H61" s="19"/>
      <c r="I61" s="19"/>
      <c r="J61" s="19"/>
      <c r="K61" s="19"/>
      <c r="L61" s="19"/>
      <c r="M61" s="19"/>
      <c r="N61" s="19"/>
      <c r="O61" s="19"/>
      <c r="P61" s="19"/>
      <c r="Q61" s="19"/>
      <c r="R61" s="19"/>
      <c r="S61" s="19"/>
      <c r="T61" s="19"/>
      <c r="U61" s="19"/>
      <c r="V61" s="19"/>
    </row>
    <row r="62" spans="1:22" ht="15" x14ac:dyDescent="0.25">
      <c r="A62" s="107"/>
      <c r="B62"/>
      <c r="C62" s="64"/>
      <c r="D62" s="64"/>
      <c r="E62" s="64"/>
      <c r="H62" s="19"/>
      <c r="I62" s="19"/>
      <c r="J62" s="19"/>
      <c r="K62" s="19"/>
      <c r="L62" s="19"/>
      <c r="M62" s="19"/>
      <c r="N62" s="19"/>
      <c r="O62" s="19"/>
      <c r="P62" s="19"/>
      <c r="Q62" s="19"/>
      <c r="R62" s="19"/>
      <c r="S62" s="19"/>
      <c r="T62" s="19"/>
      <c r="U62" s="19"/>
      <c r="V62" s="19"/>
    </row>
    <row r="63" spans="1:22" ht="15" x14ac:dyDescent="0.25">
      <c r="A63" s="107"/>
      <c r="B63"/>
      <c r="C63" s="64"/>
      <c r="D63" s="64"/>
      <c r="E63" s="64"/>
      <c r="H63" s="19"/>
      <c r="I63" s="19"/>
      <c r="J63" s="19"/>
      <c r="K63" s="19"/>
      <c r="L63" s="19"/>
      <c r="M63" s="19"/>
      <c r="N63" s="19"/>
      <c r="O63" s="19"/>
      <c r="P63" s="19"/>
      <c r="Q63" s="19"/>
      <c r="R63" s="19"/>
      <c r="S63" s="19"/>
      <c r="T63" s="19"/>
      <c r="U63" s="19"/>
      <c r="V63" s="19"/>
    </row>
    <row r="64" spans="1:22" ht="15" x14ac:dyDescent="0.25">
      <c r="A64" s="107"/>
      <c r="B64"/>
      <c r="C64" s="64"/>
      <c r="D64" s="64"/>
      <c r="E64" s="64"/>
      <c r="H64" s="19"/>
      <c r="I64" s="19"/>
      <c r="J64" s="19"/>
      <c r="K64" s="19"/>
      <c r="L64" s="19"/>
      <c r="M64" s="19"/>
      <c r="N64" s="19"/>
      <c r="O64" s="19"/>
      <c r="P64" s="19"/>
      <c r="Q64" s="19"/>
      <c r="R64" s="19"/>
      <c r="S64" s="19"/>
      <c r="T64" s="19"/>
      <c r="U64" s="19"/>
      <c r="V64" s="19"/>
    </row>
    <row r="65" spans="1:22" ht="15" x14ac:dyDescent="0.25">
      <c r="A65" s="107"/>
      <c r="B65"/>
      <c r="C65" s="64"/>
      <c r="D65" s="64"/>
      <c r="E65" s="64"/>
      <c r="H65" s="19"/>
      <c r="I65" s="19"/>
      <c r="J65" s="19"/>
      <c r="K65" s="19"/>
      <c r="L65" s="19"/>
      <c r="M65" s="19"/>
      <c r="N65" s="19"/>
      <c r="O65" s="19"/>
      <c r="P65" s="19"/>
      <c r="Q65" s="19"/>
      <c r="R65" s="19"/>
      <c r="S65" s="19"/>
      <c r="T65" s="19"/>
      <c r="U65" s="19"/>
      <c r="V65" s="19"/>
    </row>
    <row r="66" spans="1:22" ht="15" x14ac:dyDescent="0.25">
      <c r="A66" s="107"/>
      <c r="B66"/>
      <c r="C66" s="64"/>
      <c r="D66" s="64"/>
      <c r="E66" s="64"/>
      <c r="H66" s="19"/>
      <c r="I66" s="19"/>
      <c r="J66" s="19"/>
      <c r="K66" s="19"/>
      <c r="L66" s="19"/>
      <c r="M66" s="19"/>
      <c r="N66" s="19"/>
      <c r="O66" s="19"/>
      <c r="P66" s="19"/>
      <c r="Q66" s="19"/>
      <c r="R66" s="19"/>
      <c r="S66" s="19"/>
      <c r="T66" s="19"/>
      <c r="U66" s="19"/>
      <c r="V66" s="19"/>
    </row>
    <row r="67" spans="1:22" ht="15" x14ac:dyDescent="0.25">
      <c r="A67" s="107"/>
      <c r="B67"/>
      <c r="C67" s="64"/>
      <c r="D67" s="64"/>
      <c r="E67" s="64"/>
      <c r="H67" s="19"/>
      <c r="I67" s="19"/>
      <c r="J67" s="19"/>
      <c r="K67" s="19"/>
      <c r="L67" s="19"/>
      <c r="M67" s="19"/>
      <c r="N67" s="19"/>
      <c r="O67" s="19"/>
      <c r="P67" s="19"/>
      <c r="Q67" s="19"/>
      <c r="R67" s="19"/>
      <c r="S67" s="19"/>
      <c r="T67" s="19"/>
      <c r="U67" s="19"/>
      <c r="V67" s="19"/>
    </row>
    <row r="68" spans="1:22" ht="15" x14ac:dyDescent="0.25">
      <c r="A68" s="107"/>
      <c r="B68"/>
      <c r="C68" s="64"/>
      <c r="D68" s="64"/>
      <c r="E68" s="64"/>
      <c r="H68" s="19"/>
      <c r="I68" s="19"/>
      <c r="J68" s="19"/>
      <c r="K68" s="19"/>
      <c r="L68" s="19"/>
      <c r="M68" s="19"/>
      <c r="N68" s="19"/>
      <c r="O68" s="19"/>
      <c r="P68" s="19"/>
      <c r="Q68" s="19"/>
      <c r="R68" s="19"/>
      <c r="S68" s="19"/>
      <c r="T68" s="19"/>
      <c r="U68" s="19"/>
      <c r="V68" s="19"/>
    </row>
    <row r="69" spans="1:22" ht="15" x14ac:dyDescent="0.25">
      <c r="A69" s="107"/>
      <c r="B69"/>
      <c r="C69" s="64"/>
      <c r="D69" s="64"/>
      <c r="E69" s="64"/>
      <c r="H69" s="19"/>
      <c r="I69" s="19"/>
      <c r="J69" s="19"/>
      <c r="K69" s="19"/>
      <c r="L69" s="19"/>
      <c r="M69" s="19"/>
      <c r="N69" s="19"/>
      <c r="O69" s="19"/>
      <c r="P69" s="19"/>
      <c r="Q69" s="19"/>
      <c r="R69" s="19"/>
      <c r="S69" s="19"/>
      <c r="T69" s="19"/>
      <c r="U69" s="19"/>
      <c r="V69" s="19"/>
    </row>
    <row r="70" spans="1:22" ht="15" x14ac:dyDescent="0.25">
      <c r="A70" s="107"/>
      <c r="B70"/>
      <c r="C70" s="64"/>
      <c r="D70" s="64"/>
      <c r="E70" s="64"/>
      <c r="H70" s="19"/>
      <c r="I70" s="19"/>
      <c r="J70" s="19"/>
      <c r="K70" s="19"/>
      <c r="L70" s="19"/>
      <c r="M70" s="19"/>
      <c r="N70" s="19"/>
      <c r="O70" s="19"/>
      <c r="P70" s="19"/>
      <c r="Q70" s="19"/>
      <c r="R70" s="19"/>
      <c r="S70" s="19"/>
      <c r="T70" s="19"/>
      <c r="U70" s="19"/>
      <c r="V70" s="19"/>
    </row>
    <row r="71" spans="1:22" ht="15" x14ac:dyDescent="0.25">
      <c r="A71" s="107"/>
      <c r="B71"/>
      <c r="C71" s="64"/>
      <c r="D71" s="64"/>
      <c r="E71" s="64"/>
      <c r="H71" s="19"/>
      <c r="I71" s="19"/>
      <c r="J71" s="19"/>
      <c r="K71" s="19"/>
      <c r="L71" s="19"/>
      <c r="M71" s="19"/>
      <c r="N71" s="19"/>
      <c r="O71" s="19"/>
      <c r="P71" s="19"/>
      <c r="Q71" s="19"/>
      <c r="R71" s="19"/>
      <c r="S71" s="19"/>
      <c r="T71" s="19"/>
      <c r="U71" s="19"/>
      <c r="V71" s="19"/>
    </row>
    <row r="72" spans="1:22" ht="15" x14ac:dyDescent="0.25">
      <c r="A72" s="107"/>
      <c r="B72"/>
      <c r="C72" s="64"/>
      <c r="D72" s="64"/>
      <c r="E72" s="64"/>
      <c r="H72" s="19"/>
      <c r="I72" s="19"/>
      <c r="J72" s="19"/>
      <c r="K72" s="19"/>
      <c r="L72" s="19"/>
      <c r="M72" s="19"/>
      <c r="N72" s="19"/>
      <c r="O72" s="19"/>
      <c r="P72" s="19"/>
      <c r="Q72" s="19"/>
      <c r="R72" s="19"/>
      <c r="S72" s="19"/>
      <c r="T72" s="19"/>
      <c r="U72" s="19"/>
      <c r="V72" s="19"/>
    </row>
    <row r="73" spans="1:22" ht="15" x14ac:dyDescent="0.25">
      <c r="A73" s="107"/>
      <c r="B73"/>
      <c r="C73" s="64"/>
      <c r="D73" s="64"/>
      <c r="E73" s="64"/>
      <c r="H73" s="19"/>
      <c r="I73" s="19"/>
      <c r="J73" s="19"/>
      <c r="K73" s="19"/>
      <c r="L73" s="19"/>
      <c r="M73" s="19"/>
      <c r="N73" s="19"/>
      <c r="O73" s="19"/>
      <c r="P73" s="19"/>
      <c r="Q73" s="19"/>
      <c r="R73" s="19"/>
      <c r="S73" s="19"/>
      <c r="T73" s="19"/>
      <c r="U73" s="19"/>
      <c r="V73" s="19"/>
    </row>
    <row r="74" spans="1:22" ht="15" x14ac:dyDescent="0.25">
      <c r="A74" s="107"/>
      <c r="B74"/>
      <c r="C74" s="64"/>
      <c r="D74" s="64"/>
      <c r="E74" s="64"/>
      <c r="H74" s="19"/>
      <c r="I74" s="19"/>
      <c r="J74" s="19"/>
      <c r="K74" s="19"/>
      <c r="L74" s="19"/>
      <c r="M74" s="19"/>
      <c r="N74" s="19"/>
      <c r="O74" s="19"/>
      <c r="P74" s="19"/>
      <c r="Q74" s="19"/>
      <c r="R74" s="19"/>
      <c r="S74" s="19"/>
      <c r="T74" s="19"/>
      <c r="U74" s="19"/>
      <c r="V74" s="19"/>
    </row>
    <row r="75" spans="1:22" ht="15" x14ac:dyDescent="0.25">
      <c r="A75" s="107"/>
      <c r="B75"/>
      <c r="C75" s="64"/>
      <c r="D75" s="64"/>
      <c r="E75" s="64"/>
      <c r="H75" s="19"/>
      <c r="I75" s="19"/>
      <c r="J75" s="19"/>
      <c r="K75" s="19"/>
      <c r="L75" s="19"/>
      <c r="M75" s="19"/>
      <c r="N75" s="19"/>
      <c r="O75" s="19"/>
      <c r="P75" s="19"/>
      <c r="Q75" s="19"/>
      <c r="R75" s="19"/>
      <c r="S75" s="19"/>
      <c r="T75" s="19"/>
      <c r="U75" s="19"/>
      <c r="V75" s="19"/>
    </row>
    <row r="76" spans="1:22" ht="15" x14ac:dyDescent="0.25">
      <c r="A76" s="107"/>
      <c r="B76"/>
      <c r="C76" s="64"/>
      <c r="D76" s="64"/>
      <c r="E76" s="64"/>
      <c r="H76" s="19"/>
      <c r="I76" s="19"/>
      <c r="J76" s="19"/>
      <c r="K76" s="19"/>
      <c r="L76" s="19"/>
      <c r="M76" s="19"/>
      <c r="N76" s="19"/>
      <c r="O76" s="19"/>
      <c r="P76" s="19"/>
      <c r="Q76" s="19"/>
      <c r="R76" s="19"/>
      <c r="S76" s="19"/>
      <c r="T76" s="19"/>
      <c r="U76" s="19"/>
      <c r="V76" s="19"/>
    </row>
    <row r="77" spans="1:22" ht="15" x14ac:dyDescent="0.25">
      <c r="A77" s="107"/>
      <c r="B77"/>
      <c r="C77" s="64"/>
      <c r="D77" s="64"/>
      <c r="E77" s="64"/>
      <c r="H77" s="19"/>
      <c r="I77" s="19"/>
      <c r="J77" s="19"/>
      <c r="K77" s="19"/>
      <c r="L77" s="19"/>
      <c r="M77" s="19"/>
      <c r="N77" s="19"/>
      <c r="O77" s="19"/>
      <c r="P77" s="19"/>
      <c r="Q77" s="19"/>
      <c r="R77" s="19"/>
      <c r="S77" s="19"/>
      <c r="T77" s="19"/>
      <c r="U77" s="19"/>
      <c r="V77" s="19"/>
    </row>
    <row r="78" spans="1:22" ht="15" x14ac:dyDescent="0.25">
      <c r="A78" s="108"/>
      <c r="B78" s="108"/>
      <c r="C78" s="109"/>
      <c r="D78" s="109"/>
      <c r="E78" s="109"/>
      <c r="H78" s="19"/>
      <c r="I78" s="19"/>
      <c r="J78" s="19"/>
      <c r="K78" s="19"/>
      <c r="L78" s="19"/>
      <c r="M78" s="19"/>
      <c r="N78" s="19"/>
      <c r="O78" s="19"/>
      <c r="P78" s="19"/>
      <c r="Q78" s="19"/>
      <c r="R78" s="19"/>
      <c r="S78" s="19"/>
      <c r="T78" s="19"/>
      <c r="U78" s="19"/>
      <c r="V78" s="19"/>
    </row>
    <row r="79" spans="1:22" ht="15" x14ac:dyDescent="0.25">
      <c r="A79" s="107"/>
      <c r="B79"/>
      <c r="C79" s="64"/>
      <c r="D79" s="64"/>
      <c r="E79" s="64"/>
      <c r="H79" s="19"/>
      <c r="I79" s="19"/>
      <c r="J79" s="19"/>
      <c r="K79" s="19"/>
      <c r="L79" s="19"/>
      <c r="M79" s="19"/>
      <c r="N79" s="19"/>
      <c r="O79" s="19"/>
      <c r="P79" s="19"/>
      <c r="Q79" s="19"/>
      <c r="R79" s="19"/>
      <c r="S79" s="19"/>
      <c r="T79" s="19"/>
      <c r="U79" s="19"/>
      <c r="V79" s="19"/>
    </row>
    <row r="80" spans="1:22" ht="15" x14ac:dyDescent="0.25">
      <c r="A80" s="107"/>
      <c r="B80"/>
      <c r="C80" s="64"/>
      <c r="D80" s="64"/>
      <c r="E80" s="64"/>
      <c r="H80" s="19"/>
      <c r="I80" s="19"/>
      <c r="J80" s="19"/>
      <c r="K80" s="19"/>
      <c r="L80" s="19"/>
      <c r="M80" s="19"/>
      <c r="N80" s="19"/>
      <c r="O80" s="19"/>
      <c r="P80" s="19"/>
      <c r="Q80" s="19"/>
      <c r="R80" s="19"/>
      <c r="S80" s="19"/>
      <c r="T80" s="19"/>
      <c r="U80" s="19"/>
      <c r="V80" s="19"/>
    </row>
    <row r="81" spans="1:22" ht="15" x14ac:dyDescent="0.25">
      <c r="A81" s="107"/>
      <c r="B81"/>
      <c r="C81" s="64"/>
      <c r="D81" s="64"/>
      <c r="E81" s="64"/>
      <c r="H81" s="19"/>
      <c r="I81" s="19"/>
      <c r="J81" s="19"/>
      <c r="K81" s="19"/>
      <c r="L81" s="19"/>
      <c r="M81" s="19"/>
      <c r="N81" s="19"/>
      <c r="O81" s="19"/>
      <c r="P81" s="19"/>
      <c r="Q81" s="19"/>
      <c r="R81" s="19"/>
      <c r="S81" s="19"/>
      <c r="T81" s="19"/>
      <c r="U81" s="19"/>
      <c r="V81" s="19"/>
    </row>
    <row r="82" spans="1:22" ht="15" x14ac:dyDescent="0.25">
      <c r="A82" s="107"/>
      <c r="B82"/>
      <c r="C82" s="64"/>
      <c r="D82" s="64"/>
      <c r="E82" s="64"/>
      <c r="H82" s="19"/>
      <c r="I82" s="19"/>
      <c r="J82" s="19"/>
      <c r="K82" s="19"/>
      <c r="L82" s="19"/>
      <c r="M82" s="19"/>
      <c r="N82" s="19"/>
      <c r="O82" s="19"/>
      <c r="P82" s="19"/>
      <c r="Q82" s="19"/>
      <c r="R82" s="19"/>
      <c r="S82" s="19"/>
      <c r="T82" s="19"/>
      <c r="U82" s="19"/>
      <c r="V82" s="19"/>
    </row>
    <row r="83" spans="1:22" ht="15" x14ac:dyDescent="0.25">
      <c r="A83" s="108"/>
      <c r="B83" s="108"/>
      <c r="C83" s="109"/>
      <c r="D83" s="109"/>
      <c r="E83" s="109"/>
      <c r="H83" s="19"/>
      <c r="I83" s="19"/>
      <c r="J83" s="19"/>
      <c r="K83" s="19"/>
      <c r="L83" s="19"/>
      <c r="M83" s="19"/>
      <c r="N83" s="19"/>
      <c r="O83" s="19"/>
      <c r="P83" s="19"/>
      <c r="Q83" s="19"/>
      <c r="R83" s="19"/>
      <c r="S83" s="19"/>
      <c r="T83" s="19"/>
      <c r="U83" s="19"/>
      <c r="V83" s="19"/>
    </row>
    <row r="84" spans="1:22" ht="15" x14ac:dyDescent="0.25">
      <c r="A84" s="107"/>
      <c r="B84"/>
      <c r="C84" s="64"/>
      <c r="D84" s="64"/>
      <c r="E84" s="64"/>
      <c r="H84" s="19"/>
      <c r="I84" s="19"/>
      <c r="J84" s="19"/>
      <c r="K84" s="19"/>
      <c r="L84" s="19"/>
      <c r="M84" s="19"/>
      <c r="N84" s="19"/>
      <c r="O84" s="19"/>
      <c r="P84" s="19"/>
      <c r="Q84" s="19"/>
      <c r="R84" s="19"/>
      <c r="S84" s="19"/>
      <c r="T84" s="19"/>
      <c r="U84" s="19"/>
      <c r="V84" s="19"/>
    </row>
    <row r="85" spans="1:22" ht="15" x14ac:dyDescent="0.25">
      <c r="A85" s="107"/>
      <c r="B85"/>
      <c r="C85" s="64"/>
      <c r="D85" s="64"/>
      <c r="E85" s="64"/>
      <c r="H85" s="19"/>
      <c r="I85" s="19"/>
      <c r="J85" s="19"/>
      <c r="K85" s="19"/>
      <c r="L85" s="19"/>
      <c r="M85" s="19"/>
      <c r="N85" s="19"/>
      <c r="O85" s="19"/>
      <c r="P85" s="19"/>
      <c r="Q85" s="19"/>
      <c r="R85" s="19"/>
      <c r="S85" s="19"/>
      <c r="T85" s="19"/>
      <c r="U85" s="19"/>
      <c r="V85" s="19"/>
    </row>
    <row r="86" spans="1:22" ht="15" x14ac:dyDescent="0.25">
      <c r="A86" s="107"/>
      <c r="B86"/>
      <c r="C86" s="64"/>
      <c r="D86" s="64"/>
      <c r="E86" s="64"/>
      <c r="H86" s="19"/>
      <c r="I86" s="19"/>
      <c r="J86" s="19"/>
      <c r="K86" s="19"/>
      <c r="L86" s="19"/>
      <c r="M86" s="19"/>
      <c r="N86" s="19"/>
      <c r="O86" s="19"/>
      <c r="P86" s="19"/>
      <c r="Q86" s="19"/>
      <c r="R86" s="19"/>
      <c r="S86" s="19"/>
      <c r="T86" s="19"/>
      <c r="U86" s="19"/>
      <c r="V86" s="19"/>
    </row>
    <row r="87" spans="1:22" ht="15" x14ac:dyDescent="0.25">
      <c r="A87" s="107"/>
      <c r="B87"/>
      <c r="C87" s="64"/>
      <c r="D87" s="64"/>
      <c r="E87" s="64"/>
      <c r="H87" s="19"/>
      <c r="I87" s="19"/>
      <c r="J87" s="19"/>
      <c r="K87" s="19"/>
      <c r="L87" s="19"/>
      <c r="M87" s="19"/>
      <c r="N87" s="19"/>
      <c r="O87" s="19"/>
      <c r="P87" s="19"/>
      <c r="Q87" s="19"/>
      <c r="R87" s="19"/>
      <c r="S87" s="19"/>
      <c r="T87" s="19"/>
      <c r="U87" s="19"/>
      <c r="V87" s="19"/>
    </row>
    <row r="88" spans="1:22" ht="15" x14ac:dyDescent="0.25">
      <c r="A88" s="107"/>
      <c r="B88"/>
      <c r="C88" s="64"/>
      <c r="D88" s="64"/>
      <c r="E88" s="64"/>
      <c r="H88" s="19"/>
      <c r="I88" s="19"/>
      <c r="J88" s="19"/>
      <c r="K88" s="19"/>
      <c r="L88" s="19"/>
      <c r="M88" s="19"/>
      <c r="N88" s="19"/>
      <c r="O88" s="19"/>
      <c r="P88" s="19"/>
      <c r="Q88" s="19"/>
      <c r="R88" s="19"/>
      <c r="S88" s="19"/>
      <c r="T88" s="19"/>
      <c r="U88" s="19"/>
      <c r="V88" s="19"/>
    </row>
    <row r="89" spans="1:22" ht="15" x14ac:dyDescent="0.25">
      <c r="A89" s="107"/>
      <c r="B89"/>
      <c r="C89" s="64"/>
      <c r="D89" s="64"/>
      <c r="E89" s="64"/>
      <c r="H89" s="19"/>
      <c r="I89" s="19"/>
      <c r="J89" s="19"/>
      <c r="K89" s="19"/>
      <c r="L89" s="19"/>
      <c r="M89" s="19"/>
      <c r="N89" s="19"/>
      <c r="O89" s="19"/>
      <c r="P89" s="19"/>
      <c r="Q89" s="19"/>
      <c r="R89" s="19"/>
      <c r="S89" s="19"/>
      <c r="T89" s="19"/>
      <c r="U89" s="19"/>
      <c r="V89" s="19"/>
    </row>
    <row r="90" spans="1:22" ht="15" x14ac:dyDescent="0.25">
      <c r="A90" s="107"/>
      <c r="B90"/>
      <c r="C90" s="64"/>
      <c r="D90" s="64"/>
      <c r="E90" s="64"/>
      <c r="H90" s="19"/>
      <c r="I90" s="19"/>
      <c r="J90" s="19"/>
      <c r="K90" s="19"/>
      <c r="L90" s="19"/>
      <c r="M90" s="19"/>
      <c r="N90" s="19"/>
      <c r="O90" s="19"/>
      <c r="P90" s="19"/>
      <c r="Q90" s="19"/>
      <c r="R90" s="19"/>
      <c r="S90" s="19"/>
      <c r="T90" s="19"/>
      <c r="U90" s="19"/>
      <c r="V90" s="19"/>
    </row>
    <row r="91" spans="1:22" ht="15" x14ac:dyDescent="0.25">
      <c r="A91" s="107"/>
      <c r="B91"/>
      <c r="C91" s="64"/>
      <c r="D91" s="64"/>
      <c r="E91" s="64"/>
      <c r="H91" s="19"/>
      <c r="I91" s="19"/>
      <c r="J91" s="19"/>
      <c r="K91" s="19"/>
      <c r="L91" s="19"/>
      <c r="M91" s="19"/>
      <c r="N91" s="19"/>
      <c r="O91" s="19"/>
      <c r="P91" s="19"/>
      <c r="Q91" s="19"/>
      <c r="R91" s="19"/>
      <c r="S91" s="19"/>
      <c r="T91" s="19"/>
      <c r="U91" s="19"/>
      <c r="V91" s="19"/>
    </row>
    <row r="92" spans="1:22" ht="15" x14ac:dyDescent="0.25">
      <c r="A92" s="107"/>
      <c r="B92"/>
      <c r="C92" s="64"/>
      <c r="D92" s="64"/>
      <c r="E92" s="64"/>
      <c r="H92" s="19"/>
      <c r="I92" s="19"/>
      <c r="J92" s="19"/>
      <c r="K92" s="19"/>
      <c r="L92" s="19"/>
      <c r="M92" s="19"/>
      <c r="N92" s="19"/>
      <c r="O92" s="19"/>
      <c r="P92" s="19"/>
      <c r="Q92" s="19"/>
      <c r="R92" s="19"/>
      <c r="S92" s="19"/>
      <c r="T92" s="19"/>
      <c r="U92" s="19"/>
      <c r="V92" s="19"/>
    </row>
    <row r="93" spans="1:22" ht="15" x14ac:dyDescent="0.25">
      <c r="A93" s="107"/>
      <c r="B93"/>
      <c r="C93" s="64"/>
      <c r="D93" s="64"/>
      <c r="E93" s="64"/>
      <c r="H93" s="19"/>
      <c r="I93" s="19"/>
      <c r="J93" s="19"/>
      <c r="K93" s="19"/>
      <c r="L93" s="19"/>
      <c r="M93" s="19"/>
      <c r="N93" s="19"/>
      <c r="O93" s="19"/>
      <c r="P93" s="19"/>
      <c r="Q93" s="19"/>
      <c r="R93" s="19"/>
      <c r="S93" s="19"/>
      <c r="T93" s="19"/>
      <c r="U93" s="19"/>
      <c r="V93" s="19"/>
    </row>
    <row r="94" spans="1:22" ht="15" x14ac:dyDescent="0.25">
      <c r="A94" s="107"/>
      <c r="B94"/>
      <c r="C94" s="64"/>
      <c r="D94" s="64"/>
      <c r="E94" s="64"/>
      <c r="H94" s="19"/>
      <c r="I94" s="19"/>
      <c r="J94" s="19"/>
      <c r="K94" s="19"/>
      <c r="L94" s="19"/>
      <c r="M94" s="19"/>
      <c r="N94" s="19"/>
      <c r="O94" s="19"/>
      <c r="P94" s="19"/>
      <c r="Q94" s="19"/>
      <c r="R94" s="19"/>
      <c r="S94" s="19"/>
      <c r="T94" s="19"/>
      <c r="U94" s="19"/>
      <c r="V94" s="19"/>
    </row>
    <row r="95" spans="1:22" ht="15" x14ac:dyDescent="0.25">
      <c r="A95" s="107"/>
      <c r="B95"/>
      <c r="C95" s="64"/>
      <c r="D95" s="64"/>
      <c r="E95" s="64"/>
      <c r="H95" s="19"/>
      <c r="I95" s="19"/>
      <c r="J95" s="19"/>
      <c r="K95" s="19"/>
      <c r="L95" s="19"/>
      <c r="M95" s="19"/>
      <c r="N95" s="19"/>
      <c r="O95" s="19"/>
      <c r="P95" s="19"/>
      <c r="Q95" s="19"/>
      <c r="R95" s="19"/>
      <c r="S95" s="19"/>
      <c r="T95" s="19"/>
      <c r="U95" s="19"/>
      <c r="V95" s="19"/>
    </row>
    <row r="96" spans="1:22" ht="15" x14ac:dyDescent="0.25">
      <c r="A96" s="107"/>
      <c r="B96"/>
      <c r="C96" s="64"/>
      <c r="D96" s="64"/>
      <c r="E96" s="64"/>
      <c r="H96" s="19"/>
      <c r="I96" s="19"/>
      <c r="J96" s="19"/>
      <c r="K96" s="19"/>
      <c r="L96" s="19"/>
      <c r="M96" s="19"/>
      <c r="N96" s="19"/>
      <c r="O96" s="19"/>
      <c r="P96" s="19"/>
      <c r="Q96" s="19"/>
      <c r="R96" s="19"/>
      <c r="S96" s="19"/>
      <c r="T96" s="19"/>
      <c r="U96" s="19"/>
      <c r="V96" s="19"/>
    </row>
    <row r="97" spans="1:22" ht="15" x14ac:dyDescent="0.25">
      <c r="A97" s="107"/>
      <c r="B97"/>
      <c r="C97" s="64"/>
      <c r="D97" s="64"/>
      <c r="E97" s="64"/>
      <c r="H97" s="19"/>
      <c r="I97" s="19"/>
      <c r="J97" s="19"/>
      <c r="K97" s="19"/>
      <c r="L97" s="19"/>
      <c r="M97" s="19"/>
      <c r="N97" s="19"/>
      <c r="O97" s="19"/>
      <c r="P97" s="19"/>
      <c r="Q97" s="19"/>
      <c r="R97" s="19"/>
      <c r="S97" s="19"/>
      <c r="T97" s="19"/>
      <c r="U97" s="19"/>
      <c r="V97" s="19"/>
    </row>
    <row r="98" spans="1:22" ht="15" x14ac:dyDescent="0.25">
      <c r="A98" s="107"/>
      <c r="B98"/>
      <c r="C98" s="64"/>
      <c r="D98" s="64"/>
      <c r="E98" s="64"/>
      <c r="H98" s="19"/>
      <c r="I98" s="19"/>
      <c r="J98" s="19"/>
      <c r="K98" s="19"/>
      <c r="L98" s="19"/>
      <c r="M98" s="19"/>
      <c r="N98" s="19"/>
      <c r="O98" s="19"/>
      <c r="P98" s="19"/>
      <c r="Q98" s="19"/>
      <c r="R98" s="19"/>
      <c r="S98" s="19"/>
      <c r="T98" s="19"/>
      <c r="U98" s="19"/>
      <c r="V98" s="19"/>
    </row>
    <row r="99" spans="1:22" ht="15" x14ac:dyDescent="0.25">
      <c r="A99" s="107"/>
      <c r="B99"/>
      <c r="C99" s="64"/>
      <c r="D99" s="64"/>
      <c r="E99" s="64"/>
      <c r="H99" s="19"/>
      <c r="I99" s="19"/>
      <c r="J99" s="19"/>
      <c r="K99" s="19"/>
      <c r="L99" s="19"/>
      <c r="M99" s="19"/>
      <c r="N99" s="19"/>
      <c r="O99" s="19"/>
      <c r="P99" s="19"/>
      <c r="Q99" s="19"/>
      <c r="R99" s="19"/>
      <c r="S99" s="19"/>
      <c r="T99" s="19"/>
      <c r="U99" s="19"/>
      <c r="V99" s="19"/>
    </row>
    <row r="100" spans="1:22" ht="15" x14ac:dyDescent="0.25">
      <c r="A100" s="107"/>
      <c r="B100"/>
      <c r="C100" s="64"/>
      <c r="D100" s="64"/>
      <c r="E100" s="64"/>
      <c r="H100" s="19"/>
      <c r="I100" s="19"/>
      <c r="J100" s="19"/>
      <c r="K100" s="19"/>
      <c r="L100" s="19"/>
      <c r="M100" s="19"/>
      <c r="N100" s="19"/>
      <c r="O100" s="19"/>
      <c r="P100" s="19"/>
      <c r="Q100" s="19"/>
      <c r="R100" s="19"/>
      <c r="S100" s="19"/>
      <c r="T100" s="19"/>
      <c r="U100" s="19"/>
      <c r="V100" s="19"/>
    </row>
    <row r="101" spans="1:22" ht="15" x14ac:dyDescent="0.25">
      <c r="A101" s="108"/>
      <c r="B101" s="108"/>
      <c r="C101" s="109"/>
      <c r="D101" s="109"/>
      <c r="E101" s="109"/>
      <c r="H101" s="19"/>
      <c r="I101" s="19"/>
      <c r="J101" s="19"/>
      <c r="K101" s="19"/>
      <c r="L101" s="19"/>
      <c r="M101" s="19"/>
      <c r="N101" s="19"/>
      <c r="O101" s="19"/>
      <c r="P101" s="19"/>
      <c r="Q101" s="19"/>
      <c r="R101" s="19"/>
      <c r="S101" s="19"/>
      <c r="T101" s="19"/>
      <c r="U101" s="19"/>
      <c r="V101" s="19"/>
    </row>
    <row r="102" spans="1:22" ht="15" x14ac:dyDescent="0.25">
      <c r="A102" s="107"/>
      <c r="B102"/>
      <c r="C102" s="64"/>
      <c r="D102" s="64"/>
      <c r="E102" s="64"/>
      <c r="H102" s="19"/>
      <c r="I102" s="19"/>
      <c r="J102" s="19"/>
      <c r="K102" s="19"/>
      <c r="L102" s="19"/>
      <c r="M102" s="19"/>
      <c r="N102" s="19"/>
      <c r="O102" s="19"/>
      <c r="P102" s="19"/>
      <c r="Q102" s="19"/>
      <c r="R102" s="19"/>
      <c r="S102" s="19"/>
      <c r="T102" s="19"/>
      <c r="U102" s="19"/>
      <c r="V102" s="19"/>
    </row>
    <row r="103" spans="1:22" ht="15" x14ac:dyDescent="0.25">
      <c r="A103" s="108"/>
      <c r="B103" s="108"/>
      <c r="C103" s="109"/>
      <c r="D103" s="109"/>
      <c r="E103" s="109"/>
      <c r="H103" s="19"/>
      <c r="I103" s="19"/>
      <c r="J103" s="19"/>
      <c r="K103" s="19"/>
      <c r="L103" s="19"/>
      <c r="M103" s="19"/>
      <c r="N103" s="19"/>
      <c r="O103" s="19"/>
      <c r="P103" s="19"/>
      <c r="Q103" s="19"/>
      <c r="R103" s="19"/>
      <c r="S103" s="19"/>
      <c r="T103" s="19"/>
      <c r="U103" s="19"/>
      <c r="V103" s="19"/>
    </row>
    <row r="104" spans="1:22" ht="15" x14ac:dyDescent="0.25">
      <c r="A104" s="107"/>
      <c r="B104"/>
      <c r="C104" s="64"/>
      <c r="D104" s="64"/>
      <c r="E104" s="64"/>
      <c r="H104" s="19"/>
      <c r="I104" s="19"/>
      <c r="J104" s="19"/>
      <c r="K104" s="19"/>
      <c r="L104" s="19"/>
      <c r="M104" s="19"/>
      <c r="N104" s="19"/>
      <c r="O104" s="19"/>
      <c r="P104" s="19"/>
      <c r="Q104" s="19"/>
      <c r="R104" s="19"/>
      <c r="S104" s="19"/>
      <c r="T104" s="19"/>
      <c r="U104" s="19"/>
      <c r="V104" s="19"/>
    </row>
    <row r="105" spans="1:22" ht="15" x14ac:dyDescent="0.25">
      <c r="A105" s="107"/>
      <c r="B105"/>
      <c r="C105" s="64"/>
      <c r="D105" s="64"/>
      <c r="E105" s="64"/>
      <c r="H105" s="19"/>
      <c r="I105" s="19"/>
      <c r="J105" s="19"/>
      <c r="K105" s="19"/>
      <c r="L105" s="19"/>
      <c r="M105" s="19"/>
      <c r="N105" s="19"/>
      <c r="O105" s="19"/>
      <c r="P105" s="19"/>
      <c r="Q105" s="19"/>
      <c r="R105" s="19"/>
      <c r="S105" s="19"/>
      <c r="T105" s="19"/>
      <c r="U105" s="19"/>
      <c r="V105" s="19"/>
    </row>
    <row r="106" spans="1:22" ht="15" x14ac:dyDescent="0.25">
      <c r="A106" s="107"/>
      <c r="B106"/>
      <c r="C106" s="64"/>
      <c r="D106" s="64"/>
      <c r="E106" s="64"/>
      <c r="H106" s="19"/>
      <c r="I106" s="19"/>
      <c r="J106" s="19"/>
      <c r="K106" s="19"/>
      <c r="L106" s="19"/>
      <c r="M106" s="19"/>
      <c r="N106" s="19"/>
      <c r="O106" s="19"/>
      <c r="P106" s="19"/>
      <c r="Q106" s="19"/>
      <c r="R106" s="19"/>
      <c r="S106" s="19"/>
      <c r="T106" s="19"/>
      <c r="U106" s="19"/>
      <c r="V106" s="19"/>
    </row>
    <row r="107" spans="1:22" ht="15" x14ac:dyDescent="0.25">
      <c r="A107" s="108"/>
      <c r="B107" s="108"/>
      <c r="C107" s="109"/>
      <c r="D107" s="109"/>
      <c r="E107" s="109"/>
      <c r="H107" s="19"/>
      <c r="I107" s="19"/>
      <c r="J107" s="19"/>
      <c r="K107" s="19"/>
      <c r="L107" s="19"/>
      <c r="M107" s="19"/>
      <c r="N107" s="19"/>
      <c r="O107" s="19"/>
      <c r="P107" s="19"/>
      <c r="Q107" s="19"/>
      <c r="R107" s="19"/>
      <c r="S107" s="19"/>
      <c r="T107" s="19"/>
      <c r="U107" s="19"/>
      <c r="V107" s="19"/>
    </row>
    <row r="108" spans="1:22" ht="15" x14ac:dyDescent="0.25">
      <c r="A108" s="87"/>
      <c r="B108" s="87"/>
      <c r="C108" s="105"/>
      <c r="D108" s="105"/>
      <c r="E108" s="105"/>
      <c r="H108" s="19"/>
      <c r="I108" s="19"/>
      <c r="J108" s="19"/>
      <c r="K108" s="19"/>
      <c r="L108" s="19"/>
      <c r="M108" s="19"/>
      <c r="N108" s="19"/>
      <c r="O108" s="19"/>
      <c r="P108" s="19"/>
      <c r="Q108" s="19"/>
      <c r="R108" s="19"/>
      <c r="S108" s="19"/>
      <c r="T108" s="19"/>
      <c r="U108" s="19"/>
      <c r="V108" s="19"/>
    </row>
    <row r="109" spans="1:22" ht="15" x14ac:dyDescent="0.25">
      <c r="A109" s="87"/>
      <c r="B109" s="87"/>
      <c r="C109" s="105"/>
      <c r="D109" s="105"/>
      <c r="E109" s="105"/>
      <c r="H109" s="19"/>
      <c r="I109" s="19"/>
      <c r="J109" s="19"/>
      <c r="K109" s="19"/>
      <c r="L109" s="19"/>
      <c r="M109" s="19"/>
      <c r="N109" s="19"/>
      <c r="O109" s="19"/>
      <c r="P109" s="19"/>
      <c r="Q109" s="19"/>
      <c r="R109" s="19"/>
      <c r="S109" s="19"/>
      <c r="T109" s="19"/>
      <c r="U109" s="19"/>
      <c r="V109" s="19"/>
    </row>
    <row r="110" spans="1:22" ht="15" x14ac:dyDescent="0.25">
      <c r="A110" s="87"/>
      <c r="B110" s="87"/>
      <c r="C110" s="105"/>
      <c r="D110" s="105"/>
      <c r="E110" s="105"/>
      <c r="H110" s="19"/>
      <c r="I110" s="19"/>
      <c r="J110" s="19"/>
      <c r="K110" s="19"/>
      <c r="L110" s="19"/>
      <c r="M110" s="19"/>
      <c r="N110" s="19"/>
      <c r="O110" s="19"/>
      <c r="P110" s="19"/>
      <c r="Q110" s="19"/>
      <c r="R110" s="19"/>
      <c r="S110" s="19"/>
      <c r="T110" s="19"/>
      <c r="U110" s="19"/>
      <c r="V110" s="19"/>
    </row>
    <row r="111" spans="1:22" ht="15" x14ac:dyDescent="0.25">
      <c r="A111" s="87"/>
      <c r="B111" s="87"/>
      <c r="C111" s="105"/>
      <c r="D111" s="105"/>
      <c r="E111" s="105"/>
      <c r="H111" s="19"/>
      <c r="I111" s="19"/>
      <c r="J111" s="19"/>
      <c r="K111" s="19"/>
      <c r="L111" s="19"/>
      <c r="M111" s="19"/>
      <c r="N111" s="19"/>
      <c r="O111" s="19"/>
      <c r="P111" s="19"/>
      <c r="Q111" s="19"/>
      <c r="R111" s="19"/>
      <c r="S111" s="19"/>
      <c r="T111" s="19"/>
      <c r="U111" s="19"/>
      <c r="V111" s="19"/>
    </row>
    <row r="112" spans="1:22" ht="15" x14ac:dyDescent="0.25">
      <c r="A112" s="87"/>
      <c r="B112" s="87"/>
      <c r="C112" s="105"/>
      <c r="D112" s="105"/>
      <c r="E112" s="105"/>
      <c r="H112" s="19"/>
      <c r="I112" s="19"/>
      <c r="J112" s="19"/>
      <c r="K112" s="19"/>
      <c r="L112" s="19"/>
      <c r="M112" s="19"/>
      <c r="N112" s="19"/>
      <c r="O112" s="19"/>
      <c r="P112" s="19"/>
      <c r="Q112" s="19"/>
      <c r="R112" s="19"/>
      <c r="S112" s="19"/>
      <c r="T112" s="19"/>
      <c r="U112" s="19"/>
      <c r="V112" s="19"/>
    </row>
    <row r="113" spans="1:22" ht="15" x14ac:dyDescent="0.25">
      <c r="A113" s="87"/>
      <c r="B113" s="87"/>
      <c r="C113" s="105"/>
      <c r="D113" s="105"/>
      <c r="E113" s="105"/>
      <c r="H113" s="19"/>
      <c r="I113" s="19"/>
      <c r="J113" s="19"/>
      <c r="K113" s="19"/>
      <c r="L113" s="19"/>
      <c r="M113" s="19"/>
      <c r="N113" s="19"/>
      <c r="O113" s="19"/>
      <c r="P113" s="19"/>
      <c r="Q113" s="19"/>
      <c r="R113" s="19"/>
      <c r="S113" s="19"/>
      <c r="T113" s="19"/>
      <c r="U113" s="19"/>
      <c r="V113" s="19"/>
    </row>
    <row r="114" spans="1:22" ht="15" x14ac:dyDescent="0.25">
      <c r="A114" s="87"/>
      <c r="B114" s="87"/>
      <c r="C114" s="105"/>
      <c r="D114" s="105"/>
      <c r="E114" s="105"/>
      <c r="H114" s="19"/>
      <c r="I114" s="19"/>
      <c r="J114" s="19"/>
      <c r="K114" s="19"/>
      <c r="L114" s="19"/>
      <c r="M114" s="19"/>
      <c r="N114" s="19"/>
      <c r="O114" s="19"/>
      <c r="P114" s="19"/>
      <c r="Q114" s="19"/>
      <c r="R114" s="19"/>
      <c r="S114" s="19"/>
      <c r="T114" s="19"/>
      <c r="U114" s="19"/>
      <c r="V114" s="19"/>
    </row>
    <row r="115" spans="1:22" ht="15" x14ac:dyDescent="0.25">
      <c r="A115" s="87"/>
      <c r="B115" s="87"/>
      <c r="C115" s="105"/>
      <c r="D115" s="105"/>
      <c r="E115" s="105"/>
      <c r="H115" s="19"/>
      <c r="I115" s="19"/>
      <c r="J115" s="19"/>
      <c r="K115" s="19"/>
      <c r="L115" s="19"/>
      <c r="M115" s="19"/>
      <c r="N115" s="19"/>
      <c r="O115" s="19"/>
      <c r="P115" s="19"/>
      <c r="Q115" s="19"/>
      <c r="R115" s="19"/>
      <c r="S115" s="19"/>
      <c r="T115" s="19"/>
      <c r="U115" s="19"/>
      <c r="V115" s="19"/>
    </row>
    <row r="116" spans="1:22" ht="15" x14ac:dyDescent="0.25">
      <c r="A116" s="87"/>
      <c r="B116" s="87"/>
      <c r="C116" s="105"/>
      <c r="D116" s="105"/>
      <c r="E116" s="105"/>
      <c r="H116" s="19"/>
      <c r="I116" s="19"/>
      <c r="J116" s="19"/>
      <c r="K116" s="19"/>
      <c r="L116" s="19"/>
      <c r="M116" s="19"/>
      <c r="N116" s="19"/>
      <c r="O116" s="19"/>
      <c r="P116" s="19"/>
      <c r="Q116" s="19"/>
      <c r="R116" s="19"/>
      <c r="S116" s="19"/>
      <c r="T116" s="19"/>
      <c r="U116" s="19"/>
      <c r="V116" s="19"/>
    </row>
    <row r="117" spans="1:22" ht="15" x14ac:dyDescent="0.25">
      <c r="A117" s="87"/>
      <c r="B117" s="87"/>
      <c r="C117" s="105"/>
      <c r="D117" s="105"/>
      <c r="E117" s="105"/>
      <c r="H117" s="19"/>
      <c r="I117" s="19"/>
      <c r="J117" s="19"/>
      <c r="K117" s="19"/>
      <c r="L117" s="19"/>
      <c r="M117" s="19"/>
      <c r="N117" s="19"/>
      <c r="O117" s="19"/>
      <c r="P117" s="19"/>
      <c r="Q117" s="19"/>
      <c r="R117" s="19"/>
      <c r="S117" s="19"/>
      <c r="T117" s="19"/>
      <c r="U117" s="19"/>
      <c r="V117" s="19"/>
    </row>
    <row r="118" spans="1:22" ht="15" x14ac:dyDescent="0.25">
      <c r="A118" s="87"/>
      <c r="B118" s="87"/>
      <c r="C118" s="105"/>
      <c r="D118" s="105"/>
      <c r="E118" s="105"/>
      <c r="H118" s="19"/>
      <c r="I118" s="19"/>
      <c r="J118" s="19"/>
      <c r="K118" s="19"/>
      <c r="L118" s="19"/>
      <c r="M118" s="19"/>
      <c r="N118" s="19"/>
      <c r="O118" s="19"/>
      <c r="P118" s="19"/>
      <c r="Q118" s="19"/>
      <c r="R118" s="19"/>
      <c r="S118" s="19"/>
      <c r="T118" s="19"/>
      <c r="U118" s="19"/>
      <c r="V118" s="19"/>
    </row>
    <row r="119" spans="1:22" ht="15" x14ac:dyDescent="0.25">
      <c r="A119" s="87"/>
      <c r="B119" s="87"/>
      <c r="C119" s="105"/>
      <c r="D119" s="105"/>
      <c r="E119" s="105"/>
      <c r="H119" s="19"/>
      <c r="I119" s="19"/>
      <c r="J119" s="19"/>
      <c r="K119" s="19"/>
      <c r="L119" s="19"/>
      <c r="M119" s="19"/>
      <c r="N119" s="19"/>
      <c r="O119" s="19"/>
      <c r="P119" s="19"/>
      <c r="Q119" s="19"/>
      <c r="R119" s="19"/>
      <c r="S119" s="19"/>
      <c r="T119" s="19"/>
      <c r="U119" s="19"/>
      <c r="V119" s="19"/>
    </row>
    <row r="120" spans="1:22" ht="15" x14ac:dyDescent="0.25">
      <c r="A120" s="87"/>
      <c r="B120" s="87"/>
      <c r="C120" s="105"/>
      <c r="D120" s="105"/>
      <c r="E120" s="105"/>
      <c r="H120" s="19"/>
      <c r="I120" s="19"/>
      <c r="J120" s="19"/>
      <c r="K120" s="19"/>
      <c r="L120" s="19"/>
      <c r="M120" s="19"/>
      <c r="N120" s="19"/>
      <c r="O120" s="19"/>
      <c r="P120" s="19"/>
      <c r="Q120" s="19"/>
      <c r="R120" s="19"/>
      <c r="S120" s="19"/>
      <c r="T120" s="19"/>
      <c r="U120" s="19"/>
      <c r="V120" s="19"/>
    </row>
    <row r="121" spans="1:22" ht="15" x14ac:dyDescent="0.25">
      <c r="A121" s="87"/>
      <c r="B121" s="87"/>
      <c r="C121" s="105"/>
      <c r="D121" s="105"/>
      <c r="E121" s="105"/>
      <c r="H121" s="19"/>
      <c r="I121" s="19"/>
      <c r="J121" s="19"/>
      <c r="K121" s="19"/>
      <c r="L121" s="19"/>
      <c r="M121" s="19"/>
      <c r="N121" s="19"/>
      <c r="O121" s="19"/>
      <c r="P121" s="19"/>
      <c r="Q121" s="19"/>
      <c r="R121" s="19"/>
      <c r="S121" s="19"/>
      <c r="T121" s="19"/>
      <c r="U121" s="19"/>
      <c r="V121" s="19"/>
    </row>
    <row r="122" spans="1:22" ht="15" x14ac:dyDescent="0.25">
      <c r="A122" s="87"/>
      <c r="B122" s="87"/>
      <c r="C122" s="105"/>
      <c r="D122" s="105"/>
      <c r="E122" s="105"/>
      <c r="H122" s="19"/>
      <c r="I122" s="19"/>
      <c r="J122" s="19"/>
      <c r="K122" s="19"/>
      <c r="L122" s="19"/>
      <c r="M122" s="19"/>
      <c r="N122" s="19"/>
      <c r="O122" s="19"/>
      <c r="P122" s="19"/>
      <c r="Q122" s="19"/>
      <c r="R122" s="19"/>
      <c r="S122" s="19"/>
      <c r="T122" s="19"/>
      <c r="U122" s="19"/>
      <c r="V122" s="19"/>
    </row>
    <row r="123" spans="1:22" ht="15" x14ac:dyDescent="0.25">
      <c r="A123" s="87"/>
      <c r="B123" s="87"/>
      <c r="C123" s="105"/>
      <c r="D123" s="105"/>
      <c r="E123" s="105"/>
      <c r="H123" s="19"/>
      <c r="I123" s="19"/>
      <c r="J123" s="19"/>
      <c r="K123" s="19"/>
      <c r="L123" s="19"/>
      <c r="M123" s="19"/>
      <c r="N123" s="19"/>
      <c r="O123" s="19"/>
      <c r="P123" s="19"/>
      <c r="Q123" s="19"/>
      <c r="R123" s="19"/>
      <c r="S123" s="19"/>
      <c r="T123" s="19"/>
      <c r="U123" s="19"/>
      <c r="V123" s="19"/>
    </row>
    <row r="124" spans="1:22" ht="15" x14ac:dyDescent="0.25">
      <c r="A124" s="87"/>
      <c r="B124" s="87"/>
      <c r="C124" s="105"/>
      <c r="D124" s="105"/>
      <c r="E124" s="105"/>
      <c r="H124" s="19"/>
      <c r="I124" s="19"/>
      <c r="J124" s="19"/>
      <c r="K124" s="19"/>
      <c r="L124" s="19"/>
      <c r="M124" s="19"/>
      <c r="N124" s="19"/>
      <c r="O124" s="19"/>
      <c r="P124" s="19"/>
      <c r="Q124" s="19"/>
      <c r="R124" s="19"/>
      <c r="S124" s="19"/>
      <c r="T124" s="19"/>
      <c r="U124" s="19"/>
      <c r="V124" s="19"/>
    </row>
    <row r="125" spans="1:22" ht="15" x14ac:dyDescent="0.25">
      <c r="A125" s="87"/>
      <c r="B125" s="87"/>
      <c r="C125" s="105"/>
      <c r="D125" s="105"/>
      <c r="E125" s="105"/>
      <c r="H125" s="19"/>
      <c r="I125" s="19"/>
      <c r="J125" s="19"/>
      <c r="K125" s="19"/>
      <c r="L125" s="19"/>
      <c r="M125" s="19"/>
      <c r="N125" s="19"/>
      <c r="O125" s="19"/>
      <c r="P125" s="19"/>
      <c r="Q125" s="19"/>
      <c r="R125" s="19"/>
      <c r="S125" s="19"/>
      <c r="T125" s="19"/>
      <c r="U125" s="19"/>
      <c r="V125" s="19"/>
    </row>
    <row r="126" spans="1:22" ht="15" x14ac:dyDescent="0.25">
      <c r="A126" s="87"/>
      <c r="B126" s="87"/>
      <c r="C126" s="105"/>
      <c r="D126" s="105"/>
      <c r="E126" s="105"/>
      <c r="H126" s="19"/>
      <c r="I126" s="19"/>
      <c r="J126" s="19"/>
      <c r="K126" s="19"/>
      <c r="L126" s="19"/>
      <c r="M126" s="19"/>
      <c r="N126" s="19"/>
      <c r="O126" s="19"/>
      <c r="P126" s="19"/>
      <c r="Q126" s="19"/>
      <c r="R126" s="19"/>
      <c r="S126" s="19"/>
      <c r="T126" s="19"/>
      <c r="U126" s="19"/>
      <c r="V126" s="19"/>
    </row>
    <row r="127" spans="1:22" ht="11.25" x14ac:dyDescent="0.2">
      <c r="H127" s="19"/>
      <c r="I127" s="19"/>
      <c r="J127" s="19"/>
      <c r="K127" s="19"/>
      <c r="L127" s="19"/>
      <c r="M127" s="19"/>
      <c r="N127" s="19"/>
      <c r="O127" s="19"/>
      <c r="P127" s="19"/>
      <c r="Q127" s="19"/>
      <c r="R127" s="19"/>
      <c r="S127" s="19"/>
      <c r="T127" s="19"/>
      <c r="U127" s="19"/>
      <c r="V127" s="19"/>
    </row>
    <row r="128" spans="1:22" ht="11.25" x14ac:dyDescent="0.2">
      <c r="H128" s="19"/>
      <c r="I128" s="19"/>
      <c r="J128" s="19"/>
      <c r="K128" s="19"/>
      <c r="L128" s="19"/>
      <c r="M128" s="19"/>
      <c r="N128" s="19"/>
      <c r="O128" s="19"/>
      <c r="P128" s="19"/>
      <c r="Q128" s="19"/>
      <c r="R128" s="19"/>
      <c r="S128" s="19"/>
      <c r="T128" s="19"/>
      <c r="U128" s="19"/>
      <c r="V128" s="19"/>
    </row>
    <row r="129" s="19" customFormat="1" ht="11.25" x14ac:dyDescent="0.2"/>
    <row r="130" s="19" customFormat="1" ht="11.25" x14ac:dyDescent="0.2"/>
    <row r="131" s="19" customFormat="1" ht="11.25" x14ac:dyDescent="0.2"/>
    <row r="132" s="19" customFormat="1" ht="11.25" x14ac:dyDescent="0.2"/>
    <row r="133" s="19" customFormat="1" ht="11.25" x14ac:dyDescent="0.2"/>
    <row r="134" s="19" customFormat="1" ht="11.25" x14ac:dyDescent="0.2"/>
    <row r="135" s="19" customFormat="1" ht="11.25" x14ac:dyDescent="0.2"/>
    <row r="136" s="19" customFormat="1" ht="11.25" x14ac:dyDescent="0.2"/>
    <row r="137" s="19" customFormat="1" ht="11.25" x14ac:dyDescent="0.2"/>
    <row r="138" s="19" customFormat="1" ht="11.25" x14ac:dyDescent="0.2"/>
    <row r="139" s="19" customFormat="1" ht="11.25" x14ac:dyDescent="0.2"/>
    <row r="140" s="19" customFormat="1" ht="11.25" x14ac:dyDescent="0.2"/>
    <row r="141" s="19" customFormat="1" ht="11.25" x14ac:dyDescent="0.2"/>
    <row r="142" s="19" customFormat="1" ht="11.25" x14ac:dyDescent="0.2"/>
    <row r="143" s="19" customFormat="1" ht="11.25" x14ac:dyDescent="0.2"/>
    <row r="144" s="19" customFormat="1" ht="11.25" x14ac:dyDescent="0.2"/>
    <row r="145" s="19" customFormat="1" ht="11.25" x14ac:dyDescent="0.2"/>
    <row r="146" s="19" customFormat="1" ht="11.25" x14ac:dyDescent="0.2"/>
    <row r="147" s="19" customFormat="1" ht="11.25" x14ac:dyDescent="0.2"/>
    <row r="148" s="19" customFormat="1" ht="11.25" x14ac:dyDescent="0.2"/>
    <row r="149" s="19" customFormat="1" ht="11.25" x14ac:dyDescent="0.2"/>
    <row r="150" s="19" customFormat="1" ht="11.25" x14ac:dyDescent="0.2"/>
    <row r="151" s="19" customFormat="1" ht="11.25" x14ac:dyDescent="0.2"/>
    <row r="152" s="19" customFormat="1" ht="11.25" x14ac:dyDescent="0.2"/>
    <row r="153" s="19" customFormat="1" ht="11.25" x14ac:dyDescent="0.2"/>
    <row r="154" s="19" customFormat="1" ht="11.25" x14ac:dyDescent="0.2"/>
    <row r="155" s="19" customFormat="1" ht="11.25" x14ac:dyDescent="0.2"/>
    <row r="156" s="19" customFormat="1" ht="11.25" x14ac:dyDescent="0.2"/>
    <row r="157" s="19" customFormat="1" ht="11.25" x14ac:dyDescent="0.2"/>
    <row r="158" s="19" customFormat="1" ht="11.25" x14ac:dyDescent="0.2"/>
    <row r="159" s="19" customFormat="1" ht="11.25" x14ac:dyDescent="0.2"/>
    <row r="160" s="19" customFormat="1" ht="11.25" x14ac:dyDescent="0.2"/>
    <row r="161" s="19" customFormat="1" ht="11.25" x14ac:dyDescent="0.2"/>
    <row r="162" s="19" customFormat="1" ht="11.25" x14ac:dyDescent="0.2"/>
    <row r="163" s="19" customFormat="1" ht="11.25" x14ac:dyDescent="0.2"/>
    <row r="164" s="19" customFormat="1" ht="11.25" x14ac:dyDescent="0.2"/>
    <row r="165" s="19" customFormat="1" ht="11.25" x14ac:dyDescent="0.2"/>
    <row r="166" s="19" customFormat="1" ht="11.25" x14ac:dyDescent="0.2"/>
    <row r="167" s="19" customFormat="1" ht="11.25" x14ac:dyDescent="0.2"/>
    <row r="168" s="19" customFormat="1" ht="11.25" x14ac:dyDescent="0.2"/>
    <row r="169" s="19" customFormat="1" ht="11.25" x14ac:dyDescent="0.2"/>
    <row r="170" s="19" customFormat="1" ht="11.25" x14ac:dyDescent="0.2"/>
    <row r="171" s="19" customFormat="1" ht="11.25" x14ac:dyDescent="0.2"/>
    <row r="172" s="19" customFormat="1" ht="11.25" x14ac:dyDescent="0.2"/>
    <row r="173" s="19" customFormat="1" ht="11.25" x14ac:dyDescent="0.2"/>
    <row r="174" s="19" customFormat="1" ht="11.25" x14ac:dyDescent="0.2"/>
    <row r="175" s="19" customFormat="1" ht="11.25" x14ac:dyDescent="0.2"/>
    <row r="176" s="19" customFormat="1" ht="11.25" x14ac:dyDescent="0.2"/>
    <row r="177" s="19" customFormat="1" ht="11.25" x14ac:dyDescent="0.2"/>
    <row r="178" s="19" customFormat="1" ht="11.25" x14ac:dyDescent="0.2"/>
    <row r="179" s="19" customFormat="1" ht="11.25" x14ac:dyDescent="0.2"/>
    <row r="180" s="19" customFormat="1" ht="11.25" x14ac:dyDescent="0.2"/>
    <row r="181" s="19" customFormat="1" ht="11.25" x14ac:dyDescent="0.2"/>
    <row r="182" s="19" customFormat="1" ht="11.25" x14ac:dyDescent="0.2"/>
    <row r="183" s="19" customFormat="1" ht="11.25" x14ac:dyDescent="0.2"/>
    <row r="184" s="19" customFormat="1" ht="11.25" x14ac:dyDescent="0.2"/>
    <row r="185" s="19" customFormat="1" ht="11.25" x14ac:dyDescent="0.2"/>
    <row r="186" s="19" customFormat="1" ht="11.25" x14ac:dyDescent="0.2"/>
    <row r="187" s="19" customFormat="1" ht="11.25" x14ac:dyDescent="0.2"/>
    <row r="188" s="19" customFormat="1" ht="11.25" x14ac:dyDescent="0.2"/>
    <row r="189" s="19" customFormat="1" ht="11.25" x14ac:dyDescent="0.2"/>
    <row r="190" s="19" customFormat="1" ht="11.25" x14ac:dyDescent="0.2"/>
    <row r="191" s="19" customFormat="1" ht="11.25" x14ac:dyDescent="0.2"/>
  </sheetData>
  <autoFilter ref="A5:E121" xr:uid="{00000000-0009-0000-0000-000008000000}"/>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GD165"/>
  <sheetViews>
    <sheetView zoomScale="85" zoomScaleNormal="85" workbookViewId="0">
      <pane xSplit="5" ySplit="6" topLeftCell="AN12" activePane="bottomRight" state="frozen"/>
      <selection pane="topRight" activeCell="E1" sqref="E1"/>
      <selection pane="bottomLeft" activeCell="A7" sqref="A7"/>
      <selection pane="bottomRight" activeCell="AZ33" sqref="AZ33"/>
    </sheetView>
  </sheetViews>
  <sheetFormatPr baseColWidth="10" defaultColWidth="9.85546875" defaultRowHeight="12" x14ac:dyDescent="0.2"/>
  <cols>
    <col min="1" max="1" width="20.5703125" style="1" customWidth="1"/>
    <col min="2" max="3" width="22.7109375" style="1" customWidth="1"/>
    <col min="4" max="4" width="19.140625" style="1" bestFit="1" customWidth="1"/>
    <col min="5" max="6" width="17.140625" style="1" customWidth="1"/>
    <col min="7" max="12" width="15.140625" style="1" customWidth="1"/>
    <col min="13" max="13" width="25" style="1" customWidth="1"/>
    <col min="14" max="18" width="15.140625" style="1" customWidth="1"/>
    <col min="19" max="19" width="18.28515625" style="1" customWidth="1"/>
    <col min="20" max="35" width="15.140625" style="1" customWidth="1"/>
    <col min="36" max="36" width="17.7109375" style="1" customWidth="1"/>
    <col min="37" max="37" width="18.42578125" style="1" bestFit="1" customWidth="1"/>
    <col min="38" max="38" width="19.7109375" style="1" bestFit="1" customWidth="1"/>
    <col min="39" max="39" width="22.7109375" style="1" bestFit="1" customWidth="1"/>
    <col min="40" max="40" width="14.28515625" style="1" bestFit="1" customWidth="1"/>
    <col min="41" max="41" width="16.28515625" style="1" customWidth="1"/>
    <col min="42" max="42" width="17" style="1" hidden="1" customWidth="1"/>
    <col min="43" max="45" width="13.140625" style="1" hidden="1" customWidth="1"/>
    <col min="46" max="46" width="18.42578125" style="2" hidden="1" customWidth="1"/>
    <col min="47" max="47" width="13.140625" style="1" hidden="1" customWidth="1"/>
    <col min="48" max="48" width="14.42578125" style="1" customWidth="1"/>
    <col min="49" max="50" width="16.28515625" style="1" customWidth="1"/>
    <col min="51" max="51" width="15.140625" style="1" bestFit="1" customWidth="1"/>
    <col min="52" max="52" width="15.5703125" style="1" customWidth="1"/>
    <col min="53" max="54" width="14.42578125" style="1" customWidth="1"/>
    <col min="55" max="56" width="13.140625" style="1" customWidth="1"/>
    <col min="57" max="57" width="15.5703125" style="1" customWidth="1"/>
    <col min="58" max="58" width="13.140625" style="1" customWidth="1"/>
    <col min="59" max="60" width="14.140625" style="1" customWidth="1"/>
    <col min="61" max="61" width="17.7109375" style="1" customWidth="1"/>
    <col min="62" max="63" width="13.140625" style="1" customWidth="1"/>
    <col min="64" max="64" width="17.140625" style="1" customWidth="1"/>
    <col min="65" max="65" width="13.140625" style="1" customWidth="1"/>
    <col min="66" max="66" width="14.140625" style="1" customWidth="1"/>
    <col min="67" max="67" width="13.140625" style="1" customWidth="1"/>
    <col min="68" max="69" width="12.42578125" style="1" customWidth="1"/>
    <col min="70" max="70" width="12.140625" style="1" customWidth="1"/>
    <col min="71" max="71" width="13.140625" style="1" customWidth="1"/>
    <col min="72" max="72" width="17.140625" style="1" customWidth="1"/>
    <col min="73" max="73" width="13.140625" style="1" customWidth="1"/>
    <col min="74" max="74" width="14.140625" style="1" customWidth="1"/>
    <col min="75" max="75" width="13.140625" style="1" customWidth="1"/>
    <col min="76" max="77" width="12.42578125" style="1" customWidth="1"/>
    <col min="78" max="78" width="12.140625" style="1" customWidth="1"/>
    <col min="79" max="79" width="13.140625" style="1" customWidth="1"/>
    <col min="80" max="80" width="17.140625" style="1" customWidth="1"/>
    <col min="81" max="81" width="13.140625" style="1" customWidth="1"/>
    <col min="82" max="82" width="14.140625" style="1" customWidth="1"/>
    <col min="83" max="83" width="13.140625" style="1" customWidth="1"/>
    <col min="84" max="85" width="12.42578125" style="1" customWidth="1"/>
    <col min="86" max="86" width="12.140625" style="1" customWidth="1"/>
    <col min="87" max="87" width="83.42578125" style="1" customWidth="1"/>
    <col min="88" max="88" width="12.140625" style="1" customWidth="1"/>
    <col min="89" max="89" width="16.85546875" style="1" hidden="1" customWidth="1"/>
    <col min="90" max="90" width="17.28515625" style="1" hidden="1" customWidth="1"/>
    <col min="91" max="91" width="17.42578125" style="1" hidden="1" customWidth="1"/>
    <col min="92" max="92" width="16.140625" style="1" hidden="1" customWidth="1"/>
    <col min="93" max="93" width="15.5703125" style="1" customWidth="1"/>
    <col min="94" max="94" width="24.7109375" style="1" bestFit="1" customWidth="1"/>
    <col min="95" max="95" width="17.42578125" style="1" hidden="1" customWidth="1"/>
    <col min="96" max="96" width="17.28515625" style="1" hidden="1" customWidth="1"/>
    <col min="97" max="97" width="17" style="1" hidden="1" customWidth="1"/>
    <col min="98" max="98" width="15.5703125" style="1" hidden="1" customWidth="1"/>
    <col min="99" max="99" width="16.85546875" style="1" hidden="1" customWidth="1"/>
    <col min="100" max="100" width="16.7109375" style="1" hidden="1" customWidth="1"/>
    <col min="101" max="101" width="16.28515625" style="1" hidden="1" customWidth="1"/>
    <col min="102" max="102" width="17" style="1" hidden="1" customWidth="1"/>
    <col min="103" max="103" width="17.85546875" style="1" hidden="1" customWidth="1"/>
    <col min="104" max="104" width="17" style="1" hidden="1" customWidth="1"/>
    <col min="105" max="105" width="16.42578125" style="1" hidden="1" customWidth="1"/>
    <col min="106" max="106" width="16.140625" style="1" hidden="1" customWidth="1"/>
    <col min="107" max="181" width="0" style="1" hidden="1" customWidth="1"/>
    <col min="182" max="184" width="9.85546875" style="1"/>
    <col min="185" max="185" width="19.7109375" style="1" customWidth="1"/>
    <col min="186" max="209" width="9.85546875" style="1"/>
    <col min="210" max="210" width="20.5703125" style="1" customWidth="1"/>
    <col min="211" max="211" width="22.7109375" style="1" customWidth="1"/>
    <col min="212" max="212" width="19.140625" style="1" customWidth="1"/>
    <col min="213" max="214" width="17.140625" style="1" customWidth="1"/>
    <col min="215" max="215" width="19.5703125" style="1" customWidth="1"/>
    <col min="216" max="217" width="16.28515625" style="1" customWidth="1"/>
    <col min="218" max="218" width="12" style="1" customWidth="1"/>
    <col min="219" max="219" width="13.42578125" style="1" customWidth="1"/>
    <col min="220" max="224" width="15.42578125" style="1" customWidth="1"/>
    <col min="225" max="228" width="14.5703125" style="1" customWidth="1"/>
    <col min="229" max="229" width="15" style="1" customWidth="1"/>
    <col min="230" max="230" width="14.5703125" style="1" customWidth="1"/>
    <col min="231" max="243" width="14.140625" style="1" customWidth="1"/>
    <col min="244" max="244" width="17.5703125" style="1" customWidth="1"/>
    <col min="245" max="245" width="13.140625" style="1" customWidth="1"/>
    <col min="246" max="246" width="14.28515625" style="1" customWidth="1"/>
    <col min="247" max="250" width="13.140625" style="1" customWidth="1"/>
    <col min="251" max="252" width="13.85546875" style="1" customWidth="1"/>
    <col min="253" max="287" width="15.140625" style="1" customWidth="1"/>
    <col min="288" max="299" width="13.140625" style="1" customWidth="1"/>
    <col min="300" max="300" width="18.28515625" style="1" customWidth="1"/>
    <col min="301" max="301" width="15.85546875" style="1" customWidth="1"/>
    <col min="302" max="303" width="16.140625" style="1" customWidth="1"/>
    <col min="304" max="305" width="16.28515625" style="1" customWidth="1"/>
    <col min="306" max="306" width="17.7109375" style="1" customWidth="1"/>
    <col min="307" max="307" width="16.28515625" style="1" customWidth="1"/>
    <col min="308" max="308" width="18.42578125" style="1" customWidth="1"/>
    <col min="309" max="309" width="19.140625" style="1" customWidth="1"/>
    <col min="310" max="310" width="18.28515625" style="1" customWidth="1"/>
    <col min="311" max="312" width="16.7109375" style="1" customWidth="1"/>
    <col min="313" max="316" width="13.140625" style="1" customWidth="1"/>
    <col min="317" max="317" width="18.42578125" style="1" customWidth="1"/>
    <col min="318" max="318" width="13.140625" style="1" customWidth="1"/>
    <col min="319" max="319" width="14.42578125" style="1" customWidth="1"/>
    <col min="320" max="320" width="16.28515625" style="1" customWidth="1"/>
    <col min="321" max="324" width="14.42578125" style="1" customWidth="1"/>
    <col min="325" max="326" width="13.140625" style="1" customWidth="1"/>
    <col min="327" max="327" width="15.5703125" style="1" customWidth="1"/>
    <col min="328" max="328" width="13.140625" style="1" customWidth="1"/>
    <col min="329" max="330" width="14.140625" style="1" customWidth="1"/>
    <col min="331" max="331" width="17.7109375" style="1" customWidth="1"/>
    <col min="332" max="333" width="13.140625" style="1" customWidth="1"/>
    <col min="334" max="334" width="17.140625" style="1" customWidth="1"/>
    <col min="335" max="335" width="13.140625" style="1" customWidth="1"/>
    <col min="336" max="336" width="14.140625" style="1" customWidth="1"/>
    <col min="337" max="337" width="13.140625" style="1" customWidth="1"/>
    <col min="338" max="339" width="12.42578125" style="1" customWidth="1"/>
    <col min="340" max="340" width="12.140625" style="1" customWidth="1"/>
    <col min="341" max="341" width="12.42578125" style="1" customWidth="1"/>
    <col min="342" max="342" width="12.140625" style="1" customWidth="1"/>
    <col min="343" max="344" width="16.140625" style="1" customWidth="1"/>
    <col min="345" max="345" width="16.85546875" style="1" customWidth="1"/>
    <col min="346" max="346" width="17.28515625" style="1" customWidth="1"/>
    <col min="347" max="347" width="17.42578125" style="1" customWidth="1"/>
    <col min="348" max="348" width="16.140625" style="1" customWidth="1"/>
    <col min="349" max="349" width="15.5703125" style="1" customWidth="1"/>
    <col min="350" max="350" width="17.85546875" style="1" customWidth="1"/>
    <col min="351" max="351" width="17.42578125" style="1" customWidth="1"/>
    <col min="352" max="352" width="17.28515625" style="1" customWidth="1"/>
    <col min="353" max="353" width="17" style="1" customWidth="1"/>
    <col min="354" max="354" width="15.5703125" style="1" customWidth="1"/>
    <col min="355" max="355" width="16.85546875" style="1" customWidth="1"/>
    <col min="356" max="356" width="16.7109375" style="1" customWidth="1"/>
    <col min="357" max="357" width="16.28515625" style="1" customWidth="1"/>
    <col min="358" max="358" width="17" style="1" customWidth="1"/>
    <col min="359" max="359" width="17.85546875" style="1" customWidth="1"/>
    <col min="360" max="360" width="17" style="1" customWidth="1"/>
    <col min="361" max="361" width="16.42578125" style="1" customWidth="1"/>
    <col min="362" max="362" width="16.140625" style="1" customWidth="1"/>
    <col min="363" max="465" width="9.85546875" style="1"/>
    <col min="466" max="466" width="20.5703125" style="1" customWidth="1"/>
    <col min="467" max="467" width="22.7109375" style="1" customWidth="1"/>
    <col min="468" max="468" width="19.140625" style="1" customWidth="1"/>
    <col min="469" max="470" width="17.140625" style="1" customWidth="1"/>
    <col min="471" max="471" width="19.5703125" style="1" customWidth="1"/>
    <col min="472" max="473" width="16.28515625" style="1" customWidth="1"/>
    <col min="474" max="474" width="12" style="1" customWidth="1"/>
    <col min="475" max="475" width="13.42578125" style="1" customWidth="1"/>
    <col min="476" max="480" width="15.42578125" style="1" customWidth="1"/>
    <col min="481" max="484" width="14.5703125" style="1" customWidth="1"/>
    <col min="485" max="485" width="15" style="1" customWidth="1"/>
    <col min="486" max="486" width="14.5703125" style="1" customWidth="1"/>
    <col min="487" max="499" width="14.140625" style="1" customWidth="1"/>
    <col min="500" max="500" width="17.5703125" style="1" customWidth="1"/>
    <col min="501" max="501" width="13.140625" style="1" customWidth="1"/>
    <col min="502" max="502" width="14.28515625" style="1" customWidth="1"/>
    <col min="503" max="506" width="13.140625" style="1" customWidth="1"/>
    <col min="507" max="508" width="13.85546875" style="1" customWidth="1"/>
    <col min="509" max="543" width="15.140625" style="1" customWidth="1"/>
    <col min="544" max="555" width="13.140625" style="1" customWidth="1"/>
    <col min="556" max="556" width="18.28515625" style="1" customWidth="1"/>
    <col min="557" max="557" width="15.85546875" style="1" customWidth="1"/>
    <col min="558" max="559" width="16.140625" style="1" customWidth="1"/>
    <col min="560" max="561" width="16.28515625" style="1" customWidth="1"/>
    <col min="562" max="562" width="17.7109375" style="1" customWidth="1"/>
    <col min="563" max="563" width="16.28515625" style="1" customWidth="1"/>
    <col min="564" max="564" width="18.42578125" style="1" customWidth="1"/>
    <col min="565" max="565" width="19.140625" style="1" customWidth="1"/>
    <col min="566" max="566" width="18.28515625" style="1" customWidth="1"/>
    <col min="567" max="568" width="16.7109375" style="1" customWidth="1"/>
    <col min="569" max="572" width="13.140625" style="1" customWidth="1"/>
    <col min="573" max="573" width="18.42578125" style="1" customWidth="1"/>
    <col min="574" max="574" width="13.140625" style="1" customWidth="1"/>
    <col min="575" max="575" width="14.42578125" style="1" customWidth="1"/>
    <col min="576" max="576" width="16.28515625" style="1" customWidth="1"/>
    <col min="577" max="580" width="14.42578125" style="1" customWidth="1"/>
    <col min="581" max="582" width="13.140625" style="1" customWidth="1"/>
    <col min="583" max="583" width="15.5703125" style="1" customWidth="1"/>
    <col min="584" max="584" width="13.140625" style="1" customWidth="1"/>
    <col min="585" max="586" width="14.140625" style="1" customWidth="1"/>
    <col min="587" max="587" width="17.7109375" style="1" customWidth="1"/>
    <col min="588" max="589" width="13.140625" style="1" customWidth="1"/>
    <col min="590" max="590" width="17.140625" style="1" customWidth="1"/>
    <col min="591" max="591" width="13.140625" style="1" customWidth="1"/>
    <col min="592" max="592" width="14.140625" style="1" customWidth="1"/>
    <col min="593" max="593" width="13.140625" style="1" customWidth="1"/>
    <col min="594" max="595" width="12.42578125" style="1" customWidth="1"/>
    <col min="596" max="596" width="12.140625" style="1" customWidth="1"/>
    <col min="597" max="597" width="12.42578125" style="1" customWidth="1"/>
    <col min="598" max="598" width="12.140625" style="1" customWidth="1"/>
    <col min="599" max="600" width="16.140625" style="1" customWidth="1"/>
    <col min="601" max="601" width="16.85546875" style="1" customWidth="1"/>
    <col min="602" max="602" width="17.28515625" style="1" customWidth="1"/>
    <col min="603" max="603" width="17.42578125" style="1" customWidth="1"/>
    <col min="604" max="604" width="16.140625" style="1" customWidth="1"/>
    <col min="605" max="605" width="15.5703125" style="1" customWidth="1"/>
    <col min="606" max="606" width="17.85546875" style="1" customWidth="1"/>
    <col min="607" max="607" width="17.42578125" style="1" customWidth="1"/>
    <col min="608" max="608" width="17.28515625" style="1" customWidth="1"/>
    <col min="609" max="609" width="17" style="1" customWidth="1"/>
    <col min="610" max="610" width="15.5703125" style="1" customWidth="1"/>
    <col min="611" max="611" width="16.85546875" style="1" customWidth="1"/>
    <col min="612" max="612" width="16.7109375" style="1" customWidth="1"/>
    <col min="613" max="613" width="16.28515625" style="1" customWidth="1"/>
    <col min="614" max="614" width="17" style="1" customWidth="1"/>
    <col min="615" max="615" width="17.85546875" style="1" customWidth="1"/>
    <col min="616" max="616" width="17" style="1" customWidth="1"/>
    <col min="617" max="617" width="16.42578125" style="1" customWidth="1"/>
    <col min="618" max="618" width="16.140625" style="1" customWidth="1"/>
    <col min="619" max="721" width="9.85546875" style="1"/>
    <col min="722" max="722" width="20.5703125" style="1" customWidth="1"/>
    <col min="723" max="723" width="22.7109375" style="1" customWidth="1"/>
    <col min="724" max="724" width="19.140625" style="1" customWidth="1"/>
    <col min="725" max="726" width="17.140625" style="1" customWidth="1"/>
    <col min="727" max="727" width="19.5703125" style="1" customWidth="1"/>
    <col min="728" max="729" width="16.28515625" style="1" customWidth="1"/>
    <col min="730" max="730" width="12" style="1" customWidth="1"/>
    <col min="731" max="731" width="13.42578125" style="1" customWidth="1"/>
    <col min="732" max="736" width="15.42578125" style="1" customWidth="1"/>
    <col min="737" max="740" width="14.5703125" style="1" customWidth="1"/>
    <col min="741" max="741" width="15" style="1" customWidth="1"/>
    <col min="742" max="742" width="14.5703125" style="1" customWidth="1"/>
    <col min="743" max="755" width="14.140625" style="1" customWidth="1"/>
    <col min="756" max="756" width="17.5703125" style="1" customWidth="1"/>
    <col min="757" max="757" width="13.140625" style="1" customWidth="1"/>
    <col min="758" max="758" width="14.28515625" style="1" customWidth="1"/>
    <col min="759" max="762" width="13.140625" style="1" customWidth="1"/>
    <col min="763" max="764" width="13.85546875" style="1" customWidth="1"/>
    <col min="765" max="799" width="15.140625" style="1" customWidth="1"/>
    <col min="800" max="811" width="13.140625" style="1" customWidth="1"/>
    <col min="812" max="812" width="18.28515625" style="1" customWidth="1"/>
    <col min="813" max="813" width="15.85546875" style="1" customWidth="1"/>
    <col min="814" max="815" width="16.140625" style="1" customWidth="1"/>
    <col min="816" max="817" width="16.28515625" style="1" customWidth="1"/>
    <col min="818" max="818" width="17.7109375" style="1" customWidth="1"/>
    <col min="819" max="819" width="16.28515625" style="1" customWidth="1"/>
    <col min="820" max="820" width="18.42578125" style="1" customWidth="1"/>
    <col min="821" max="821" width="19.140625" style="1" customWidth="1"/>
    <col min="822" max="822" width="18.28515625" style="1" customWidth="1"/>
    <col min="823" max="824" width="16.7109375" style="1" customWidth="1"/>
    <col min="825" max="828" width="13.140625" style="1" customWidth="1"/>
    <col min="829" max="829" width="18.42578125" style="1" customWidth="1"/>
    <col min="830" max="830" width="13.140625" style="1" customWidth="1"/>
    <col min="831" max="831" width="14.42578125" style="1" customWidth="1"/>
    <col min="832" max="832" width="16.28515625" style="1" customWidth="1"/>
    <col min="833" max="836" width="14.42578125" style="1" customWidth="1"/>
    <col min="837" max="838" width="13.140625" style="1" customWidth="1"/>
    <col min="839" max="839" width="15.5703125" style="1" customWidth="1"/>
    <col min="840" max="840" width="13.140625" style="1" customWidth="1"/>
    <col min="841" max="842" width="14.140625" style="1" customWidth="1"/>
    <col min="843" max="843" width="17.7109375" style="1" customWidth="1"/>
    <col min="844" max="845" width="13.140625" style="1" customWidth="1"/>
    <col min="846" max="846" width="17.140625" style="1" customWidth="1"/>
    <col min="847" max="847" width="13.140625" style="1" customWidth="1"/>
    <col min="848" max="848" width="14.140625" style="1" customWidth="1"/>
    <col min="849" max="849" width="13.140625" style="1" customWidth="1"/>
    <col min="850" max="851" width="12.42578125" style="1" customWidth="1"/>
    <col min="852" max="852" width="12.140625" style="1" customWidth="1"/>
    <col min="853" max="853" width="12.42578125" style="1" customWidth="1"/>
    <col min="854" max="854" width="12.140625" style="1" customWidth="1"/>
    <col min="855" max="856" width="16.140625" style="1" customWidth="1"/>
    <col min="857" max="857" width="16.85546875" style="1" customWidth="1"/>
    <col min="858" max="858" width="17.28515625" style="1" customWidth="1"/>
    <col min="859" max="859" width="17.42578125" style="1" customWidth="1"/>
    <col min="860" max="860" width="16.140625" style="1" customWidth="1"/>
    <col min="861" max="861" width="15.5703125" style="1" customWidth="1"/>
    <col min="862" max="862" width="17.85546875" style="1" customWidth="1"/>
    <col min="863" max="863" width="17.42578125" style="1" customWidth="1"/>
    <col min="864" max="864" width="17.28515625" style="1" customWidth="1"/>
    <col min="865" max="865" width="17" style="1" customWidth="1"/>
    <col min="866" max="866" width="15.5703125" style="1" customWidth="1"/>
    <col min="867" max="867" width="16.85546875" style="1" customWidth="1"/>
    <col min="868" max="868" width="16.7109375" style="1" customWidth="1"/>
    <col min="869" max="869" width="16.28515625" style="1" customWidth="1"/>
    <col min="870" max="870" width="17" style="1" customWidth="1"/>
    <col min="871" max="871" width="17.85546875" style="1" customWidth="1"/>
    <col min="872" max="872" width="17" style="1" customWidth="1"/>
    <col min="873" max="873" width="16.42578125" style="1" customWidth="1"/>
    <col min="874" max="874" width="16.140625" style="1" customWidth="1"/>
    <col min="875" max="977" width="9.85546875" style="1"/>
    <col min="978" max="978" width="20.5703125" style="1" customWidth="1"/>
    <col min="979" max="979" width="22.7109375" style="1" customWidth="1"/>
    <col min="980" max="980" width="19.140625" style="1" customWidth="1"/>
    <col min="981" max="982" width="17.140625" style="1" customWidth="1"/>
    <col min="983" max="983" width="19.5703125" style="1" customWidth="1"/>
    <col min="984" max="985" width="16.28515625" style="1" customWidth="1"/>
    <col min="986" max="986" width="12" style="1" customWidth="1"/>
    <col min="987" max="987" width="13.42578125" style="1" customWidth="1"/>
    <col min="988" max="992" width="15.42578125" style="1" customWidth="1"/>
    <col min="993" max="996" width="14.5703125" style="1" customWidth="1"/>
    <col min="997" max="997" width="15" style="1" customWidth="1"/>
    <col min="998" max="998" width="14.5703125" style="1" customWidth="1"/>
    <col min="999" max="1011" width="14.140625" style="1" customWidth="1"/>
    <col min="1012" max="1012" width="17.5703125" style="1" customWidth="1"/>
    <col min="1013" max="1013" width="13.140625" style="1" customWidth="1"/>
    <col min="1014" max="1014" width="14.28515625" style="1" customWidth="1"/>
    <col min="1015" max="1018" width="13.140625" style="1" customWidth="1"/>
    <col min="1019" max="1020" width="13.85546875" style="1" customWidth="1"/>
    <col min="1021" max="1055" width="15.140625" style="1" customWidth="1"/>
    <col min="1056" max="1067" width="13.140625" style="1" customWidth="1"/>
    <col min="1068" max="1068" width="18.28515625" style="1" customWidth="1"/>
    <col min="1069" max="1069" width="15.85546875" style="1" customWidth="1"/>
    <col min="1070" max="1071" width="16.140625" style="1" customWidth="1"/>
    <col min="1072" max="1073" width="16.28515625" style="1" customWidth="1"/>
    <col min="1074" max="1074" width="17.7109375" style="1" customWidth="1"/>
    <col min="1075" max="1075" width="16.28515625" style="1" customWidth="1"/>
    <col min="1076" max="1076" width="18.42578125" style="1" customWidth="1"/>
    <col min="1077" max="1077" width="19.140625" style="1" customWidth="1"/>
    <col min="1078" max="1078" width="18.28515625" style="1" customWidth="1"/>
    <col min="1079" max="1080" width="16.7109375" style="1" customWidth="1"/>
    <col min="1081" max="1084" width="13.140625" style="1" customWidth="1"/>
    <col min="1085" max="1085" width="18.42578125" style="1" customWidth="1"/>
    <col min="1086" max="1086" width="13.140625" style="1" customWidth="1"/>
    <col min="1087" max="1087" width="14.42578125" style="1" customWidth="1"/>
    <col min="1088" max="1088" width="16.28515625" style="1" customWidth="1"/>
    <col min="1089" max="1092" width="14.42578125" style="1" customWidth="1"/>
    <col min="1093" max="1094" width="13.140625" style="1" customWidth="1"/>
    <col min="1095" max="1095" width="15.5703125" style="1" customWidth="1"/>
    <col min="1096" max="1096" width="13.140625" style="1" customWidth="1"/>
    <col min="1097" max="1098" width="14.140625" style="1" customWidth="1"/>
    <col min="1099" max="1099" width="17.7109375" style="1" customWidth="1"/>
    <col min="1100" max="1101" width="13.140625" style="1" customWidth="1"/>
    <col min="1102" max="1102" width="17.140625" style="1" customWidth="1"/>
    <col min="1103" max="1103" width="13.140625" style="1" customWidth="1"/>
    <col min="1104" max="1104" width="14.140625" style="1" customWidth="1"/>
    <col min="1105" max="1105" width="13.140625" style="1" customWidth="1"/>
    <col min="1106" max="1107" width="12.42578125" style="1" customWidth="1"/>
    <col min="1108" max="1108" width="12.140625" style="1" customWidth="1"/>
    <col min="1109" max="1109" width="12.42578125" style="1" customWidth="1"/>
    <col min="1110" max="1110" width="12.140625" style="1" customWidth="1"/>
    <col min="1111" max="1112" width="16.140625" style="1" customWidth="1"/>
    <col min="1113" max="1113" width="16.85546875" style="1" customWidth="1"/>
    <col min="1114" max="1114" width="17.28515625" style="1" customWidth="1"/>
    <col min="1115" max="1115" width="17.42578125" style="1" customWidth="1"/>
    <col min="1116" max="1116" width="16.140625" style="1" customWidth="1"/>
    <col min="1117" max="1117" width="15.5703125" style="1" customWidth="1"/>
    <col min="1118" max="1118" width="17.85546875" style="1" customWidth="1"/>
    <col min="1119" max="1119" width="17.42578125" style="1" customWidth="1"/>
    <col min="1120" max="1120" width="17.28515625" style="1" customWidth="1"/>
    <col min="1121" max="1121" width="17" style="1" customWidth="1"/>
    <col min="1122" max="1122" width="15.5703125" style="1" customWidth="1"/>
    <col min="1123" max="1123" width="16.85546875" style="1" customWidth="1"/>
    <col min="1124" max="1124" width="16.7109375" style="1" customWidth="1"/>
    <col min="1125" max="1125" width="16.28515625" style="1" customWidth="1"/>
    <col min="1126" max="1126" width="17" style="1" customWidth="1"/>
    <col min="1127" max="1127" width="17.85546875" style="1" customWidth="1"/>
    <col min="1128" max="1128" width="17" style="1" customWidth="1"/>
    <col min="1129" max="1129" width="16.42578125" style="1" customWidth="1"/>
    <col min="1130" max="1130" width="16.140625" style="1" customWidth="1"/>
    <col min="1131" max="1233" width="9.85546875" style="1"/>
    <col min="1234" max="1234" width="20.5703125" style="1" customWidth="1"/>
    <col min="1235" max="1235" width="22.7109375" style="1" customWidth="1"/>
    <col min="1236" max="1236" width="19.140625" style="1" customWidth="1"/>
    <col min="1237" max="1238" width="17.140625" style="1" customWidth="1"/>
    <col min="1239" max="1239" width="19.5703125" style="1" customWidth="1"/>
    <col min="1240" max="1241" width="16.28515625" style="1" customWidth="1"/>
    <col min="1242" max="1242" width="12" style="1" customWidth="1"/>
    <col min="1243" max="1243" width="13.42578125" style="1" customWidth="1"/>
    <col min="1244" max="1248" width="15.42578125" style="1" customWidth="1"/>
    <col min="1249" max="1252" width="14.5703125" style="1" customWidth="1"/>
    <col min="1253" max="1253" width="15" style="1" customWidth="1"/>
    <col min="1254" max="1254" width="14.5703125" style="1" customWidth="1"/>
    <col min="1255" max="1267" width="14.140625" style="1" customWidth="1"/>
    <col min="1268" max="1268" width="17.5703125" style="1" customWidth="1"/>
    <col min="1269" max="1269" width="13.140625" style="1" customWidth="1"/>
    <col min="1270" max="1270" width="14.28515625" style="1" customWidth="1"/>
    <col min="1271" max="1274" width="13.140625" style="1" customWidth="1"/>
    <col min="1275" max="1276" width="13.85546875" style="1" customWidth="1"/>
    <col min="1277" max="1311" width="15.140625" style="1" customWidth="1"/>
    <col min="1312" max="1323" width="13.140625" style="1" customWidth="1"/>
    <col min="1324" max="1324" width="18.28515625" style="1" customWidth="1"/>
    <col min="1325" max="1325" width="15.85546875" style="1" customWidth="1"/>
    <col min="1326" max="1327" width="16.140625" style="1" customWidth="1"/>
    <col min="1328" max="1329" width="16.28515625" style="1" customWidth="1"/>
    <col min="1330" max="1330" width="17.7109375" style="1" customWidth="1"/>
    <col min="1331" max="1331" width="16.28515625" style="1" customWidth="1"/>
    <col min="1332" max="1332" width="18.42578125" style="1" customWidth="1"/>
    <col min="1333" max="1333" width="19.140625" style="1" customWidth="1"/>
    <col min="1334" max="1334" width="18.28515625" style="1" customWidth="1"/>
    <col min="1335" max="1336" width="16.7109375" style="1" customWidth="1"/>
    <col min="1337" max="1340" width="13.140625" style="1" customWidth="1"/>
    <col min="1341" max="1341" width="18.42578125" style="1" customWidth="1"/>
    <col min="1342" max="1342" width="13.140625" style="1" customWidth="1"/>
    <col min="1343" max="1343" width="14.42578125" style="1" customWidth="1"/>
    <col min="1344" max="1344" width="16.28515625" style="1" customWidth="1"/>
    <col min="1345" max="1348" width="14.42578125" style="1" customWidth="1"/>
    <col min="1349" max="1350" width="13.140625" style="1" customWidth="1"/>
    <col min="1351" max="1351" width="15.5703125" style="1" customWidth="1"/>
    <col min="1352" max="1352" width="13.140625" style="1" customWidth="1"/>
    <col min="1353" max="1354" width="14.140625" style="1" customWidth="1"/>
    <col min="1355" max="1355" width="17.7109375" style="1" customWidth="1"/>
    <col min="1356" max="1357" width="13.140625" style="1" customWidth="1"/>
    <col min="1358" max="1358" width="17.140625" style="1" customWidth="1"/>
    <col min="1359" max="1359" width="13.140625" style="1" customWidth="1"/>
    <col min="1360" max="1360" width="14.140625" style="1" customWidth="1"/>
    <col min="1361" max="1361" width="13.140625" style="1" customWidth="1"/>
    <col min="1362" max="1363" width="12.42578125" style="1" customWidth="1"/>
    <col min="1364" max="1364" width="12.140625" style="1" customWidth="1"/>
    <col min="1365" max="1365" width="12.42578125" style="1" customWidth="1"/>
    <col min="1366" max="1366" width="12.140625" style="1" customWidth="1"/>
    <col min="1367" max="1368" width="16.140625" style="1" customWidth="1"/>
    <col min="1369" max="1369" width="16.85546875" style="1" customWidth="1"/>
    <col min="1370" max="1370" width="17.28515625" style="1" customWidth="1"/>
    <col min="1371" max="1371" width="17.42578125" style="1" customWidth="1"/>
    <col min="1372" max="1372" width="16.140625" style="1" customWidth="1"/>
    <col min="1373" max="1373" width="15.5703125" style="1" customWidth="1"/>
    <col min="1374" max="1374" width="17.85546875" style="1" customWidth="1"/>
    <col min="1375" max="1375" width="17.42578125" style="1" customWidth="1"/>
    <col min="1376" max="1376" width="17.28515625" style="1" customWidth="1"/>
    <col min="1377" max="1377" width="17" style="1" customWidth="1"/>
    <col min="1378" max="1378" width="15.5703125" style="1" customWidth="1"/>
    <col min="1379" max="1379" width="16.85546875" style="1" customWidth="1"/>
    <col min="1380" max="1380" width="16.7109375" style="1" customWidth="1"/>
    <col min="1381" max="1381" width="16.28515625" style="1" customWidth="1"/>
    <col min="1382" max="1382" width="17" style="1" customWidth="1"/>
    <col min="1383" max="1383" width="17.85546875" style="1" customWidth="1"/>
    <col min="1384" max="1384" width="17" style="1" customWidth="1"/>
    <col min="1385" max="1385" width="16.42578125" style="1" customWidth="1"/>
    <col min="1386" max="1386" width="16.140625" style="1" customWidth="1"/>
    <col min="1387" max="1489" width="9.85546875" style="1"/>
    <col min="1490" max="1490" width="20.5703125" style="1" customWidth="1"/>
    <col min="1491" max="1491" width="22.7109375" style="1" customWidth="1"/>
    <col min="1492" max="1492" width="19.140625" style="1" customWidth="1"/>
    <col min="1493" max="1494" width="17.140625" style="1" customWidth="1"/>
    <col min="1495" max="1495" width="19.5703125" style="1" customWidth="1"/>
    <col min="1496" max="1497" width="16.28515625" style="1" customWidth="1"/>
    <col min="1498" max="1498" width="12" style="1" customWidth="1"/>
    <col min="1499" max="1499" width="13.42578125" style="1" customWidth="1"/>
    <col min="1500" max="1504" width="15.42578125" style="1" customWidth="1"/>
    <col min="1505" max="1508" width="14.5703125" style="1" customWidth="1"/>
    <col min="1509" max="1509" width="15" style="1" customWidth="1"/>
    <col min="1510" max="1510" width="14.5703125" style="1" customWidth="1"/>
    <col min="1511" max="1523" width="14.140625" style="1" customWidth="1"/>
    <col min="1524" max="1524" width="17.5703125" style="1" customWidth="1"/>
    <col min="1525" max="1525" width="13.140625" style="1" customWidth="1"/>
    <col min="1526" max="1526" width="14.28515625" style="1" customWidth="1"/>
    <col min="1527" max="1530" width="13.140625" style="1" customWidth="1"/>
    <col min="1531" max="1532" width="13.85546875" style="1" customWidth="1"/>
    <col min="1533" max="1567" width="15.140625" style="1" customWidth="1"/>
    <col min="1568" max="1579" width="13.140625" style="1" customWidth="1"/>
    <col min="1580" max="1580" width="18.28515625" style="1" customWidth="1"/>
    <col min="1581" max="1581" width="15.85546875" style="1" customWidth="1"/>
    <col min="1582" max="1583" width="16.140625" style="1" customWidth="1"/>
    <col min="1584" max="1585" width="16.28515625" style="1" customWidth="1"/>
    <col min="1586" max="1586" width="17.7109375" style="1" customWidth="1"/>
    <col min="1587" max="1587" width="16.28515625" style="1" customWidth="1"/>
    <col min="1588" max="1588" width="18.42578125" style="1" customWidth="1"/>
    <col min="1589" max="1589" width="19.140625" style="1" customWidth="1"/>
    <col min="1590" max="1590" width="18.28515625" style="1" customWidth="1"/>
    <col min="1591" max="1592" width="16.7109375" style="1" customWidth="1"/>
    <col min="1593" max="1596" width="13.140625" style="1" customWidth="1"/>
    <col min="1597" max="1597" width="18.42578125" style="1" customWidth="1"/>
    <col min="1598" max="1598" width="13.140625" style="1" customWidth="1"/>
    <col min="1599" max="1599" width="14.42578125" style="1" customWidth="1"/>
    <col min="1600" max="1600" width="16.28515625" style="1" customWidth="1"/>
    <col min="1601" max="1604" width="14.42578125" style="1" customWidth="1"/>
    <col min="1605" max="1606" width="13.140625" style="1" customWidth="1"/>
    <col min="1607" max="1607" width="15.5703125" style="1" customWidth="1"/>
    <col min="1608" max="1608" width="13.140625" style="1" customWidth="1"/>
    <col min="1609" max="1610" width="14.140625" style="1" customWidth="1"/>
    <col min="1611" max="1611" width="17.7109375" style="1" customWidth="1"/>
    <col min="1612" max="1613" width="13.140625" style="1" customWidth="1"/>
    <col min="1614" max="1614" width="17.140625" style="1" customWidth="1"/>
    <col min="1615" max="1615" width="13.140625" style="1" customWidth="1"/>
    <col min="1616" max="1616" width="14.140625" style="1" customWidth="1"/>
    <col min="1617" max="1617" width="13.140625" style="1" customWidth="1"/>
    <col min="1618" max="1619" width="12.42578125" style="1" customWidth="1"/>
    <col min="1620" max="1620" width="12.140625" style="1" customWidth="1"/>
    <col min="1621" max="1621" width="12.42578125" style="1" customWidth="1"/>
    <col min="1622" max="1622" width="12.140625" style="1" customWidth="1"/>
    <col min="1623" max="1624" width="16.140625" style="1" customWidth="1"/>
    <col min="1625" max="1625" width="16.85546875" style="1" customWidth="1"/>
    <col min="1626" max="1626" width="17.28515625" style="1" customWidth="1"/>
    <col min="1627" max="1627" width="17.42578125" style="1" customWidth="1"/>
    <col min="1628" max="1628" width="16.140625" style="1" customWidth="1"/>
    <col min="1629" max="1629" width="15.5703125" style="1" customWidth="1"/>
    <col min="1630" max="1630" width="17.85546875" style="1" customWidth="1"/>
    <col min="1631" max="1631" width="17.42578125" style="1" customWidth="1"/>
    <col min="1632" max="1632" width="17.28515625" style="1" customWidth="1"/>
    <col min="1633" max="1633" width="17" style="1" customWidth="1"/>
    <col min="1634" max="1634" width="15.5703125" style="1" customWidth="1"/>
    <col min="1635" max="1635" width="16.85546875" style="1" customWidth="1"/>
    <col min="1636" max="1636" width="16.7109375" style="1" customWidth="1"/>
    <col min="1637" max="1637" width="16.28515625" style="1" customWidth="1"/>
    <col min="1638" max="1638" width="17" style="1" customWidth="1"/>
    <col min="1639" max="1639" width="17.85546875" style="1" customWidth="1"/>
    <col min="1640" max="1640" width="17" style="1" customWidth="1"/>
    <col min="1641" max="1641" width="16.42578125" style="1" customWidth="1"/>
    <col min="1642" max="1642" width="16.140625" style="1" customWidth="1"/>
    <col min="1643" max="1745" width="9.85546875" style="1"/>
    <col min="1746" max="1746" width="20.5703125" style="1" customWidth="1"/>
    <col min="1747" max="1747" width="22.7109375" style="1" customWidth="1"/>
    <col min="1748" max="1748" width="19.140625" style="1" customWidth="1"/>
    <col min="1749" max="1750" width="17.140625" style="1" customWidth="1"/>
    <col min="1751" max="1751" width="19.5703125" style="1" customWidth="1"/>
    <col min="1752" max="1753" width="16.28515625" style="1" customWidth="1"/>
    <col min="1754" max="1754" width="12" style="1" customWidth="1"/>
    <col min="1755" max="1755" width="13.42578125" style="1" customWidth="1"/>
    <col min="1756" max="1760" width="15.42578125" style="1" customWidth="1"/>
    <col min="1761" max="1764" width="14.5703125" style="1" customWidth="1"/>
    <col min="1765" max="1765" width="15" style="1" customWidth="1"/>
    <col min="1766" max="1766" width="14.5703125" style="1" customWidth="1"/>
    <col min="1767" max="1779" width="14.140625" style="1" customWidth="1"/>
    <col min="1780" max="1780" width="17.5703125" style="1" customWidth="1"/>
    <col min="1781" max="1781" width="13.140625" style="1" customWidth="1"/>
    <col min="1782" max="1782" width="14.28515625" style="1" customWidth="1"/>
    <col min="1783" max="1786" width="13.140625" style="1" customWidth="1"/>
    <col min="1787" max="1788" width="13.85546875" style="1" customWidth="1"/>
    <col min="1789" max="1823" width="15.140625" style="1" customWidth="1"/>
    <col min="1824" max="1835" width="13.140625" style="1" customWidth="1"/>
    <col min="1836" max="1836" width="18.28515625" style="1" customWidth="1"/>
    <col min="1837" max="1837" width="15.85546875" style="1" customWidth="1"/>
    <col min="1838" max="1839" width="16.140625" style="1" customWidth="1"/>
    <col min="1840" max="1841" width="16.28515625" style="1" customWidth="1"/>
    <col min="1842" max="1842" width="17.7109375" style="1" customWidth="1"/>
    <col min="1843" max="1843" width="16.28515625" style="1" customWidth="1"/>
    <col min="1844" max="1844" width="18.42578125" style="1" customWidth="1"/>
    <col min="1845" max="1845" width="19.140625" style="1" customWidth="1"/>
    <col min="1846" max="1846" width="18.28515625" style="1" customWidth="1"/>
    <col min="1847" max="1848" width="16.7109375" style="1" customWidth="1"/>
    <col min="1849" max="1852" width="13.140625" style="1" customWidth="1"/>
    <col min="1853" max="1853" width="18.42578125" style="1" customWidth="1"/>
    <col min="1854" max="1854" width="13.140625" style="1" customWidth="1"/>
    <col min="1855" max="1855" width="14.42578125" style="1" customWidth="1"/>
    <col min="1856" max="1856" width="16.28515625" style="1" customWidth="1"/>
    <col min="1857" max="1860" width="14.42578125" style="1" customWidth="1"/>
    <col min="1861" max="1862" width="13.140625" style="1" customWidth="1"/>
    <col min="1863" max="1863" width="15.5703125" style="1" customWidth="1"/>
    <col min="1864" max="1864" width="13.140625" style="1" customWidth="1"/>
    <col min="1865" max="1866" width="14.140625" style="1" customWidth="1"/>
    <col min="1867" max="1867" width="17.7109375" style="1" customWidth="1"/>
    <col min="1868" max="1869" width="13.140625" style="1" customWidth="1"/>
    <col min="1870" max="1870" width="17.140625" style="1" customWidth="1"/>
    <col min="1871" max="1871" width="13.140625" style="1" customWidth="1"/>
    <col min="1872" max="1872" width="14.140625" style="1" customWidth="1"/>
    <col min="1873" max="1873" width="13.140625" style="1" customWidth="1"/>
    <col min="1874" max="1875" width="12.42578125" style="1" customWidth="1"/>
    <col min="1876" max="1876" width="12.140625" style="1" customWidth="1"/>
    <col min="1877" max="1877" width="12.42578125" style="1" customWidth="1"/>
    <col min="1878" max="1878" width="12.140625" style="1" customWidth="1"/>
    <col min="1879" max="1880" width="16.140625" style="1" customWidth="1"/>
    <col min="1881" max="1881" width="16.85546875" style="1" customWidth="1"/>
    <col min="1882" max="1882" width="17.28515625" style="1" customWidth="1"/>
    <col min="1883" max="1883" width="17.42578125" style="1" customWidth="1"/>
    <col min="1884" max="1884" width="16.140625" style="1" customWidth="1"/>
    <col min="1885" max="1885" width="15.5703125" style="1" customWidth="1"/>
    <col min="1886" max="1886" width="17.85546875" style="1" customWidth="1"/>
    <col min="1887" max="1887" width="17.42578125" style="1" customWidth="1"/>
    <col min="1888" max="1888" width="17.28515625" style="1" customWidth="1"/>
    <col min="1889" max="1889" width="17" style="1" customWidth="1"/>
    <col min="1890" max="1890" width="15.5703125" style="1" customWidth="1"/>
    <col min="1891" max="1891" width="16.85546875" style="1" customWidth="1"/>
    <col min="1892" max="1892" width="16.7109375" style="1" customWidth="1"/>
    <col min="1893" max="1893" width="16.28515625" style="1" customWidth="1"/>
    <col min="1894" max="1894" width="17" style="1" customWidth="1"/>
    <col min="1895" max="1895" width="17.85546875" style="1" customWidth="1"/>
    <col min="1896" max="1896" width="17" style="1" customWidth="1"/>
    <col min="1897" max="1897" width="16.42578125" style="1" customWidth="1"/>
    <col min="1898" max="1898" width="16.140625" style="1" customWidth="1"/>
    <col min="1899" max="2001" width="9.85546875" style="1"/>
    <col min="2002" max="2002" width="20.5703125" style="1" customWidth="1"/>
    <col min="2003" max="2003" width="22.7109375" style="1" customWidth="1"/>
    <col min="2004" max="2004" width="19.140625" style="1" customWidth="1"/>
    <col min="2005" max="2006" width="17.140625" style="1" customWidth="1"/>
    <col min="2007" max="2007" width="19.5703125" style="1" customWidth="1"/>
    <col min="2008" max="2009" width="16.28515625" style="1" customWidth="1"/>
    <col min="2010" max="2010" width="12" style="1" customWidth="1"/>
    <col min="2011" max="2011" width="13.42578125" style="1" customWidth="1"/>
    <col min="2012" max="2016" width="15.42578125" style="1" customWidth="1"/>
    <col min="2017" max="2020" width="14.5703125" style="1" customWidth="1"/>
    <col min="2021" max="2021" width="15" style="1" customWidth="1"/>
    <col min="2022" max="2022" width="14.5703125" style="1" customWidth="1"/>
    <col min="2023" max="2035" width="14.140625" style="1" customWidth="1"/>
    <col min="2036" max="2036" width="17.5703125" style="1" customWidth="1"/>
    <col min="2037" max="2037" width="13.140625" style="1" customWidth="1"/>
    <col min="2038" max="2038" width="14.28515625" style="1" customWidth="1"/>
    <col min="2039" max="2042" width="13.140625" style="1" customWidth="1"/>
    <col min="2043" max="2044" width="13.85546875" style="1" customWidth="1"/>
    <col min="2045" max="2079" width="15.140625" style="1" customWidth="1"/>
    <col min="2080" max="2091" width="13.140625" style="1" customWidth="1"/>
    <col min="2092" max="2092" width="18.28515625" style="1" customWidth="1"/>
    <col min="2093" max="2093" width="15.85546875" style="1" customWidth="1"/>
    <col min="2094" max="2095" width="16.140625" style="1" customWidth="1"/>
    <col min="2096" max="2097" width="16.28515625" style="1" customWidth="1"/>
    <col min="2098" max="2098" width="17.7109375" style="1" customWidth="1"/>
    <col min="2099" max="2099" width="16.28515625" style="1" customWidth="1"/>
    <col min="2100" max="2100" width="18.42578125" style="1" customWidth="1"/>
    <col min="2101" max="2101" width="19.140625" style="1" customWidth="1"/>
    <col min="2102" max="2102" width="18.28515625" style="1" customWidth="1"/>
    <col min="2103" max="2104" width="16.7109375" style="1" customWidth="1"/>
    <col min="2105" max="2108" width="13.140625" style="1" customWidth="1"/>
    <col min="2109" max="2109" width="18.42578125" style="1" customWidth="1"/>
    <col min="2110" max="2110" width="13.140625" style="1" customWidth="1"/>
    <col min="2111" max="2111" width="14.42578125" style="1" customWidth="1"/>
    <col min="2112" max="2112" width="16.28515625" style="1" customWidth="1"/>
    <col min="2113" max="2116" width="14.42578125" style="1" customWidth="1"/>
    <col min="2117" max="2118" width="13.140625" style="1" customWidth="1"/>
    <col min="2119" max="2119" width="15.5703125" style="1" customWidth="1"/>
    <col min="2120" max="2120" width="13.140625" style="1" customWidth="1"/>
    <col min="2121" max="2122" width="14.140625" style="1" customWidth="1"/>
    <col min="2123" max="2123" width="17.7109375" style="1" customWidth="1"/>
    <col min="2124" max="2125" width="13.140625" style="1" customWidth="1"/>
    <col min="2126" max="2126" width="17.140625" style="1" customWidth="1"/>
    <col min="2127" max="2127" width="13.140625" style="1" customWidth="1"/>
    <col min="2128" max="2128" width="14.140625" style="1" customWidth="1"/>
    <col min="2129" max="2129" width="13.140625" style="1" customWidth="1"/>
    <col min="2130" max="2131" width="12.42578125" style="1" customWidth="1"/>
    <col min="2132" max="2132" width="12.140625" style="1" customWidth="1"/>
    <col min="2133" max="2133" width="12.42578125" style="1" customWidth="1"/>
    <col min="2134" max="2134" width="12.140625" style="1" customWidth="1"/>
    <col min="2135" max="2136" width="16.140625" style="1" customWidth="1"/>
    <col min="2137" max="2137" width="16.85546875" style="1" customWidth="1"/>
    <col min="2138" max="2138" width="17.28515625" style="1" customWidth="1"/>
    <col min="2139" max="2139" width="17.42578125" style="1" customWidth="1"/>
    <col min="2140" max="2140" width="16.140625" style="1" customWidth="1"/>
    <col min="2141" max="2141" width="15.5703125" style="1" customWidth="1"/>
    <col min="2142" max="2142" width="17.85546875" style="1" customWidth="1"/>
    <col min="2143" max="2143" width="17.42578125" style="1" customWidth="1"/>
    <col min="2144" max="2144" width="17.28515625" style="1" customWidth="1"/>
    <col min="2145" max="2145" width="17" style="1" customWidth="1"/>
    <col min="2146" max="2146" width="15.5703125" style="1" customWidth="1"/>
    <col min="2147" max="2147" width="16.85546875" style="1" customWidth="1"/>
    <col min="2148" max="2148" width="16.7109375" style="1" customWidth="1"/>
    <col min="2149" max="2149" width="16.28515625" style="1" customWidth="1"/>
    <col min="2150" max="2150" width="17" style="1" customWidth="1"/>
    <col min="2151" max="2151" width="17.85546875" style="1" customWidth="1"/>
    <col min="2152" max="2152" width="17" style="1" customWidth="1"/>
    <col min="2153" max="2153" width="16.42578125" style="1" customWidth="1"/>
    <col min="2154" max="2154" width="16.140625" style="1" customWidth="1"/>
    <col min="2155" max="2257" width="9.85546875" style="1"/>
    <col min="2258" max="2258" width="20.5703125" style="1" customWidth="1"/>
    <col min="2259" max="2259" width="22.7109375" style="1" customWidth="1"/>
    <col min="2260" max="2260" width="19.140625" style="1" customWidth="1"/>
    <col min="2261" max="2262" width="17.140625" style="1" customWidth="1"/>
    <col min="2263" max="2263" width="19.5703125" style="1" customWidth="1"/>
    <col min="2264" max="2265" width="16.28515625" style="1" customWidth="1"/>
    <col min="2266" max="2266" width="12" style="1" customWidth="1"/>
    <col min="2267" max="2267" width="13.42578125" style="1" customWidth="1"/>
    <col min="2268" max="2272" width="15.42578125" style="1" customWidth="1"/>
    <col min="2273" max="2276" width="14.5703125" style="1" customWidth="1"/>
    <col min="2277" max="2277" width="15" style="1" customWidth="1"/>
    <col min="2278" max="2278" width="14.5703125" style="1" customWidth="1"/>
    <col min="2279" max="2291" width="14.140625" style="1" customWidth="1"/>
    <col min="2292" max="2292" width="17.5703125" style="1" customWidth="1"/>
    <col min="2293" max="2293" width="13.140625" style="1" customWidth="1"/>
    <col min="2294" max="2294" width="14.28515625" style="1" customWidth="1"/>
    <col min="2295" max="2298" width="13.140625" style="1" customWidth="1"/>
    <col min="2299" max="2300" width="13.85546875" style="1" customWidth="1"/>
    <col min="2301" max="2335" width="15.140625" style="1" customWidth="1"/>
    <col min="2336" max="2347" width="13.140625" style="1" customWidth="1"/>
    <col min="2348" max="2348" width="18.28515625" style="1" customWidth="1"/>
    <col min="2349" max="2349" width="15.85546875" style="1" customWidth="1"/>
    <col min="2350" max="2351" width="16.140625" style="1" customWidth="1"/>
    <col min="2352" max="2353" width="16.28515625" style="1" customWidth="1"/>
    <col min="2354" max="2354" width="17.7109375" style="1" customWidth="1"/>
    <col min="2355" max="2355" width="16.28515625" style="1" customWidth="1"/>
    <col min="2356" max="2356" width="18.42578125" style="1" customWidth="1"/>
    <col min="2357" max="2357" width="19.140625" style="1" customWidth="1"/>
    <col min="2358" max="2358" width="18.28515625" style="1" customWidth="1"/>
    <col min="2359" max="2360" width="16.7109375" style="1" customWidth="1"/>
    <col min="2361" max="2364" width="13.140625" style="1" customWidth="1"/>
    <col min="2365" max="2365" width="18.42578125" style="1" customWidth="1"/>
    <col min="2366" max="2366" width="13.140625" style="1" customWidth="1"/>
    <col min="2367" max="2367" width="14.42578125" style="1" customWidth="1"/>
    <col min="2368" max="2368" width="16.28515625" style="1" customWidth="1"/>
    <col min="2369" max="2372" width="14.42578125" style="1" customWidth="1"/>
    <col min="2373" max="2374" width="13.140625" style="1" customWidth="1"/>
    <col min="2375" max="2375" width="15.5703125" style="1" customWidth="1"/>
    <col min="2376" max="2376" width="13.140625" style="1" customWidth="1"/>
    <col min="2377" max="2378" width="14.140625" style="1" customWidth="1"/>
    <col min="2379" max="2379" width="17.7109375" style="1" customWidth="1"/>
    <col min="2380" max="2381" width="13.140625" style="1" customWidth="1"/>
    <col min="2382" max="2382" width="17.140625" style="1" customWidth="1"/>
    <col min="2383" max="2383" width="13.140625" style="1" customWidth="1"/>
    <col min="2384" max="2384" width="14.140625" style="1" customWidth="1"/>
    <col min="2385" max="2385" width="13.140625" style="1" customWidth="1"/>
    <col min="2386" max="2387" width="12.42578125" style="1" customWidth="1"/>
    <col min="2388" max="2388" width="12.140625" style="1" customWidth="1"/>
    <col min="2389" max="2389" width="12.42578125" style="1" customWidth="1"/>
    <col min="2390" max="2390" width="12.140625" style="1" customWidth="1"/>
    <col min="2391" max="2392" width="16.140625" style="1" customWidth="1"/>
    <col min="2393" max="2393" width="16.85546875" style="1" customWidth="1"/>
    <col min="2394" max="2394" width="17.28515625" style="1" customWidth="1"/>
    <col min="2395" max="2395" width="17.42578125" style="1" customWidth="1"/>
    <col min="2396" max="2396" width="16.140625" style="1" customWidth="1"/>
    <col min="2397" max="2397" width="15.5703125" style="1" customWidth="1"/>
    <col min="2398" max="2398" width="17.85546875" style="1" customWidth="1"/>
    <col min="2399" max="2399" width="17.42578125" style="1" customWidth="1"/>
    <col min="2400" max="2400" width="17.28515625" style="1" customWidth="1"/>
    <col min="2401" max="2401" width="17" style="1" customWidth="1"/>
    <col min="2402" max="2402" width="15.5703125" style="1" customWidth="1"/>
    <col min="2403" max="2403" width="16.85546875" style="1" customWidth="1"/>
    <col min="2404" max="2404" width="16.7109375" style="1" customWidth="1"/>
    <col min="2405" max="2405" width="16.28515625" style="1" customWidth="1"/>
    <col min="2406" max="2406" width="17" style="1" customWidth="1"/>
    <col min="2407" max="2407" width="17.85546875" style="1" customWidth="1"/>
    <col min="2408" max="2408" width="17" style="1" customWidth="1"/>
    <col min="2409" max="2409" width="16.42578125" style="1" customWidth="1"/>
    <col min="2410" max="2410" width="16.140625" style="1" customWidth="1"/>
    <col min="2411" max="2513" width="9.85546875" style="1"/>
    <col min="2514" max="2514" width="20.5703125" style="1" customWidth="1"/>
    <col min="2515" max="2515" width="22.7109375" style="1" customWidth="1"/>
    <col min="2516" max="2516" width="19.140625" style="1" customWidth="1"/>
    <col min="2517" max="2518" width="17.140625" style="1" customWidth="1"/>
    <col min="2519" max="2519" width="19.5703125" style="1" customWidth="1"/>
    <col min="2520" max="2521" width="16.28515625" style="1" customWidth="1"/>
    <col min="2522" max="2522" width="12" style="1" customWidth="1"/>
    <col min="2523" max="2523" width="13.42578125" style="1" customWidth="1"/>
    <col min="2524" max="2528" width="15.42578125" style="1" customWidth="1"/>
    <col min="2529" max="2532" width="14.5703125" style="1" customWidth="1"/>
    <col min="2533" max="2533" width="15" style="1" customWidth="1"/>
    <col min="2534" max="2534" width="14.5703125" style="1" customWidth="1"/>
    <col min="2535" max="2547" width="14.140625" style="1" customWidth="1"/>
    <col min="2548" max="2548" width="17.5703125" style="1" customWidth="1"/>
    <col min="2549" max="2549" width="13.140625" style="1" customWidth="1"/>
    <col min="2550" max="2550" width="14.28515625" style="1" customWidth="1"/>
    <col min="2551" max="2554" width="13.140625" style="1" customWidth="1"/>
    <col min="2555" max="2556" width="13.85546875" style="1" customWidth="1"/>
    <col min="2557" max="2591" width="15.140625" style="1" customWidth="1"/>
    <col min="2592" max="2603" width="13.140625" style="1" customWidth="1"/>
    <col min="2604" max="2604" width="18.28515625" style="1" customWidth="1"/>
    <col min="2605" max="2605" width="15.85546875" style="1" customWidth="1"/>
    <col min="2606" max="2607" width="16.140625" style="1" customWidth="1"/>
    <col min="2608" max="2609" width="16.28515625" style="1" customWidth="1"/>
    <col min="2610" max="2610" width="17.7109375" style="1" customWidth="1"/>
    <col min="2611" max="2611" width="16.28515625" style="1" customWidth="1"/>
    <col min="2612" max="2612" width="18.42578125" style="1" customWidth="1"/>
    <col min="2613" max="2613" width="19.140625" style="1" customWidth="1"/>
    <col min="2614" max="2614" width="18.28515625" style="1" customWidth="1"/>
    <col min="2615" max="2616" width="16.7109375" style="1" customWidth="1"/>
    <col min="2617" max="2620" width="13.140625" style="1" customWidth="1"/>
    <col min="2621" max="2621" width="18.42578125" style="1" customWidth="1"/>
    <col min="2622" max="2622" width="13.140625" style="1" customWidth="1"/>
    <col min="2623" max="2623" width="14.42578125" style="1" customWidth="1"/>
    <col min="2624" max="2624" width="16.28515625" style="1" customWidth="1"/>
    <col min="2625" max="2628" width="14.42578125" style="1" customWidth="1"/>
    <col min="2629" max="2630" width="13.140625" style="1" customWidth="1"/>
    <col min="2631" max="2631" width="15.5703125" style="1" customWidth="1"/>
    <col min="2632" max="2632" width="13.140625" style="1" customWidth="1"/>
    <col min="2633" max="2634" width="14.140625" style="1" customWidth="1"/>
    <col min="2635" max="2635" width="17.7109375" style="1" customWidth="1"/>
    <col min="2636" max="2637" width="13.140625" style="1" customWidth="1"/>
    <col min="2638" max="2638" width="17.140625" style="1" customWidth="1"/>
    <col min="2639" max="2639" width="13.140625" style="1" customWidth="1"/>
    <col min="2640" max="2640" width="14.140625" style="1" customWidth="1"/>
    <col min="2641" max="2641" width="13.140625" style="1" customWidth="1"/>
    <col min="2642" max="2643" width="12.42578125" style="1" customWidth="1"/>
    <col min="2644" max="2644" width="12.140625" style="1" customWidth="1"/>
    <col min="2645" max="2645" width="12.42578125" style="1" customWidth="1"/>
    <col min="2646" max="2646" width="12.140625" style="1" customWidth="1"/>
    <col min="2647" max="2648" width="16.140625" style="1" customWidth="1"/>
    <col min="2649" max="2649" width="16.85546875" style="1" customWidth="1"/>
    <col min="2650" max="2650" width="17.28515625" style="1" customWidth="1"/>
    <col min="2651" max="2651" width="17.42578125" style="1" customWidth="1"/>
    <col min="2652" max="2652" width="16.140625" style="1" customWidth="1"/>
    <col min="2653" max="2653" width="15.5703125" style="1" customWidth="1"/>
    <col min="2654" max="2654" width="17.85546875" style="1" customWidth="1"/>
    <col min="2655" max="2655" width="17.42578125" style="1" customWidth="1"/>
    <col min="2656" max="2656" width="17.28515625" style="1" customWidth="1"/>
    <col min="2657" max="2657" width="17" style="1" customWidth="1"/>
    <col min="2658" max="2658" width="15.5703125" style="1" customWidth="1"/>
    <col min="2659" max="2659" width="16.85546875" style="1" customWidth="1"/>
    <col min="2660" max="2660" width="16.7109375" style="1" customWidth="1"/>
    <col min="2661" max="2661" width="16.28515625" style="1" customWidth="1"/>
    <col min="2662" max="2662" width="17" style="1" customWidth="1"/>
    <col min="2663" max="2663" width="17.85546875" style="1" customWidth="1"/>
    <col min="2664" max="2664" width="17" style="1" customWidth="1"/>
    <col min="2665" max="2665" width="16.42578125" style="1" customWidth="1"/>
    <col min="2666" max="2666" width="16.140625" style="1" customWidth="1"/>
    <col min="2667" max="2769" width="9.85546875" style="1"/>
    <col min="2770" max="2770" width="20.5703125" style="1" customWidth="1"/>
    <col min="2771" max="2771" width="22.7109375" style="1" customWidth="1"/>
    <col min="2772" max="2772" width="19.140625" style="1" customWidth="1"/>
    <col min="2773" max="2774" width="17.140625" style="1" customWidth="1"/>
    <col min="2775" max="2775" width="19.5703125" style="1" customWidth="1"/>
    <col min="2776" max="2777" width="16.28515625" style="1" customWidth="1"/>
    <col min="2778" max="2778" width="12" style="1" customWidth="1"/>
    <col min="2779" max="2779" width="13.42578125" style="1" customWidth="1"/>
    <col min="2780" max="2784" width="15.42578125" style="1" customWidth="1"/>
    <col min="2785" max="2788" width="14.5703125" style="1" customWidth="1"/>
    <col min="2789" max="2789" width="15" style="1" customWidth="1"/>
    <col min="2790" max="2790" width="14.5703125" style="1" customWidth="1"/>
    <col min="2791" max="2803" width="14.140625" style="1" customWidth="1"/>
    <col min="2804" max="2804" width="17.5703125" style="1" customWidth="1"/>
    <col min="2805" max="2805" width="13.140625" style="1" customWidth="1"/>
    <col min="2806" max="2806" width="14.28515625" style="1" customWidth="1"/>
    <col min="2807" max="2810" width="13.140625" style="1" customWidth="1"/>
    <col min="2811" max="2812" width="13.85546875" style="1" customWidth="1"/>
    <col min="2813" max="2847" width="15.140625" style="1" customWidth="1"/>
    <col min="2848" max="2859" width="13.140625" style="1" customWidth="1"/>
    <col min="2860" max="2860" width="18.28515625" style="1" customWidth="1"/>
    <col min="2861" max="2861" width="15.85546875" style="1" customWidth="1"/>
    <col min="2862" max="2863" width="16.140625" style="1" customWidth="1"/>
    <col min="2864" max="2865" width="16.28515625" style="1" customWidth="1"/>
    <col min="2866" max="2866" width="17.7109375" style="1" customWidth="1"/>
    <col min="2867" max="2867" width="16.28515625" style="1" customWidth="1"/>
    <col min="2868" max="2868" width="18.42578125" style="1" customWidth="1"/>
    <col min="2869" max="2869" width="19.140625" style="1" customWidth="1"/>
    <col min="2870" max="2870" width="18.28515625" style="1" customWidth="1"/>
    <col min="2871" max="2872" width="16.7109375" style="1" customWidth="1"/>
    <col min="2873" max="2876" width="13.140625" style="1" customWidth="1"/>
    <col min="2877" max="2877" width="18.42578125" style="1" customWidth="1"/>
    <col min="2878" max="2878" width="13.140625" style="1" customWidth="1"/>
    <col min="2879" max="2879" width="14.42578125" style="1" customWidth="1"/>
    <col min="2880" max="2880" width="16.28515625" style="1" customWidth="1"/>
    <col min="2881" max="2884" width="14.42578125" style="1" customWidth="1"/>
    <col min="2885" max="2886" width="13.140625" style="1" customWidth="1"/>
    <col min="2887" max="2887" width="15.5703125" style="1" customWidth="1"/>
    <col min="2888" max="2888" width="13.140625" style="1" customWidth="1"/>
    <col min="2889" max="2890" width="14.140625" style="1" customWidth="1"/>
    <col min="2891" max="2891" width="17.7109375" style="1" customWidth="1"/>
    <col min="2892" max="2893" width="13.140625" style="1" customWidth="1"/>
    <col min="2894" max="2894" width="17.140625" style="1" customWidth="1"/>
    <col min="2895" max="2895" width="13.140625" style="1" customWidth="1"/>
    <col min="2896" max="2896" width="14.140625" style="1" customWidth="1"/>
    <col min="2897" max="2897" width="13.140625" style="1" customWidth="1"/>
    <col min="2898" max="2899" width="12.42578125" style="1" customWidth="1"/>
    <col min="2900" max="2900" width="12.140625" style="1" customWidth="1"/>
    <col min="2901" max="2901" width="12.42578125" style="1" customWidth="1"/>
    <col min="2902" max="2902" width="12.140625" style="1" customWidth="1"/>
    <col min="2903" max="2904" width="16.140625" style="1" customWidth="1"/>
    <col min="2905" max="2905" width="16.85546875" style="1" customWidth="1"/>
    <col min="2906" max="2906" width="17.28515625" style="1" customWidth="1"/>
    <col min="2907" max="2907" width="17.42578125" style="1" customWidth="1"/>
    <col min="2908" max="2908" width="16.140625" style="1" customWidth="1"/>
    <col min="2909" max="2909" width="15.5703125" style="1" customWidth="1"/>
    <col min="2910" max="2910" width="17.85546875" style="1" customWidth="1"/>
    <col min="2911" max="2911" width="17.42578125" style="1" customWidth="1"/>
    <col min="2912" max="2912" width="17.28515625" style="1" customWidth="1"/>
    <col min="2913" max="2913" width="17" style="1" customWidth="1"/>
    <col min="2914" max="2914" width="15.5703125" style="1" customWidth="1"/>
    <col min="2915" max="2915" width="16.85546875" style="1" customWidth="1"/>
    <col min="2916" max="2916" width="16.7109375" style="1" customWidth="1"/>
    <col min="2917" max="2917" width="16.28515625" style="1" customWidth="1"/>
    <col min="2918" max="2918" width="17" style="1" customWidth="1"/>
    <col min="2919" max="2919" width="17.85546875" style="1" customWidth="1"/>
    <col min="2920" max="2920" width="17" style="1" customWidth="1"/>
    <col min="2921" max="2921" width="16.42578125" style="1" customWidth="1"/>
    <col min="2922" max="2922" width="16.140625" style="1" customWidth="1"/>
    <col min="2923" max="3025" width="9.85546875" style="1"/>
    <col min="3026" max="3026" width="20.5703125" style="1" customWidth="1"/>
    <col min="3027" max="3027" width="22.7109375" style="1" customWidth="1"/>
    <col min="3028" max="3028" width="19.140625" style="1" customWidth="1"/>
    <col min="3029" max="3030" width="17.140625" style="1" customWidth="1"/>
    <col min="3031" max="3031" width="19.5703125" style="1" customWidth="1"/>
    <col min="3032" max="3033" width="16.28515625" style="1" customWidth="1"/>
    <col min="3034" max="3034" width="12" style="1" customWidth="1"/>
    <col min="3035" max="3035" width="13.42578125" style="1" customWidth="1"/>
    <col min="3036" max="3040" width="15.42578125" style="1" customWidth="1"/>
    <col min="3041" max="3044" width="14.5703125" style="1" customWidth="1"/>
    <col min="3045" max="3045" width="15" style="1" customWidth="1"/>
    <col min="3046" max="3046" width="14.5703125" style="1" customWidth="1"/>
    <col min="3047" max="3059" width="14.140625" style="1" customWidth="1"/>
    <col min="3060" max="3060" width="17.5703125" style="1" customWidth="1"/>
    <col min="3061" max="3061" width="13.140625" style="1" customWidth="1"/>
    <col min="3062" max="3062" width="14.28515625" style="1" customWidth="1"/>
    <col min="3063" max="3066" width="13.140625" style="1" customWidth="1"/>
    <col min="3067" max="3068" width="13.85546875" style="1" customWidth="1"/>
    <col min="3069" max="3103" width="15.140625" style="1" customWidth="1"/>
    <col min="3104" max="3115" width="13.140625" style="1" customWidth="1"/>
    <col min="3116" max="3116" width="18.28515625" style="1" customWidth="1"/>
    <col min="3117" max="3117" width="15.85546875" style="1" customWidth="1"/>
    <col min="3118" max="3119" width="16.140625" style="1" customWidth="1"/>
    <col min="3120" max="3121" width="16.28515625" style="1" customWidth="1"/>
    <col min="3122" max="3122" width="17.7109375" style="1" customWidth="1"/>
    <col min="3123" max="3123" width="16.28515625" style="1" customWidth="1"/>
    <col min="3124" max="3124" width="18.42578125" style="1" customWidth="1"/>
    <col min="3125" max="3125" width="19.140625" style="1" customWidth="1"/>
    <col min="3126" max="3126" width="18.28515625" style="1" customWidth="1"/>
    <col min="3127" max="3128" width="16.7109375" style="1" customWidth="1"/>
    <col min="3129" max="3132" width="13.140625" style="1" customWidth="1"/>
    <col min="3133" max="3133" width="18.42578125" style="1" customWidth="1"/>
    <col min="3134" max="3134" width="13.140625" style="1" customWidth="1"/>
    <col min="3135" max="3135" width="14.42578125" style="1" customWidth="1"/>
    <col min="3136" max="3136" width="16.28515625" style="1" customWidth="1"/>
    <col min="3137" max="3140" width="14.42578125" style="1" customWidth="1"/>
    <col min="3141" max="3142" width="13.140625" style="1" customWidth="1"/>
    <col min="3143" max="3143" width="15.5703125" style="1" customWidth="1"/>
    <col min="3144" max="3144" width="13.140625" style="1" customWidth="1"/>
    <col min="3145" max="3146" width="14.140625" style="1" customWidth="1"/>
    <col min="3147" max="3147" width="17.7109375" style="1" customWidth="1"/>
    <col min="3148" max="3149" width="13.140625" style="1" customWidth="1"/>
    <col min="3150" max="3150" width="17.140625" style="1" customWidth="1"/>
    <col min="3151" max="3151" width="13.140625" style="1" customWidth="1"/>
    <col min="3152" max="3152" width="14.140625" style="1" customWidth="1"/>
    <col min="3153" max="3153" width="13.140625" style="1" customWidth="1"/>
    <col min="3154" max="3155" width="12.42578125" style="1" customWidth="1"/>
    <col min="3156" max="3156" width="12.140625" style="1" customWidth="1"/>
    <col min="3157" max="3157" width="12.42578125" style="1" customWidth="1"/>
    <col min="3158" max="3158" width="12.140625" style="1" customWidth="1"/>
    <col min="3159" max="3160" width="16.140625" style="1" customWidth="1"/>
    <col min="3161" max="3161" width="16.85546875" style="1" customWidth="1"/>
    <col min="3162" max="3162" width="17.28515625" style="1" customWidth="1"/>
    <col min="3163" max="3163" width="17.42578125" style="1" customWidth="1"/>
    <col min="3164" max="3164" width="16.140625" style="1" customWidth="1"/>
    <col min="3165" max="3165" width="15.5703125" style="1" customWidth="1"/>
    <col min="3166" max="3166" width="17.85546875" style="1" customWidth="1"/>
    <col min="3167" max="3167" width="17.42578125" style="1" customWidth="1"/>
    <col min="3168" max="3168" width="17.28515625" style="1" customWidth="1"/>
    <col min="3169" max="3169" width="17" style="1" customWidth="1"/>
    <col min="3170" max="3170" width="15.5703125" style="1" customWidth="1"/>
    <col min="3171" max="3171" width="16.85546875" style="1" customWidth="1"/>
    <col min="3172" max="3172" width="16.7109375" style="1" customWidth="1"/>
    <col min="3173" max="3173" width="16.28515625" style="1" customWidth="1"/>
    <col min="3174" max="3174" width="17" style="1" customWidth="1"/>
    <col min="3175" max="3175" width="17.85546875" style="1" customWidth="1"/>
    <col min="3176" max="3176" width="17" style="1" customWidth="1"/>
    <col min="3177" max="3177" width="16.42578125" style="1" customWidth="1"/>
    <col min="3178" max="3178" width="16.140625" style="1" customWidth="1"/>
    <col min="3179" max="3281" width="9.85546875" style="1"/>
    <col min="3282" max="3282" width="20.5703125" style="1" customWidth="1"/>
    <col min="3283" max="3283" width="22.7109375" style="1" customWidth="1"/>
    <col min="3284" max="3284" width="19.140625" style="1" customWidth="1"/>
    <col min="3285" max="3286" width="17.140625" style="1" customWidth="1"/>
    <col min="3287" max="3287" width="19.5703125" style="1" customWidth="1"/>
    <col min="3288" max="3289" width="16.28515625" style="1" customWidth="1"/>
    <col min="3290" max="3290" width="12" style="1" customWidth="1"/>
    <col min="3291" max="3291" width="13.42578125" style="1" customWidth="1"/>
    <col min="3292" max="3296" width="15.42578125" style="1" customWidth="1"/>
    <col min="3297" max="3300" width="14.5703125" style="1" customWidth="1"/>
    <col min="3301" max="3301" width="15" style="1" customWidth="1"/>
    <col min="3302" max="3302" width="14.5703125" style="1" customWidth="1"/>
    <col min="3303" max="3315" width="14.140625" style="1" customWidth="1"/>
    <col min="3316" max="3316" width="17.5703125" style="1" customWidth="1"/>
    <col min="3317" max="3317" width="13.140625" style="1" customWidth="1"/>
    <col min="3318" max="3318" width="14.28515625" style="1" customWidth="1"/>
    <col min="3319" max="3322" width="13.140625" style="1" customWidth="1"/>
    <col min="3323" max="3324" width="13.85546875" style="1" customWidth="1"/>
    <col min="3325" max="3359" width="15.140625" style="1" customWidth="1"/>
    <col min="3360" max="3371" width="13.140625" style="1" customWidth="1"/>
    <col min="3372" max="3372" width="18.28515625" style="1" customWidth="1"/>
    <col min="3373" max="3373" width="15.85546875" style="1" customWidth="1"/>
    <col min="3374" max="3375" width="16.140625" style="1" customWidth="1"/>
    <col min="3376" max="3377" width="16.28515625" style="1" customWidth="1"/>
    <col min="3378" max="3378" width="17.7109375" style="1" customWidth="1"/>
    <col min="3379" max="3379" width="16.28515625" style="1" customWidth="1"/>
    <col min="3380" max="3380" width="18.42578125" style="1" customWidth="1"/>
    <col min="3381" max="3381" width="19.140625" style="1" customWidth="1"/>
    <col min="3382" max="3382" width="18.28515625" style="1" customWidth="1"/>
    <col min="3383" max="3384" width="16.7109375" style="1" customWidth="1"/>
    <col min="3385" max="3388" width="13.140625" style="1" customWidth="1"/>
    <col min="3389" max="3389" width="18.42578125" style="1" customWidth="1"/>
    <col min="3390" max="3390" width="13.140625" style="1" customWidth="1"/>
    <col min="3391" max="3391" width="14.42578125" style="1" customWidth="1"/>
    <col min="3392" max="3392" width="16.28515625" style="1" customWidth="1"/>
    <col min="3393" max="3396" width="14.42578125" style="1" customWidth="1"/>
    <col min="3397" max="3398" width="13.140625" style="1" customWidth="1"/>
    <col min="3399" max="3399" width="15.5703125" style="1" customWidth="1"/>
    <col min="3400" max="3400" width="13.140625" style="1" customWidth="1"/>
    <col min="3401" max="3402" width="14.140625" style="1" customWidth="1"/>
    <col min="3403" max="3403" width="17.7109375" style="1" customWidth="1"/>
    <col min="3404" max="3405" width="13.140625" style="1" customWidth="1"/>
    <col min="3406" max="3406" width="17.140625" style="1" customWidth="1"/>
    <col min="3407" max="3407" width="13.140625" style="1" customWidth="1"/>
    <col min="3408" max="3408" width="14.140625" style="1" customWidth="1"/>
    <col min="3409" max="3409" width="13.140625" style="1" customWidth="1"/>
    <col min="3410" max="3411" width="12.42578125" style="1" customWidth="1"/>
    <col min="3412" max="3412" width="12.140625" style="1" customWidth="1"/>
    <col min="3413" max="3413" width="12.42578125" style="1" customWidth="1"/>
    <col min="3414" max="3414" width="12.140625" style="1" customWidth="1"/>
    <col min="3415" max="3416" width="16.140625" style="1" customWidth="1"/>
    <col min="3417" max="3417" width="16.85546875" style="1" customWidth="1"/>
    <col min="3418" max="3418" width="17.28515625" style="1" customWidth="1"/>
    <col min="3419" max="3419" width="17.42578125" style="1" customWidth="1"/>
    <col min="3420" max="3420" width="16.140625" style="1" customWidth="1"/>
    <col min="3421" max="3421" width="15.5703125" style="1" customWidth="1"/>
    <col min="3422" max="3422" width="17.85546875" style="1" customWidth="1"/>
    <col min="3423" max="3423" width="17.42578125" style="1" customWidth="1"/>
    <col min="3424" max="3424" width="17.28515625" style="1" customWidth="1"/>
    <col min="3425" max="3425" width="17" style="1" customWidth="1"/>
    <col min="3426" max="3426" width="15.5703125" style="1" customWidth="1"/>
    <col min="3427" max="3427" width="16.85546875" style="1" customWidth="1"/>
    <col min="3428" max="3428" width="16.7109375" style="1" customWidth="1"/>
    <col min="3429" max="3429" width="16.28515625" style="1" customWidth="1"/>
    <col min="3430" max="3430" width="17" style="1" customWidth="1"/>
    <col min="3431" max="3431" width="17.85546875" style="1" customWidth="1"/>
    <col min="3432" max="3432" width="17" style="1" customWidth="1"/>
    <col min="3433" max="3433" width="16.42578125" style="1" customWidth="1"/>
    <col min="3434" max="3434" width="16.140625" style="1" customWidth="1"/>
    <col min="3435" max="3537" width="9.85546875" style="1"/>
    <col min="3538" max="3538" width="20.5703125" style="1" customWidth="1"/>
    <col min="3539" max="3539" width="22.7109375" style="1" customWidth="1"/>
    <col min="3540" max="3540" width="19.140625" style="1" customWidth="1"/>
    <col min="3541" max="3542" width="17.140625" style="1" customWidth="1"/>
    <col min="3543" max="3543" width="19.5703125" style="1" customWidth="1"/>
    <col min="3544" max="3545" width="16.28515625" style="1" customWidth="1"/>
    <col min="3546" max="3546" width="12" style="1" customWidth="1"/>
    <col min="3547" max="3547" width="13.42578125" style="1" customWidth="1"/>
    <col min="3548" max="3552" width="15.42578125" style="1" customWidth="1"/>
    <col min="3553" max="3556" width="14.5703125" style="1" customWidth="1"/>
    <col min="3557" max="3557" width="15" style="1" customWidth="1"/>
    <col min="3558" max="3558" width="14.5703125" style="1" customWidth="1"/>
    <col min="3559" max="3571" width="14.140625" style="1" customWidth="1"/>
    <col min="3572" max="3572" width="17.5703125" style="1" customWidth="1"/>
    <col min="3573" max="3573" width="13.140625" style="1" customWidth="1"/>
    <col min="3574" max="3574" width="14.28515625" style="1" customWidth="1"/>
    <col min="3575" max="3578" width="13.140625" style="1" customWidth="1"/>
    <col min="3579" max="3580" width="13.85546875" style="1" customWidth="1"/>
    <col min="3581" max="3615" width="15.140625" style="1" customWidth="1"/>
    <col min="3616" max="3627" width="13.140625" style="1" customWidth="1"/>
    <col min="3628" max="3628" width="18.28515625" style="1" customWidth="1"/>
    <col min="3629" max="3629" width="15.85546875" style="1" customWidth="1"/>
    <col min="3630" max="3631" width="16.140625" style="1" customWidth="1"/>
    <col min="3632" max="3633" width="16.28515625" style="1" customWidth="1"/>
    <col min="3634" max="3634" width="17.7109375" style="1" customWidth="1"/>
    <col min="3635" max="3635" width="16.28515625" style="1" customWidth="1"/>
    <col min="3636" max="3636" width="18.42578125" style="1" customWidth="1"/>
    <col min="3637" max="3637" width="19.140625" style="1" customWidth="1"/>
    <col min="3638" max="3638" width="18.28515625" style="1" customWidth="1"/>
    <col min="3639" max="3640" width="16.7109375" style="1" customWidth="1"/>
    <col min="3641" max="3644" width="13.140625" style="1" customWidth="1"/>
    <col min="3645" max="3645" width="18.42578125" style="1" customWidth="1"/>
    <col min="3646" max="3646" width="13.140625" style="1" customWidth="1"/>
    <col min="3647" max="3647" width="14.42578125" style="1" customWidth="1"/>
    <col min="3648" max="3648" width="16.28515625" style="1" customWidth="1"/>
    <col min="3649" max="3652" width="14.42578125" style="1" customWidth="1"/>
    <col min="3653" max="3654" width="13.140625" style="1" customWidth="1"/>
    <col min="3655" max="3655" width="15.5703125" style="1" customWidth="1"/>
    <col min="3656" max="3656" width="13.140625" style="1" customWidth="1"/>
    <col min="3657" max="3658" width="14.140625" style="1" customWidth="1"/>
    <col min="3659" max="3659" width="17.7109375" style="1" customWidth="1"/>
    <col min="3660" max="3661" width="13.140625" style="1" customWidth="1"/>
    <col min="3662" max="3662" width="17.140625" style="1" customWidth="1"/>
    <col min="3663" max="3663" width="13.140625" style="1" customWidth="1"/>
    <col min="3664" max="3664" width="14.140625" style="1" customWidth="1"/>
    <col min="3665" max="3665" width="13.140625" style="1" customWidth="1"/>
    <col min="3666" max="3667" width="12.42578125" style="1" customWidth="1"/>
    <col min="3668" max="3668" width="12.140625" style="1" customWidth="1"/>
    <col min="3669" max="3669" width="12.42578125" style="1" customWidth="1"/>
    <col min="3670" max="3670" width="12.140625" style="1" customWidth="1"/>
    <col min="3671" max="3672" width="16.140625" style="1" customWidth="1"/>
    <col min="3673" max="3673" width="16.85546875" style="1" customWidth="1"/>
    <col min="3674" max="3674" width="17.28515625" style="1" customWidth="1"/>
    <col min="3675" max="3675" width="17.42578125" style="1" customWidth="1"/>
    <col min="3676" max="3676" width="16.140625" style="1" customWidth="1"/>
    <col min="3677" max="3677" width="15.5703125" style="1" customWidth="1"/>
    <col min="3678" max="3678" width="17.85546875" style="1" customWidth="1"/>
    <col min="3679" max="3679" width="17.42578125" style="1" customWidth="1"/>
    <col min="3680" max="3680" width="17.28515625" style="1" customWidth="1"/>
    <col min="3681" max="3681" width="17" style="1" customWidth="1"/>
    <col min="3682" max="3682" width="15.5703125" style="1" customWidth="1"/>
    <col min="3683" max="3683" width="16.85546875" style="1" customWidth="1"/>
    <col min="3684" max="3684" width="16.7109375" style="1" customWidth="1"/>
    <col min="3685" max="3685" width="16.28515625" style="1" customWidth="1"/>
    <col min="3686" max="3686" width="17" style="1" customWidth="1"/>
    <col min="3687" max="3687" width="17.85546875" style="1" customWidth="1"/>
    <col min="3688" max="3688" width="17" style="1" customWidth="1"/>
    <col min="3689" max="3689" width="16.42578125" style="1" customWidth="1"/>
    <col min="3690" max="3690" width="16.140625" style="1" customWidth="1"/>
    <col min="3691" max="3793" width="9.85546875" style="1"/>
    <col min="3794" max="3794" width="20.5703125" style="1" customWidth="1"/>
    <col min="3795" max="3795" width="22.7109375" style="1" customWidth="1"/>
    <col min="3796" max="3796" width="19.140625" style="1" customWidth="1"/>
    <col min="3797" max="3798" width="17.140625" style="1" customWidth="1"/>
    <col min="3799" max="3799" width="19.5703125" style="1" customWidth="1"/>
    <col min="3800" max="3801" width="16.28515625" style="1" customWidth="1"/>
    <col min="3802" max="3802" width="12" style="1" customWidth="1"/>
    <col min="3803" max="3803" width="13.42578125" style="1" customWidth="1"/>
    <col min="3804" max="3808" width="15.42578125" style="1" customWidth="1"/>
    <col min="3809" max="3812" width="14.5703125" style="1" customWidth="1"/>
    <col min="3813" max="3813" width="15" style="1" customWidth="1"/>
    <col min="3814" max="3814" width="14.5703125" style="1" customWidth="1"/>
    <col min="3815" max="3827" width="14.140625" style="1" customWidth="1"/>
    <col min="3828" max="3828" width="17.5703125" style="1" customWidth="1"/>
    <col min="3829" max="3829" width="13.140625" style="1" customWidth="1"/>
    <col min="3830" max="3830" width="14.28515625" style="1" customWidth="1"/>
    <col min="3831" max="3834" width="13.140625" style="1" customWidth="1"/>
    <col min="3835" max="3836" width="13.85546875" style="1" customWidth="1"/>
    <col min="3837" max="3871" width="15.140625" style="1" customWidth="1"/>
    <col min="3872" max="3883" width="13.140625" style="1" customWidth="1"/>
    <col min="3884" max="3884" width="18.28515625" style="1" customWidth="1"/>
    <col min="3885" max="3885" width="15.85546875" style="1" customWidth="1"/>
    <col min="3886" max="3887" width="16.140625" style="1" customWidth="1"/>
    <col min="3888" max="3889" width="16.28515625" style="1" customWidth="1"/>
    <col min="3890" max="3890" width="17.7109375" style="1" customWidth="1"/>
    <col min="3891" max="3891" width="16.28515625" style="1" customWidth="1"/>
    <col min="3892" max="3892" width="18.42578125" style="1" customWidth="1"/>
    <col min="3893" max="3893" width="19.140625" style="1" customWidth="1"/>
    <col min="3894" max="3894" width="18.28515625" style="1" customWidth="1"/>
    <col min="3895" max="3896" width="16.7109375" style="1" customWidth="1"/>
    <col min="3897" max="3900" width="13.140625" style="1" customWidth="1"/>
    <col min="3901" max="3901" width="18.42578125" style="1" customWidth="1"/>
    <col min="3902" max="3902" width="13.140625" style="1" customWidth="1"/>
    <col min="3903" max="3903" width="14.42578125" style="1" customWidth="1"/>
    <col min="3904" max="3904" width="16.28515625" style="1" customWidth="1"/>
    <col min="3905" max="3908" width="14.42578125" style="1" customWidth="1"/>
    <col min="3909" max="3910" width="13.140625" style="1" customWidth="1"/>
    <col min="3911" max="3911" width="15.5703125" style="1" customWidth="1"/>
    <col min="3912" max="3912" width="13.140625" style="1" customWidth="1"/>
    <col min="3913" max="3914" width="14.140625" style="1" customWidth="1"/>
    <col min="3915" max="3915" width="17.7109375" style="1" customWidth="1"/>
    <col min="3916" max="3917" width="13.140625" style="1" customWidth="1"/>
    <col min="3918" max="3918" width="17.140625" style="1" customWidth="1"/>
    <col min="3919" max="3919" width="13.140625" style="1" customWidth="1"/>
    <col min="3920" max="3920" width="14.140625" style="1" customWidth="1"/>
    <col min="3921" max="3921" width="13.140625" style="1" customWidth="1"/>
    <col min="3922" max="3923" width="12.42578125" style="1" customWidth="1"/>
    <col min="3924" max="3924" width="12.140625" style="1" customWidth="1"/>
    <col min="3925" max="3925" width="12.42578125" style="1" customWidth="1"/>
    <col min="3926" max="3926" width="12.140625" style="1" customWidth="1"/>
    <col min="3927" max="3928" width="16.140625" style="1" customWidth="1"/>
    <col min="3929" max="3929" width="16.85546875" style="1" customWidth="1"/>
    <col min="3930" max="3930" width="17.28515625" style="1" customWidth="1"/>
    <col min="3931" max="3931" width="17.42578125" style="1" customWidth="1"/>
    <col min="3932" max="3932" width="16.140625" style="1" customWidth="1"/>
    <col min="3933" max="3933" width="15.5703125" style="1" customWidth="1"/>
    <col min="3934" max="3934" width="17.85546875" style="1" customWidth="1"/>
    <col min="3935" max="3935" width="17.42578125" style="1" customWidth="1"/>
    <col min="3936" max="3936" width="17.28515625" style="1" customWidth="1"/>
    <col min="3937" max="3937" width="17" style="1" customWidth="1"/>
    <col min="3938" max="3938" width="15.5703125" style="1" customWidth="1"/>
    <col min="3939" max="3939" width="16.85546875" style="1" customWidth="1"/>
    <col min="3940" max="3940" width="16.7109375" style="1" customWidth="1"/>
    <col min="3941" max="3941" width="16.28515625" style="1" customWidth="1"/>
    <col min="3942" max="3942" width="17" style="1" customWidth="1"/>
    <col min="3943" max="3943" width="17.85546875" style="1" customWidth="1"/>
    <col min="3944" max="3944" width="17" style="1" customWidth="1"/>
    <col min="3945" max="3945" width="16.42578125" style="1" customWidth="1"/>
    <col min="3946" max="3946" width="16.140625" style="1" customWidth="1"/>
    <col min="3947" max="4049" width="9.85546875" style="1"/>
    <col min="4050" max="4050" width="20.5703125" style="1" customWidth="1"/>
    <col min="4051" max="4051" width="22.7109375" style="1" customWidth="1"/>
    <col min="4052" max="4052" width="19.140625" style="1" customWidth="1"/>
    <col min="4053" max="4054" width="17.140625" style="1" customWidth="1"/>
    <col min="4055" max="4055" width="19.5703125" style="1" customWidth="1"/>
    <col min="4056" max="4057" width="16.28515625" style="1" customWidth="1"/>
    <col min="4058" max="4058" width="12" style="1" customWidth="1"/>
    <col min="4059" max="4059" width="13.42578125" style="1" customWidth="1"/>
    <col min="4060" max="4064" width="15.42578125" style="1" customWidth="1"/>
    <col min="4065" max="4068" width="14.5703125" style="1" customWidth="1"/>
    <col min="4069" max="4069" width="15" style="1" customWidth="1"/>
    <col min="4070" max="4070" width="14.5703125" style="1" customWidth="1"/>
    <col min="4071" max="4083" width="14.140625" style="1" customWidth="1"/>
    <col min="4084" max="4084" width="17.5703125" style="1" customWidth="1"/>
    <col min="4085" max="4085" width="13.140625" style="1" customWidth="1"/>
    <col min="4086" max="4086" width="14.28515625" style="1" customWidth="1"/>
    <col min="4087" max="4090" width="13.140625" style="1" customWidth="1"/>
    <col min="4091" max="4092" width="13.85546875" style="1" customWidth="1"/>
    <col min="4093" max="4127" width="15.140625" style="1" customWidth="1"/>
    <col min="4128" max="4139" width="13.140625" style="1" customWidth="1"/>
    <col min="4140" max="4140" width="18.28515625" style="1" customWidth="1"/>
    <col min="4141" max="4141" width="15.85546875" style="1" customWidth="1"/>
    <col min="4142" max="4143" width="16.140625" style="1" customWidth="1"/>
    <col min="4144" max="4145" width="16.28515625" style="1" customWidth="1"/>
    <col min="4146" max="4146" width="17.7109375" style="1" customWidth="1"/>
    <col min="4147" max="4147" width="16.28515625" style="1" customWidth="1"/>
    <col min="4148" max="4148" width="18.42578125" style="1" customWidth="1"/>
    <col min="4149" max="4149" width="19.140625" style="1" customWidth="1"/>
    <col min="4150" max="4150" width="18.28515625" style="1" customWidth="1"/>
    <col min="4151" max="4152" width="16.7109375" style="1" customWidth="1"/>
    <col min="4153" max="4156" width="13.140625" style="1" customWidth="1"/>
    <col min="4157" max="4157" width="18.42578125" style="1" customWidth="1"/>
    <col min="4158" max="4158" width="13.140625" style="1" customWidth="1"/>
    <col min="4159" max="4159" width="14.42578125" style="1" customWidth="1"/>
    <col min="4160" max="4160" width="16.28515625" style="1" customWidth="1"/>
    <col min="4161" max="4164" width="14.42578125" style="1" customWidth="1"/>
    <col min="4165" max="4166" width="13.140625" style="1" customWidth="1"/>
    <col min="4167" max="4167" width="15.5703125" style="1" customWidth="1"/>
    <col min="4168" max="4168" width="13.140625" style="1" customWidth="1"/>
    <col min="4169" max="4170" width="14.140625" style="1" customWidth="1"/>
    <col min="4171" max="4171" width="17.7109375" style="1" customWidth="1"/>
    <col min="4172" max="4173" width="13.140625" style="1" customWidth="1"/>
    <col min="4174" max="4174" width="17.140625" style="1" customWidth="1"/>
    <col min="4175" max="4175" width="13.140625" style="1" customWidth="1"/>
    <col min="4176" max="4176" width="14.140625" style="1" customWidth="1"/>
    <col min="4177" max="4177" width="13.140625" style="1" customWidth="1"/>
    <col min="4178" max="4179" width="12.42578125" style="1" customWidth="1"/>
    <col min="4180" max="4180" width="12.140625" style="1" customWidth="1"/>
    <col min="4181" max="4181" width="12.42578125" style="1" customWidth="1"/>
    <col min="4182" max="4182" width="12.140625" style="1" customWidth="1"/>
    <col min="4183" max="4184" width="16.140625" style="1" customWidth="1"/>
    <col min="4185" max="4185" width="16.85546875" style="1" customWidth="1"/>
    <col min="4186" max="4186" width="17.28515625" style="1" customWidth="1"/>
    <col min="4187" max="4187" width="17.42578125" style="1" customWidth="1"/>
    <col min="4188" max="4188" width="16.140625" style="1" customWidth="1"/>
    <col min="4189" max="4189" width="15.5703125" style="1" customWidth="1"/>
    <col min="4190" max="4190" width="17.85546875" style="1" customWidth="1"/>
    <col min="4191" max="4191" width="17.42578125" style="1" customWidth="1"/>
    <col min="4192" max="4192" width="17.28515625" style="1" customWidth="1"/>
    <col min="4193" max="4193" width="17" style="1" customWidth="1"/>
    <col min="4194" max="4194" width="15.5703125" style="1" customWidth="1"/>
    <col min="4195" max="4195" width="16.85546875" style="1" customWidth="1"/>
    <col min="4196" max="4196" width="16.7109375" style="1" customWidth="1"/>
    <col min="4197" max="4197" width="16.28515625" style="1" customWidth="1"/>
    <col min="4198" max="4198" width="17" style="1" customWidth="1"/>
    <col min="4199" max="4199" width="17.85546875" style="1" customWidth="1"/>
    <col min="4200" max="4200" width="17" style="1" customWidth="1"/>
    <col min="4201" max="4201" width="16.42578125" style="1" customWidth="1"/>
    <col min="4202" max="4202" width="16.140625" style="1" customWidth="1"/>
    <col min="4203" max="4305" width="9.85546875" style="1"/>
    <col min="4306" max="4306" width="20.5703125" style="1" customWidth="1"/>
    <col min="4307" max="4307" width="22.7109375" style="1" customWidth="1"/>
    <col min="4308" max="4308" width="19.140625" style="1" customWidth="1"/>
    <col min="4309" max="4310" width="17.140625" style="1" customWidth="1"/>
    <col min="4311" max="4311" width="19.5703125" style="1" customWidth="1"/>
    <col min="4312" max="4313" width="16.28515625" style="1" customWidth="1"/>
    <col min="4314" max="4314" width="12" style="1" customWidth="1"/>
    <col min="4315" max="4315" width="13.42578125" style="1" customWidth="1"/>
    <col min="4316" max="4320" width="15.42578125" style="1" customWidth="1"/>
    <col min="4321" max="4324" width="14.5703125" style="1" customWidth="1"/>
    <col min="4325" max="4325" width="15" style="1" customWidth="1"/>
    <col min="4326" max="4326" width="14.5703125" style="1" customWidth="1"/>
    <col min="4327" max="4339" width="14.140625" style="1" customWidth="1"/>
    <col min="4340" max="4340" width="17.5703125" style="1" customWidth="1"/>
    <col min="4341" max="4341" width="13.140625" style="1" customWidth="1"/>
    <col min="4342" max="4342" width="14.28515625" style="1" customWidth="1"/>
    <col min="4343" max="4346" width="13.140625" style="1" customWidth="1"/>
    <col min="4347" max="4348" width="13.85546875" style="1" customWidth="1"/>
    <col min="4349" max="4383" width="15.140625" style="1" customWidth="1"/>
    <col min="4384" max="4395" width="13.140625" style="1" customWidth="1"/>
    <col min="4396" max="4396" width="18.28515625" style="1" customWidth="1"/>
    <col min="4397" max="4397" width="15.85546875" style="1" customWidth="1"/>
    <col min="4398" max="4399" width="16.140625" style="1" customWidth="1"/>
    <col min="4400" max="4401" width="16.28515625" style="1" customWidth="1"/>
    <col min="4402" max="4402" width="17.7109375" style="1" customWidth="1"/>
    <col min="4403" max="4403" width="16.28515625" style="1" customWidth="1"/>
    <col min="4404" max="4404" width="18.42578125" style="1" customWidth="1"/>
    <col min="4405" max="4405" width="19.140625" style="1" customWidth="1"/>
    <col min="4406" max="4406" width="18.28515625" style="1" customWidth="1"/>
    <col min="4407" max="4408" width="16.7109375" style="1" customWidth="1"/>
    <col min="4409" max="4412" width="13.140625" style="1" customWidth="1"/>
    <col min="4413" max="4413" width="18.42578125" style="1" customWidth="1"/>
    <col min="4414" max="4414" width="13.140625" style="1" customWidth="1"/>
    <col min="4415" max="4415" width="14.42578125" style="1" customWidth="1"/>
    <col min="4416" max="4416" width="16.28515625" style="1" customWidth="1"/>
    <col min="4417" max="4420" width="14.42578125" style="1" customWidth="1"/>
    <col min="4421" max="4422" width="13.140625" style="1" customWidth="1"/>
    <col min="4423" max="4423" width="15.5703125" style="1" customWidth="1"/>
    <col min="4424" max="4424" width="13.140625" style="1" customWidth="1"/>
    <col min="4425" max="4426" width="14.140625" style="1" customWidth="1"/>
    <col min="4427" max="4427" width="17.7109375" style="1" customWidth="1"/>
    <col min="4428" max="4429" width="13.140625" style="1" customWidth="1"/>
    <col min="4430" max="4430" width="17.140625" style="1" customWidth="1"/>
    <col min="4431" max="4431" width="13.140625" style="1" customWidth="1"/>
    <col min="4432" max="4432" width="14.140625" style="1" customWidth="1"/>
    <col min="4433" max="4433" width="13.140625" style="1" customWidth="1"/>
    <col min="4434" max="4435" width="12.42578125" style="1" customWidth="1"/>
    <col min="4436" max="4436" width="12.140625" style="1" customWidth="1"/>
    <col min="4437" max="4437" width="12.42578125" style="1" customWidth="1"/>
    <col min="4438" max="4438" width="12.140625" style="1" customWidth="1"/>
    <col min="4439" max="4440" width="16.140625" style="1" customWidth="1"/>
    <col min="4441" max="4441" width="16.85546875" style="1" customWidth="1"/>
    <col min="4442" max="4442" width="17.28515625" style="1" customWidth="1"/>
    <col min="4443" max="4443" width="17.42578125" style="1" customWidth="1"/>
    <col min="4444" max="4444" width="16.140625" style="1" customWidth="1"/>
    <col min="4445" max="4445" width="15.5703125" style="1" customWidth="1"/>
    <col min="4446" max="4446" width="17.85546875" style="1" customWidth="1"/>
    <col min="4447" max="4447" width="17.42578125" style="1" customWidth="1"/>
    <col min="4448" max="4448" width="17.28515625" style="1" customWidth="1"/>
    <col min="4449" max="4449" width="17" style="1" customWidth="1"/>
    <col min="4450" max="4450" width="15.5703125" style="1" customWidth="1"/>
    <col min="4451" max="4451" width="16.85546875" style="1" customWidth="1"/>
    <col min="4452" max="4452" width="16.7109375" style="1" customWidth="1"/>
    <col min="4453" max="4453" width="16.28515625" style="1" customWidth="1"/>
    <col min="4454" max="4454" width="17" style="1" customWidth="1"/>
    <col min="4455" max="4455" width="17.85546875" style="1" customWidth="1"/>
    <col min="4456" max="4456" width="17" style="1" customWidth="1"/>
    <col min="4457" max="4457" width="16.42578125" style="1" customWidth="1"/>
    <col min="4458" max="4458" width="16.140625" style="1" customWidth="1"/>
    <col min="4459" max="4561" width="9.85546875" style="1"/>
    <col min="4562" max="4562" width="20.5703125" style="1" customWidth="1"/>
    <col min="4563" max="4563" width="22.7109375" style="1" customWidth="1"/>
    <col min="4564" max="4564" width="19.140625" style="1" customWidth="1"/>
    <col min="4565" max="4566" width="17.140625" style="1" customWidth="1"/>
    <col min="4567" max="4567" width="19.5703125" style="1" customWidth="1"/>
    <col min="4568" max="4569" width="16.28515625" style="1" customWidth="1"/>
    <col min="4570" max="4570" width="12" style="1" customWidth="1"/>
    <col min="4571" max="4571" width="13.42578125" style="1" customWidth="1"/>
    <col min="4572" max="4576" width="15.42578125" style="1" customWidth="1"/>
    <col min="4577" max="4580" width="14.5703125" style="1" customWidth="1"/>
    <col min="4581" max="4581" width="15" style="1" customWidth="1"/>
    <col min="4582" max="4582" width="14.5703125" style="1" customWidth="1"/>
    <col min="4583" max="4595" width="14.140625" style="1" customWidth="1"/>
    <col min="4596" max="4596" width="17.5703125" style="1" customWidth="1"/>
    <col min="4597" max="4597" width="13.140625" style="1" customWidth="1"/>
    <col min="4598" max="4598" width="14.28515625" style="1" customWidth="1"/>
    <col min="4599" max="4602" width="13.140625" style="1" customWidth="1"/>
    <col min="4603" max="4604" width="13.85546875" style="1" customWidth="1"/>
    <col min="4605" max="4639" width="15.140625" style="1" customWidth="1"/>
    <col min="4640" max="4651" width="13.140625" style="1" customWidth="1"/>
    <col min="4652" max="4652" width="18.28515625" style="1" customWidth="1"/>
    <col min="4653" max="4653" width="15.85546875" style="1" customWidth="1"/>
    <col min="4654" max="4655" width="16.140625" style="1" customWidth="1"/>
    <col min="4656" max="4657" width="16.28515625" style="1" customWidth="1"/>
    <col min="4658" max="4658" width="17.7109375" style="1" customWidth="1"/>
    <col min="4659" max="4659" width="16.28515625" style="1" customWidth="1"/>
    <col min="4660" max="4660" width="18.42578125" style="1" customWidth="1"/>
    <col min="4661" max="4661" width="19.140625" style="1" customWidth="1"/>
    <col min="4662" max="4662" width="18.28515625" style="1" customWidth="1"/>
    <col min="4663" max="4664" width="16.7109375" style="1" customWidth="1"/>
    <col min="4665" max="4668" width="13.140625" style="1" customWidth="1"/>
    <col min="4669" max="4669" width="18.42578125" style="1" customWidth="1"/>
    <col min="4670" max="4670" width="13.140625" style="1" customWidth="1"/>
    <col min="4671" max="4671" width="14.42578125" style="1" customWidth="1"/>
    <col min="4672" max="4672" width="16.28515625" style="1" customWidth="1"/>
    <col min="4673" max="4676" width="14.42578125" style="1" customWidth="1"/>
    <col min="4677" max="4678" width="13.140625" style="1" customWidth="1"/>
    <col min="4679" max="4679" width="15.5703125" style="1" customWidth="1"/>
    <col min="4680" max="4680" width="13.140625" style="1" customWidth="1"/>
    <col min="4681" max="4682" width="14.140625" style="1" customWidth="1"/>
    <col min="4683" max="4683" width="17.7109375" style="1" customWidth="1"/>
    <col min="4684" max="4685" width="13.140625" style="1" customWidth="1"/>
    <col min="4686" max="4686" width="17.140625" style="1" customWidth="1"/>
    <col min="4687" max="4687" width="13.140625" style="1" customWidth="1"/>
    <col min="4688" max="4688" width="14.140625" style="1" customWidth="1"/>
    <col min="4689" max="4689" width="13.140625" style="1" customWidth="1"/>
    <col min="4690" max="4691" width="12.42578125" style="1" customWidth="1"/>
    <col min="4692" max="4692" width="12.140625" style="1" customWidth="1"/>
    <col min="4693" max="4693" width="12.42578125" style="1" customWidth="1"/>
    <col min="4694" max="4694" width="12.140625" style="1" customWidth="1"/>
    <col min="4695" max="4696" width="16.140625" style="1" customWidth="1"/>
    <col min="4697" max="4697" width="16.85546875" style="1" customWidth="1"/>
    <col min="4698" max="4698" width="17.28515625" style="1" customWidth="1"/>
    <col min="4699" max="4699" width="17.42578125" style="1" customWidth="1"/>
    <col min="4700" max="4700" width="16.140625" style="1" customWidth="1"/>
    <col min="4701" max="4701" width="15.5703125" style="1" customWidth="1"/>
    <col min="4702" max="4702" width="17.85546875" style="1" customWidth="1"/>
    <col min="4703" max="4703" width="17.42578125" style="1" customWidth="1"/>
    <col min="4704" max="4704" width="17.28515625" style="1" customWidth="1"/>
    <col min="4705" max="4705" width="17" style="1" customWidth="1"/>
    <col min="4706" max="4706" width="15.5703125" style="1" customWidth="1"/>
    <col min="4707" max="4707" width="16.85546875" style="1" customWidth="1"/>
    <col min="4708" max="4708" width="16.7109375" style="1" customWidth="1"/>
    <col min="4709" max="4709" width="16.28515625" style="1" customWidth="1"/>
    <col min="4710" max="4710" width="17" style="1" customWidth="1"/>
    <col min="4711" max="4711" width="17.85546875" style="1" customWidth="1"/>
    <col min="4712" max="4712" width="17" style="1" customWidth="1"/>
    <col min="4713" max="4713" width="16.42578125" style="1" customWidth="1"/>
    <col min="4714" max="4714" width="16.140625" style="1" customWidth="1"/>
    <col min="4715" max="4817" width="9.85546875" style="1"/>
    <col min="4818" max="4818" width="20.5703125" style="1" customWidth="1"/>
    <col min="4819" max="4819" width="22.7109375" style="1" customWidth="1"/>
    <col min="4820" max="4820" width="19.140625" style="1" customWidth="1"/>
    <col min="4821" max="4822" width="17.140625" style="1" customWidth="1"/>
    <col min="4823" max="4823" width="19.5703125" style="1" customWidth="1"/>
    <col min="4824" max="4825" width="16.28515625" style="1" customWidth="1"/>
    <col min="4826" max="4826" width="12" style="1" customWidth="1"/>
    <col min="4827" max="4827" width="13.42578125" style="1" customWidth="1"/>
    <col min="4828" max="4832" width="15.42578125" style="1" customWidth="1"/>
    <col min="4833" max="4836" width="14.5703125" style="1" customWidth="1"/>
    <col min="4837" max="4837" width="15" style="1" customWidth="1"/>
    <col min="4838" max="4838" width="14.5703125" style="1" customWidth="1"/>
    <col min="4839" max="4851" width="14.140625" style="1" customWidth="1"/>
    <col min="4852" max="4852" width="17.5703125" style="1" customWidth="1"/>
    <col min="4853" max="4853" width="13.140625" style="1" customWidth="1"/>
    <col min="4854" max="4854" width="14.28515625" style="1" customWidth="1"/>
    <col min="4855" max="4858" width="13.140625" style="1" customWidth="1"/>
    <col min="4859" max="4860" width="13.85546875" style="1" customWidth="1"/>
    <col min="4861" max="4895" width="15.140625" style="1" customWidth="1"/>
    <col min="4896" max="4907" width="13.140625" style="1" customWidth="1"/>
    <col min="4908" max="4908" width="18.28515625" style="1" customWidth="1"/>
    <col min="4909" max="4909" width="15.85546875" style="1" customWidth="1"/>
    <col min="4910" max="4911" width="16.140625" style="1" customWidth="1"/>
    <col min="4912" max="4913" width="16.28515625" style="1" customWidth="1"/>
    <col min="4914" max="4914" width="17.7109375" style="1" customWidth="1"/>
    <col min="4915" max="4915" width="16.28515625" style="1" customWidth="1"/>
    <col min="4916" max="4916" width="18.42578125" style="1" customWidth="1"/>
    <col min="4917" max="4917" width="19.140625" style="1" customWidth="1"/>
    <col min="4918" max="4918" width="18.28515625" style="1" customWidth="1"/>
    <col min="4919" max="4920" width="16.7109375" style="1" customWidth="1"/>
    <col min="4921" max="4924" width="13.140625" style="1" customWidth="1"/>
    <col min="4925" max="4925" width="18.42578125" style="1" customWidth="1"/>
    <col min="4926" max="4926" width="13.140625" style="1" customWidth="1"/>
    <col min="4927" max="4927" width="14.42578125" style="1" customWidth="1"/>
    <col min="4928" max="4928" width="16.28515625" style="1" customWidth="1"/>
    <col min="4929" max="4932" width="14.42578125" style="1" customWidth="1"/>
    <col min="4933" max="4934" width="13.140625" style="1" customWidth="1"/>
    <col min="4935" max="4935" width="15.5703125" style="1" customWidth="1"/>
    <col min="4936" max="4936" width="13.140625" style="1" customWidth="1"/>
    <col min="4937" max="4938" width="14.140625" style="1" customWidth="1"/>
    <col min="4939" max="4939" width="17.7109375" style="1" customWidth="1"/>
    <col min="4940" max="4941" width="13.140625" style="1" customWidth="1"/>
    <col min="4942" max="4942" width="17.140625" style="1" customWidth="1"/>
    <col min="4943" max="4943" width="13.140625" style="1" customWidth="1"/>
    <col min="4944" max="4944" width="14.140625" style="1" customWidth="1"/>
    <col min="4945" max="4945" width="13.140625" style="1" customWidth="1"/>
    <col min="4946" max="4947" width="12.42578125" style="1" customWidth="1"/>
    <col min="4948" max="4948" width="12.140625" style="1" customWidth="1"/>
    <col min="4949" max="4949" width="12.42578125" style="1" customWidth="1"/>
    <col min="4950" max="4950" width="12.140625" style="1" customWidth="1"/>
    <col min="4951" max="4952" width="16.140625" style="1" customWidth="1"/>
    <col min="4953" max="4953" width="16.85546875" style="1" customWidth="1"/>
    <col min="4954" max="4954" width="17.28515625" style="1" customWidth="1"/>
    <col min="4955" max="4955" width="17.42578125" style="1" customWidth="1"/>
    <col min="4956" max="4956" width="16.140625" style="1" customWidth="1"/>
    <col min="4957" max="4957" width="15.5703125" style="1" customWidth="1"/>
    <col min="4958" max="4958" width="17.85546875" style="1" customWidth="1"/>
    <col min="4959" max="4959" width="17.42578125" style="1" customWidth="1"/>
    <col min="4960" max="4960" width="17.28515625" style="1" customWidth="1"/>
    <col min="4961" max="4961" width="17" style="1" customWidth="1"/>
    <col min="4962" max="4962" width="15.5703125" style="1" customWidth="1"/>
    <col min="4963" max="4963" width="16.85546875" style="1" customWidth="1"/>
    <col min="4964" max="4964" width="16.7109375" style="1" customWidth="1"/>
    <col min="4965" max="4965" width="16.28515625" style="1" customWidth="1"/>
    <col min="4966" max="4966" width="17" style="1" customWidth="1"/>
    <col min="4967" max="4967" width="17.85546875" style="1" customWidth="1"/>
    <col min="4968" max="4968" width="17" style="1" customWidth="1"/>
    <col min="4969" max="4969" width="16.42578125" style="1" customWidth="1"/>
    <col min="4970" max="4970" width="16.140625" style="1" customWidth="1"/>
    <col min="4971" max="5073" width="9.85546875" style="1"/>
    <col min="5074" max="5074" width="20.5703125" style="1" customWidth="1"/>
    <col min="5075" max="5075" width="22.7109375" style="1" customWidth="1"/>
    <col min="5076" max="5076" width="19.140625" style="1" customWidth="1"/>
    <col min="5077" max="5078" width="17.140625" style="1" customWidth="1"/>
    <col min="5079" max="5079" width="19.5703125" style="1" customWidth="1"/>
    <col min="5080" max="5081" width="16.28515625" style="1" customWidth="1"/>
    <col min="5082" max="5082" width="12" style="1" customWidth="1"/>
    <col min="5083" max="5083" width="13.42578125" style="1" customWidth="1"/>
    <col min="5084" max="5088" width="15.42578125" style="1" customWidth="1"/>
    <col min="5089" max="5092" width="14.5703125" style="1" customWidth="1"/>
    <col min="5093" max="5093" width="15" style="1" customWidth="1"/>
    <col min="5094" max="5094" width="14.5703125" style="1" customWidth="1"/>
    <col min="5095" max="5107" width="14.140625" style="1" customWidth="1"/>
    <col min="5108" max="5108" width="17.5703125" style="1" customWidth="1"/>
    <col min="5109" max="5109" width="13.140625" style="1" customWidth="1"/>
    <col min="5110" max="5110" width="14.28515625" style="1" customWidth="1"/>
    <col min="5111" max="5114" width="13.140625" style="1" customWidth="1"/>
    <col min="5115" max="5116" width="13.85546875" style="1" customWidth="1"/>
    <col min="5117" max="5151" width="15.140625" style="1" customWidth="1"/>
    <col min="5152" max="5163" width="13.140625" style="1" customWidth="1"/>
    <col min="5164" max="5164" width="18.28515625" style="1" customWidth="1"/>
    <col min="5165" max="5165" width="15.85546875" style="1" customWidth="1"/>
    <col min="5166" max="5167" width="16.140625" style="1" customWidth="1"/>
    <col min="5168" max="5169" width="16.28515625" style="1" customWidth="1"/>
    <col min="5170" max="5170" width="17.7109375" style="1" customWidth="1"/>
    <col min="5171" max="5171" width="16.28515625" style="1" customWidth="1"/>
    <col min="5172" max="5172" width="18.42578125" style="1" customWidth="1"/>
    <col min="5173" max="5173" width="19.140625" style="1" customWidth="1"/>
    <col min="5174" max="5174" width="18.28515625" style="1" customWidth="1"/>
    <col min="5175" max="5176" width="16.7109375" style="1" customWidth="1"/>
    <col min="5177" max="5180" width="13.140625" style="1" customWidth="1"/>
    <col min="5181" max="5181" width="18.42578125" style="1" customWidth="1"/>
    <col min="5182" max="5182" width="13.140625" style="1" customWidth="1"/>
    <col min="5183" max="5183" width="14.42578125" style="1" customWidth="1"/>
    <col min="5184" max="5184" width="16.28515625" style="1" customWidth="1"/>
    <col min="5185" max="5188" width="14.42578125" style="1" customWidth="1"/>
    <col min="5189" max="5190" width="13.140625" style="1" customWidth="1"/>
    <col min="5191" max="5191" width="15.5703125" style="1" customWidth="1"/>
    <col min="5192" max="5192" width="13.140625" style="1" customWidth="1"/>
    <col min="5193" max="5194" width="14.140625" style="1" customWidth="1"/>
    <col min="5195" max="5195" width="17.7109375" style="1" customWidth="1"/>
    <col min="5196" max="5197" width="13.140625" style="1" customWidth="1"/>
    <col min="5198" max="5198" width="17.140625" style="1" customWidth="1"/>
    <col min="5199" max="5199" width="13.140625" style="1" customWidth="1"/>
    <col min="5200" max="5200" width="14.140625" style="1" customWidth="1"/>
    <col min="5201" max="5201" width="13.140625" style="1" customWidth="1"/>
    <col min="5202" max="5203" width="12.42578125" style="1" customWidth="1"/>
    <col min="5204" max="5204" width="12.140625" style="1" customWidth="1"/>
    <col min="5205" max="5205" width="12.42578125" style="1" customWidth="1"/>
    <col min="5206" max="5206" width="12.140625" style="1" customWidth="1"/>
    <col min="5207" max="5208" width="16.140625" style="1" customWidth="1"/>
    <col min="5209" max="5209" width="16.85546875" style="1" customWidth="1"/>
    <col min="5210" max="5210" width="17.28515625" style="1" customWidth="1"/>
    <col min="5211" max="5211" width="17.42578125" style="1" customWidth="1"/>
    <col min="5212" max="5212" width="16.140625" style="1" customWidth="1"/>
    <col min="5213" max="5213" width="15.5703125" style="1" customWidth="1"/>
    <col min="5214" max="5214" width="17.85546875" style="1" customWidth="1"/>
    <col min="5215" max="5215" width="17.42578125" style="1" customWidth="1"/>
    <col min="5216" max="5216" width="17.28515625" style="1" customWidth="1"/>
    <col min="5217" max="5217" width="17" style="1" customWidth="1"/>
    <col min="5218" max="5218" width="15.5703125" style="1" customWidth="1"/>
    <col min="5219" max="5219" width="16.85546875" style="1" customWidth="1"/>
    <col min="5220" max="5220" width="16.7109375" style="1" customWidth="1"/>
    <col min="5221" max="5221" width="16.28515625" style="1" customWidth="1"/>
    <col min="5222" max="5222" width="17" style="1" customWidth="1"/>
    <col min="5223" max="5223" width="17.85546875" style="1" customWidth="1"/>
    <col min="5224" max="5224" width="17" style="1" customWidth="1"/>
    <col min="5225" max="5225" width="16.42578125" style="1" customWidth="1"/>
    <col min="5226" max="5226" width="16.140625" style="1" customWidth="1"/>
    <col min="5227" max="5329" width="9.85546875" style="1"/>
    <col min="5330" max="5330" width="20.5703125" style="1" customWidth="1"/>
    <col min="5331" max="5331" width="22.7109375" style="1" customWidth="1"/>
    <col min="5332" max="5332" width="19.140625" style="1" customWidth="1"/>
    <col min="5333" max="5334" width="17.140625" style="1" customWidth="1"/>
    <col min="5335" max="5335" width="19.5703125" style="1" customWidth="1"/>
    <col min="5336" max="5337" width="16.28515625" style="1" customWidth="1"/>
    <col min="5338" max="5338" width="12" style="1" customWidth="1"/>
    <col min="5339" max="5339" width="13.42578125" style="1" customWidth="1"/>
    <col min="5340" max="5344" width="15.42578125" style="1" customWidth="1"/>
    <col min="5345" max="5348" width="14.5703125" style="1" customWidth="1"/>
    <col min="5349" max="5349" width="15" style="1" customWidth="1"/>
    <col min="5350" max="5350" width="14.5703125" style="1" customWidth="1"/>
    <col min="5351" max="5363" width="14.140625" style="1" customWidth="1"/>
    <col min="5364" max="5364" width="17.5703125" style="1" customWidth="1"/>
    <col min="5365" max="5365" width="13.140625" style="1" customWidth="1"/>
    <col min="5366" max="5366" width="14.28515625" style="1" customWidth="1"/>
    <col min="5367" max="5370" width="13.140625" style="1" customWidth="1"/>
    <col min="5371" max="5372" width="13.85546875" style="1" customWidth="1"/>
    <col min="5373" max="5407" width="15.140625" style="1" customWidth="1"/>
    <col min="5408" max="5419" width="13.140625" style="1" customWidth="1"/>
    <col min="5420" max="5420" width="18.28515625" style="1" customWidth="1"/>
    <col min="5421" max="5421" width="15.85546875" style="1" customWidth="1"/>
    <col min="5422" max="5423" width="16.140625" style="1" customWidth="1"/>
    <col min="5424" max="5425" width="16.28515625" style="1" customWidth="1"/>
    <col min="5426" max="5426" width="17.7109375" style="1" customWidth="1"/>
    <col min="5427" max="5427" width="16.28515625" style="1" customWidth="1"/>
    <col min="5428" max="5428" width="18.42578125" style="1" customWidth="1"/>
    <col min="5429" max="5429" width="19.140625" style="1" customWidth="1"/>
    <col min="5430" max="5430" width="18.28515625" style="1" customWidth="1"/>
    <col min="5431" max="5432" width="16.7109375" style="1" customWidth="1"/>
    <col min="5433" max="5436" width="13.140625" style="1" customWidth="1"/>
    <col min="5437" max="5437" width="18.42578125" style="1" customWidth="1"/>
    <col min="5438" max="5438" width="13.140625" style="1" customWidth="1"/>
    <col min="5439" max="5439" width="14.42578125" style="1" customWidth="1"/>
    <col min="5440" max="5440" width="16.28515625" style="1" customWidth="1"/>
    <col min="5441" max="5444" width="14.42578125" style="1" customWidth="1"/>
    <col min="5445" max="5446" width="13.140625" style="1" customWidth="1"/>
    <col min="5447" max="5447" width="15.5703125" style="1" customWidth="1"/>
    <col min="5448" max="5448" width="13.140625" style="1" customWidth="1"/>
    <col min="5449" max="5450" width="14.140625" style="1" customWidth="1"/>
    <col min="5451" max="5451" width="17.7109375" style="1" customWidth="1"/>
    <col min="5452" max="5453" width="13.140625" style="1" customWidth="1"/>
    <col min="5454" max="5454" width="17.140625" style="1" customWidth="1"/>
    <col min="5455" max="5455" width="13.140625" style="1" customWidth="1"/>
    <col min="5456" max="5456" width="14.140625" style="1" customWidth="1"/>
    <col min="5457" max="5457" width="13.140625" style="1" customWidth="1"/>
    <col min="5458" max="5459" width="12.42578125" style="1" customWidth="1"/>
    <col min="5460" max="5460" width="12.140625" style="1" customWidth="1"/>
    <col min="5461" max="5461" width="12.42578125" style="1" customWidth="1"/>
    <col min="5462" max="5462" width="12.140625" style="1" customWidth="1"/>
    <col min="5463" max="5464" width="16.140625" style="1" customWidth="1"/>
    <col min="5465" max="5465" width="16.85546875" style="1" customWidth="1"/>
    <col min="5466" max="5466" width="17.28515625" style="1" customWidth="1"/>
    <col min="5467" max="5467" width="17.42578125" style="1" customWidth="1"/>
    <col min="5468" max="5468" width="16.140625" style="1" customWidth="1"/>
    <col min="5469" max="5469" width="15.5703125" style="1" customWidth="1"/>
    <col min="5470" max="5470" width="17.85546875" style="1" customWidth="1"/>
    <col min="5471" max="5471" width="17.42578125" style="1" customWidth="1"/>
    <col min="5472" max="5472" width="17.28515625" style="1" customWidth="1"/>
    <col min="5473" max="5473" width="17" style="1" customWidth="1"/>
    <col min="5474" max="5474" width="15.5703125" style="1" customWidth="1"/>
    <col min="5475" max="5475" width="16.85546875" style="1" customWidth="1"/>
    <col min="5476" max="5476" width="16.7109375" style="1" customWidth="1"/>
    <col min="5477" max="5477" width="16.28515625" style="1" customWidth="1"/>
    <col min="5478" max="5478" width="17" style="1" customWidth="1"/>
    <col min="5479" max="5479" width="17.85546875" style="1" customWidth="1"/>
    <col min="5480" max="5480" width="17" style="1" customWidth="1"/>
    <col min="5481" max="5481" width="16.42578125" style="1" customWidth="1"/>
    <col min="5482" max="5482" width="16.140625" style="1" customWidth="1"/>
    <col min="5483" max="5585" width="9.85546875" style="1"/>
    <col min="5586" max="5586" width="20.5703125" style="1" customWidth="1"/>
    <col min="5587" max="5587" width="22.7109375" style="1" customWidth="1"/>
    <col min="5588" max="5588" width="19.140625" style="1" customWidth="1"/>
    <col min="5589" max="5590" width="17.140625" style="1" customWidth="1"/>
    <col min="5591" max="5591" width="19.5703125" style="1" customWidth="1"/>
    <col min="5592" max="5593" width="16.28515625" style="1" customWidth="1"/>
    <col min="5594" max="5594" width="12" style="1" customWidth="1"/>
    <col min="5595" max="5595" width="13.42578125" style="1" customWidth="1"/>
    <col min="5596" max="5600" width="15.42578125" style="1" customWidth="1"/>
    <col min="5601" max="5604" width="14.5703125" style="1" customWidth="1"/>
    <col min="5605" max="5605" width="15" style="1" customWidth="1"/>
    <col min="5606" max="5606" width="14.5703125" style="1" customWidth="1"/>
    <col min="5607" max="5619" width="14.140625" style="1" customWidth="1"/>
    <col min="5620" max="5620" width="17.5703125" style="1" customWidth="1"/>
    <col min="5621" max="5621" width="13.140625" style="1" customWidth="1"/>
    <col min="5622" max="5622" width="14.28515625" style="1" customWidth="1"/>
    <col min="5623" max="5626" width="13.140625" style="1" customWidth="1"/>
    <col min="5627" max="5628" width="13.85546875" style="1" customWidth="1"/>
    <col min="5629" max="5663" width="15.140625" style="1" customWidth="1"/>
    <col min="5664" max="5675" width="13.140625" style="1" customWidth="1"/>
    <col min="5676" max="5676" width="18.28515625" style="1" customWidth="1"/>
    <col min="5677" max="5677" width="15.85546875" style="1" customWidth="1"/>
    <col min="5678" max="5679" width="16.140625" style="1" customWidth="1"/>
    <col min="5680" max="5681" width="16.28515625" style="1" customWidth="1"/>
    <col min="5682" max="5682" width="17.7109375" style="1" customWidth="1"/>
    <col min="5683" max="5683" width="16.28515625" style="1" customWidth="1"/>
    <col min="5684" max="5684" width="18.42578125" style="1" customWidth="1"/>
    <col min="5685" max="5685" width="19.140625" style="1" customWidth="1"/>
    <col min="5686" max="5686" width="18.28515625" style="1" customWidth="1"/>
    <col min="5687" max="5688" width="16.7109375" style="1" customWidth="1"/>
    <col min="5689" max="5692" width="13.140625" style="1" customWidth="1"/>
    <col min="5693" max="5693" width="18.42578125" style="1" customWidth="1"/>
    <col min="5694" max="5694" width="13.140625" style="1" customWidth="1"/>
    <col min="5695" max="5695" width="14.42578125" style="1" customWidth="1"/>
    <col min="5696" max="5696" width="16.28515625" style="1" customWidth="1"/>
    <col min="5697" max="5700" width="14.42578125" style="1" customWidth="1"/>
    <col min="5701" max="5702" width="13.140625" style="1" customWidth="1"/>
    <col min="5703" max="5703" width="15.5703125" style="1" customWidth="1"/>
    <col min="5704" max="5704" width="13.140625" style="1" customWidth="1"/>
    <col min="5705" max="5706" width="14.140625" style="1" customWidth="1"/>
    <col min="5707" max="5707" width="17.7109375" style="1" customWidth="1"/>
    <col min="5708" max="5709" width="13.140625" style="1" customWidth="1"/>
    <col min="5710" max="5710" width="17.140625" style="1" customWidth="1"/>
    <col min="5711" max="5711" width="13.140625" style="1" customWidth="1"/>
    <col min="5712" max="5712" width="14.140625" style="1" customWidth="1"/>
    <col min="5713" max="5713" width="13.140625" style="1" customWidth="1"/>
    <col min="5714" max="5715" width="12.42578125" style="1" customWidth="1"/>
    <col min="5716" max="5716" width="12.140625" style="1" customWidth="1"/>
    <col min="5717" max="5717" width="12.42578125" style="1" customWidth="1"/>
    <col min="5718" max="5718" width="12.140625" style="1" customWidth="1"/>
    <col min="5719" max="5720" width="16.140625" style="1" customWidth="1"/>
    <col min="5721" max="5721" width="16.85546875" style="1" customWidth="1"/>
    <col min="5722" max="5722" width="17.28515625" style="1" customWidth="1"/>
    <col min="5723" max="5723" width="17.42578125" style="1" customWidth="1"/>
    <col min="5724" max="5724" width="16.140625" style="1" customWidth="1"/>
    <col min="5725" max="5725" width="15.5703125" style="1" customWidth="1"/>
    <col min="5726" max="5726" width="17.85546875" style="1" customWidth="1"/>
    <col min="5727" max="5727" width="17.42578125" style="1" customWidth="1"/>
    <col min="5728" max="5728" width="17.28515625" style="1" customWidth="1"/>
    <col min="5729" max="5729" width="17" style="1" customWidth="1"/>
    <col min="5730" max="5730" width="15.5703125" style="1" customWidth="1"/>
    <col min="5731" max="5731" width="16.85546875" style="1" customWidth="1"/>
    <col min="5732" max="5732" width="16.7109375" style="1" customWidth="1"/>
    <col min="5733" max="5733" width="16.28515625" style="1" customWidth="1"/>
    <col min="5734" max="5734" width="17" style="1" customWidth="1"/>
    <col min="5735" max="5735" width="17.85546875" style="1" customWidth="1"/>
    <col min="5736" max="5736" width="17" style="1" customWidth="1"/>
    <col min="5737" max="5737" width="16.42578125" style="1" customWidth="1"/>
    <col min="5738" max="5738" width="16.140625" style="1" customWidth="1"/>
    <col min="5739" max="5841" width="9.85546875" style="1"/>
    <col min="5842" max="5842" width="20.5703125" style="1" customWidth="1"/>
    <col min="5843" max="5843" width="22.7109375" style="1" customWidth="1"/>
    <col min="5844" max="5844" width="19.140625" style="1" customWidth="1"/>
    <col min="5845" max="5846" width="17.140625" style="1" customWidth="1"/>
    <col min="5847" max="5847" width="19.5703125" style="1" customWidth="1"/>
    <col min="5848" max="5849" width="16.28515625" style="1" customWidth="1"/>
    <col min="5850" max="5850" width="12" style="1" customWidth="1"/>
    <col min="5851" max="5851" width="13.42578125" style="1" customWidth="1"/>
    <col min="5852" max="5856" width="15.42578125" style="1" customWidth="1"/>
    <col min="5857" max="5860" width="14.5703125" style="1" customWidth="1"/>
    <col min="5861" max="5861" width="15" style="1" customWidth="1"/>
    <col min="5862" max="5862" width="14.5703125" style="1" customWidth="1"/>
    <col min="5863" max="5875" width="14.140625" style="1" customWidth="1"/>
    <col min="5876" max="5876" width="17.5703125" style="1" customWidth="1"/>
    <col min="5877" max="5877" width="13.140625" style="1" customWidth="1"/>
    <col min="5878" max="5878" width="14.28515625" style="1" customWidth="1"/>
    <col min="5879" max="5882" width="13.140625" style="1" customWidth="1"/>
    <col min="5883" max="5884" width="13.85546875" style="1" customWidth="1"/>
    <col min="5885" max="5919" width="15.140625" style="1" customWidth="1"/>
    <col min="5920" max="5931" width="13.140625" style="1" customWidth="1"/>
    <col min="5932" max="5932" width="18.28515625" style="1" customWidth="1"/>
    <col min="5933" max="5933" width="15.85546875" style="1" customWidth="1"/>
    <col min="5934" max="5935" width="16.140625" style="1" customWidth="1"/>
    <col min="5936" max="5937" width="16.28515625" style="1" customWidth="1"/>
    <col min="5938" max="5938" width="17.7109375" style="1" customWidth="1"/>
    <col min="5939" max="5939" width="16.28515625" style="1" customWidth="1"/>
    <col min="5940" max="5940" width="18.42578125" style="1" customWidth="1"/>
    <col min="5941" max="5941" width="19.140625" style="1" customWidth="1"/>
    <col min="5942" max="5942" width="18.28515625" style="1" customWidth="1"/>
    <col min="5943" max="5944" width="16.7109375" style="1" customWidth="1"/>
    <col min="5945" max="5948" width="13.140625" style="1" customWidth="1"/>
    <col min="5949" max="5949" width="18.42578125" style="1" customWidth="1"/>
    <col min="5950" max="5950" width="13.140625" style="1" customWidth="1"/>
    <col min="5951" max="5951" width="14.42578125" style="1" customWidth="1"/>
    <col min="5952" max="5952" width="16.28515625" style="1" customWidth="1"/>
    <col min="5953" max="5956" width="14.42578125" style="1" customWidth="1"/>
    <col min="5957" max="5958" width="13.140625" style="1" customWidth="1"/>
    <col min="5959" max="5959" width="15.5703125" style="1" customWidth="1"/>
    <col min="5960" max="5960" width="13.140625" style="1" customWidth="1"/>
    <col min="5961" max="5962" width="14.140625" style="1" customWidth="1"/>
    <col min="5963" max="5963" width="17.7109375" style="1" customWidth="1"/>
    <col min="5964" max="5965" width="13.140625" style="1" customWidth="1"/>
    <col min="5966" max="5966" width="17.140625" style="1" customWidth="1"/>
    <col min="5967" max="5967" width="13.140625" style="1" customWidth="1"/>
    <col min="5968" max="5968" width="14.140625" style="1" customWidth="1"/>
    <col min="5969" max="5969" width="13.140625" style="1" customWidth="1"/>
    <col min="5970" max="5971" width="12.42578125" style="1" customWidth="1"/>
    <col min="5972" max="5972" width="12.140625" style="1" customWidth="1"/>
    <col min="5973" max="5973" width="12.42578125" style="1" customWidth="1"/>
    <col min="5974" max="5974" width="12.140625" style="1" customWidth="1"/>
    <col min="5975" max="5976" width="16.140625" style="1" customWidth="1"/>
    <col min="5977" max="5977" width="16.85546875" style="1" customWidth="1"/>
    <col min="5978" max="5978" width="17.28515625" style="1" customWidth="1"/>
    <col min="5979" max="5979" width="17.42578125" style="1" customWidth="1"/>
    <col min="5980" max="5980" width="16.140625" style="1" customWidth="1"/>
    <col min="5981" max="5981" width="15.5703125" style="1" customWidth="1"/>
    <col min="5982" max="5982" width="17.85546875" style="1" customWidth="1"/>
    <col min="5983" max="5983" width="17.42578125" style="1" customWidth="1"/>
    <col min="5984" max="5984" width="17.28515625" style="1" customWidth="1"/>
    <col min="5985" max="5985" width="17" style="1" customWidth="1"/>
    <col min="5986" max="5986" width="15.5703125" style="1" customWidth="1"/>
    <col min="5987" max="5987" width="16.85546875" style="1" customWidth="1"/>
    <col min="5988" max="5988" width="16.7109375" style="1" customWidth="1"/>
    <col min="5989" max="5989" width="16.28515625" style="1" customWidth="1"/>
    <col min="5990" max="5990" width="17" style="1" customWidth="1"/>
    <col min="5991" max="5991" width="17.85546875" style="1" customWidth="1"/>
    <col min="5992" max="5992" width="17" style="1" customWidth="1"/>
    <col min="5993" max="5993" width="16.42578125" style="1" customWidth="1"/>
    <col min="5994" max="5994" width="16.140625" style="1" customWidth="1"/>
    <col min="5995" max="6097" width="9.85546875" style="1"/>
    <col min="6098" max="6098" width="20.5703125" style="1" customWidth="1"/>
    <col min="6099" max="6099" width="22.7109375" style="1" customWidth="1"/>
    <col min="6100" max="6100" width="19.140625" style="1" customWidth="1"/>
    <col min="6101" max="6102" width="17.140625" style="1" customWidth="1"/>
    <col min="6103" max="6103" width="19.5703125" style="1" customWidth="1"/>
    <col min="6104" max="6105" width="16.28515625" style="1" customWidth="1"/>
    <col min="6106" max="6106" width="12" style="1" customWidth="1"/>
    <col min="6107" max="6107" width="13.42578125" style="1" customWidth="1"/>
    <col min="6108" max="6112" width="15.42578125" style="1" customWidth="1"/>
    <col min="6113" max="6116" width="14.5703125" style="1" customWidth="1"/>
    <col min="6117" max="6117" width="15" style="1" customWidth="1"/>
    <col min="6118" max="6118" width="14.5703125" style="1" customWidth="1"/>
    <col min="6119" max="6131" width="14.140625" style="1" customWidth="1"/>
    <col min="6132" max="6132" width="17.5703125" style="1" customWidth="1"/>
    <col min="6133" max="6133" width="13.140625" style="1" customWidth="1"/>
    <col min="6134" max="6134" width="14.28515625" style="1" customWidth="1"/>
    <col min="6135" max="6138" width="13.140625" style="1" customWidth="1"/>
    <col min="6139" max="6140" width="13.85546875" style="1" customWidth="1"/>
    <col min="6141" max="6175" width="15.140625" style="1" customWidth="1"/>
    <col min="6176" max="6187" width="13.140625" style="1" customWidth="1"/>
    <col min="6188" max="6188" width="18.28515625" style="1" customWidth="1"/>
    <col min="6189" max="6189" width="15.85546875" style="1" customWidth="1"/>
    <col min="6190" max="6191" width="16.140625" style="1" customWidth="1"/>
    <col min="6192" max="6193" width="16.28515625" style="1" customWidth="1"/>
    <col min="6194" max="6194" width="17.7109375" style="1" customWidth="1"/>
    <col min="6195" max="6195" width="16.28515625" style="1" customWidth="1"/>
    <col min="6196" max="6196" width="18.42578125" style="1" customWidth="1"/>
    <col min="6197" max="6197" width="19.140625" style="1" customWidth="1"/>
    <col min="6198" max="6198" width="18.28515625" style="1" customWidth="1"/>
    <col min="6199" max="6200" width="16.7109375" style="1" customWidth="1"/>
    <col min="6201" max="6204" width="13.140625" style="1" customWidth="1"/>
    <col min="6205" max="6205" width="18.42578125" style="1" customWidth="1"/>
    <col min="6206" max="6206" width="13.140625" style="1" customWidth="1"/>
    <col min="6207" max="6207" width="14.42578125" style="1" customWidth="1"/>
    <col min="6208" max="6208" width="16.28515625" style="1" customWidth="1"/>
    <col min="6209" max="6212" width="14.42578125" style="1" customWidth="1"/>
    <col min="6213" max="6214" width="13.140625" style="1" customWidth="1"/>
    <col min="6215" max="6215" width="15.5703125" style="1" customWidth="1"/>
    <col min="6216" max="6216" width="13.140625" style="1" customWidth="1"/>
    <col min="6217" max="6218" width="14.140625" style="1" customWidth="1"/>
    <col min="6219" max="6219" width="17.7109375" style="1" customWidth="1"/>
    <col min="6220" max="6221" width="13.140625" style="1" customWidth="1"/>
    <col min="6222" max="6222" width="17.140625" style="1" customWidth="1"/>
    <col min="6223" max="6223" width="13.140625" style="1" customWidth="1"/>
    <col min="6224" max="6224" width="14.140625" style="1" customWidth="1"/>
    <col min="6225" max="6225" width="13.140625" style="1" customWidth="1"/>
    <col min="6226" max="6227" width="12.42578125" style="1" customWidth="1"/>
    <col min="6228" max="6228" width="12.140625" style="1" customWidth="1"/>
    <col min="6229" max="6229" width="12.42578125" style="1" customWidth="1"/>
    <col min="6230" max="6230" width="12.140625" style="1" customWidth="1"/>
    <col min="6231" max="6232" width="16.140625" style="1" customWidth="1"/>
    <col min="6233" max="6233" width="16.85546875" style="1" customWidth="1"/>
    <col min="6234" max="6234" width="17.28515625" style="1" customWidth="1"/>
    <col min="6235" max="6235" width="17.42578125" style="1" customWidth="1"/>
    <col min="6236" max="6236" width="16.140625" style="1" customWidth="1"/>
    <col min="6237" max="6237" width="15.5703125" style="1" customWidth="1"/>
    <col min="6238" max="6238" width="17.85546875" style="1" customWidth="1"/>
    <col min="6239" max="6239" width="17.42578125" style="1" customWidth="1"/>
    <col min="6240" max="6240" width="17.28515625" style="1" customWidth="1"/>
    <col min="6241" max="6241" width="17" style="1" customWidth="1"/>
    <col min="6242" max="6242" width="15.5703125" style="1" customWidth="1"/>
    <col min="6243" max="6243" width="16.85546875" style="1" customWidth="1"/>
    <col min="6244" max="6244" width="16.7109375" style="1" customWidth="1"/>
    <col min="6245" max="6245" width="16.28515625" style="1" customWidth="1"/>
    <col min="6246" max="6246" width="17" style="1" customWidth="1"/>
    <col min="6247" max="6247" width="17.85546875" style="1" customWidth="1"/>
    <col min="6248" max="6248" width="17" style="1" customWidth="1"/>
    <col min="6249" max="6249" width="16.42578125" style="1" customWidth="1"/>
    <col min="6250" max="6250" width="16.140625" style="1" customWidth="1"/>
    <col min="6251" max="6353" width="9.85546875" style="1"/>
    <col min="6354" max="6354" width="20.5703125" style="1" customWidth="1"/>
    <col min="6355" max="6355" width="22.7109375" style="1" customWidth="1"/>
    <col min="6356" max="6356" width="19.140625" style="1" customWidth="1"/>
    <col min="6357" max="6358" width="17.140625" style="1" customWidth="1"/>
    <col min="6359" max="6359" width="19.5703125" style="1" customWidth="1"/>
    <col min="6360" max="6361" width="16.28515625" style="1" customWidth="1"/>
    <col min="6362" max="6362" width="12" style="1" customWidth="1"/>
    <col min="6363" max="6363" width="13.42578125" style="1" customWidth="1"/>
    <col min="6364" max="6368" width="15.42578125" style="1" customWidth="1"/>
    <col min="6369" max="6372" width="14.5703125" style="1" customWidth="1"/>
    <col min="6373" max="6373" width="15" style="1" customWidth="1"/>
    <col min="6374" max="6374" width="14.5703125" style="1" customWidth="1"/>
    <col min="6375" max="6387" width="14.140625" style="1" customWidth="1"/>
    <col min="6388" max="6388" width="17.5703125" style="1" customWidth="1"/>
    <col min="6389" max="6389" width="13.140625" style="1" customWidth="1"/>
    <col min="6390" max="6390" width="14.28515625" style="1" customWidth="1"/>
    <col min="6391" max="6394" width="13.140625" style="1" customWidth="1"/>
    <col min="6395" max="6396" width="13.85546875" style="1" customWidth="1"/>
    <col min="6397" max="6431" width="15.140625" style="1" customWidth="1"/>
    <col min="6432" max="6443" width="13.140625" style="1" customWidth="1"/>
    <col min="6444" max="6444" width="18.28515625" style="1" customWidth="1"/>
    <col min="6445" max="6445" width="15.85546875" style="1" customWidth="1"/>
    <col min="6446" max="6447" width="16.140625" style="1" customWidth="1"/>
    <col min="6448" max="6449" width="16.28515625" style="1" customWidth="1"/>
    <col min="6450" max="6450" width="17.7109375" style="1" customWidth="1"/>
    <col min="6451" max="6451" width="16.28515625" style="1" customWidth="1"/>
    <col min="6452" max="6452" width="18.42578125" style="1" customWidth="1"/>
    <col min="6453" max="6453" width="19.140625" style="1" customWidth="1"/>
    <col min="6454" max="6454" width="18.28515625" style="1" customWidth="1"/>
    <col min="6455" max="6456" width="16.7109375" style="1" customWidth="1"/>
    <col min="6457" max="6460" width="13.140625" style="1" customWidth="1"/>
    <col min="6461" max="6461" width="18.42578125" style="1" customWidth="1"/>
    <col min="6462" max="6462" width="13.140625" style="1" customWidth="1"/>
    <col min="6463" max="6463" width="14.42578125" style="1" customWidth="1"/>
    <col min="6464" max="6464" width="16.28515625" style="1" customWidth="1"/>
    <col min="6465" max="6468" width="14.42578125" style="1" customWidth="1"/>
    <col min="6469" max="6470" width="13.140625" style="1" customWidth="1"/>
    <col min="6471" max="6471" width="15.5703125" style="1" customWidth="1"/>
    <col min="6472" max="6472" width="13.140625" style="1" customWidth="1"/>
    <col min="6473" max="6474" width="14.140625" style="1" customWidth="1"/>
    <col min="6475" max="6475" width="17.7109375" style="1" customWidth="1"/>
    <col min="6476" max="6477" width="13.140625" style="1" customWidth="1"/>
    <col min="6478" max="6478" width="17.140625" style="1" customWidth="1"/>
    <col min="6479" max="6479" width="13.140625" style="1" customWidth="1"/>
    <col min="6480" max="6480" width="14.140625" style="1" customWidth="1"/>
    <col min="6481" max="6481" width="13.140625" style="1" customWidth="1"/>
    <col min="6482" max="6483" width="12.42578125" style="1" customWidth="1"/>
    <col min="6484" max="6484" width="12.140625" style="1" customWidth="1"/>
    <col min="6485" max="6485" width="12.42578125" style="1" customWidth="1"/>
    <col min="6486" max="6486" width="12.140625" style="1" customWidth="1"/>
    <col min="6487" max="6488" width="16.140625" style="1" customWidth="1"/>
    <col min="6489" max="6489" width="16.85546875" style="1" customWidth="1"/>
    <col min="6490" max="6490" width="17.28515625" style="1" customWidth="1"/>
    <col min="6491" max="6491" width="17.42578125" style="1" customWidth="1"/>
    <col min="6492" max="6492" width="16.140625" style="1" customWidth="1"/>
    <col min="6493" max="6493" width="15.5703125" style="1" customWidth="1"/>
    <col min="6494" max="6494" width="17.85546875" style="1" customWidth="1"/>
    <col min="6495" max="6495" width="17.42578125" style="1" customWidth="1"/>
    <col min="6496" max="6496" width="17.28515625" style="1" customWidth="1"/>
    <col min="6497" max="6497" width="17" style="1" customWidth="1"/>
    <col min="6498" max="6498" width="15.5703125" style="1" customWidth="1"/>
    <col min="6499" max="6499" width="16.85546875" style="1" customWidth="1"/>
    <col min="6500" max="6500" width="16.7109375" style="1" customWidth="1"/>
    <col min="6501" max="6501" width="16.28515625" style="1" customWidth="1"/>
    <col min="6502" max="6502" width="17" style="1" customWidth="1"/>
    <col min="6503" max="6503" width="17.85546875" style="1" customWidth="1"/>
    <col min="6504" max="6504" width="17" style="1" customWidth="1"/>
    <col min="6505" max="6505" width="16.42578125" style="1" customWidth="1"/>
    <col min="6506" max="6506" width="16.140625" style="1" customWidth="1"/>
    <col min="6507" max="6609" width="9.85546875" style="1"/>
    <col min="6610" max="6610" width="20.5703125" style="1" customWidth="1"/>
    <col min="6611" max="6611" width="22.7109375" style="1" customWidth="1"/>
    <col min="6612" max="6612" width="19.140625" style="1" customWidth="1"/>
    <col min="6613" max="6614" width="17.140625" style="1" customWidth="1"/>
    <col min="6615" max="6615" width="19.5703125" style="1" customWidth="1"/>
    <col min="6616" max="6617" width="16.28515625" style="1" customWidth="1"/>
    <col min="6618" max="6618" width="12" style="1" customWidth="1"/>
    <col min="6619" max="6619" width="13.42578125" style="1" customWidth="1"/>
    <col min="6620" max="6624" width="15.42578125" style="1" customWidth="1"/>
    <col min="6625" max="6628" width="14.5703125" style="1" customWidth="1"/>
    <col min="6629" max="6629" width="15" style="1" customWidth="1"/>
    <col min="6630" max="6630" width="14.5703125" style="1" customWidth="1"/>
    <col min="6631" max="6643" width="14.140625" style="1" customWidth="1"/>
    <col min="6644" max="6644" width="17.5703125" style="1" customWidth="1"/>
    <col min="6645" max="6645" width="13.140625" style="1" customWidth="1"/>
    <col min="6646" max="6646" width="14.28515625" style="1" customWidth="1"/>
    <col min="6647" max="6650" width="13.140625" style="1" customWidth="1"/>
    <col min="6651" max="6652" width="13.85546875" style="1" customWidth="1"/>
    <col min="6653" max="6687" width="15.140625" style="1" customWidth="1"/>
    <col min="6688" max="6699" width="13.140625" style="1" customWidth="1"/>
    <col min="6700" max="6700" width="18.28515625" style="1" customWidth="1"/>
    <col min="6701" max="6701" width="15.85546875" style="1" customWidth="1"/>
    <col min="6702" max="6703" width="16.140625" style="1" customWidth="1"/>
    <col min="6704" max="6705" width="16.28515625" style="1" customWidth="1"/>
    <col min="6706" max="6706" width="17.7109375" style="1" customWidth="1"/>
    <col min="6707" max="6707" width="16.28515625" style="1" customWidth="1"/>
    <col min="6708" max="6708" width="18.42578125" style="1" customWidth="1"/>
    <col min="6709" max="6709" width="19.140625" style="1" customWidth="1"/>
    <col min="6710" max="6710" width="18.28515625" style="1" customWidth="1"/>
    <col min="6711" max="6712" width="16.7109375" style="1" customWidth="1"/>
    <col min="6713" max="6716" width="13.140625" style="1" customWidth="1"/>
    <col min="6717" max="6717" width="18.42578125" style="1" customWidth="1"/>
    <col min="6718" max="6718" width="13.140625" style="1" customWidth="1"/>
    <col min="6719" max="6719" width="14.42578125" style="1" customWidth="1"/>
    <col min="6720" max="6720" width="16.28515625" style="1" customWidth="1"/>
    <col min="6721" max="6724" width="14.42578125" style="1" customWidth="1"/>
    <col min="6725" max="6726" width="13.140625" style="1" customWidth="1"/>
    <col min="6727" max="6727" width="15.5703125" style="1" customWidth="1"/>
    <col min="6728" max="6728" width="13.140625" style="1" customWidth="1"/>
    <col min="6729" max="6730" width="14.140625" style="1" customWidth="1"/>
    <col min="6731" max="6731" width="17.7109375" style="1" customWidth="1"/>
    <col min="6732" max="6733" width="13.140625" style="1" customWidth="1"/>
    <col min="6734" max="6734" width="17.140625" style="1" customWidth="1"/>
    <col min="6735" max="6735" width="13.140625" style="1" customWidth="1"/>
    <col min="6736" max="6736" width="14.140625" style="1" customWidth="1"/>
    <col min="6737" max="6737" width="13.140625" style="1" customWidth="1"/>
    <col min="6738" max="6739" width="12.42578125" style="1" customWidth="1"/>
    <col min="6740" max="6740" width="12.140625" style="1" customWidth="1"/>
    <col min="6741" max="6741" width="12.42578125" style="1" customWidth="1"/>
    <col min="6742" max="6742" width="12.140625" style="1" customWidth="1"/>
    <col min="6743" max="6744" width="16.140625" style="1" customWidth="1"/>
    <col min="6745" max="6745" width="16.85546875" style="1" customWidth="1"/>
    <col min="6746" max="6746" width="17.28515625" style="1" customWidth="1"/>
    <col min="6747" max="6747" width="17.42578125" style="1" customWidth="1"/>
    <col min="6748" max="6748" width="16.140625" style="1" customWidth="1"/>
    <col min="6749" max="6749" width="15.5703125" style="1" customWidth="1"/>
    <col min="6750" max="6750" width="17.85546875" style="1" customWidth="1"/>
    <col min="6751" max="6751" width="17.42578125" style="1" customWidth="1"/>
    <col min="6752" max="6752" width="17.28515625" style="1" customWidth="1"/>
    <col min="6753" max="6753" width="17" style="1" customWidth="1"/>
    <col min="6754" max="6754" width="15.5703125" style="1" customWidth="1"/>
    <col min="6755" max="6755" width="16.85546875" style="1" customWidth="1"/>
    <col min="6756" max="6756" width="16.7109375" style="1" customWidth="1"/>
    <col min="6757" max="6757" width="16.28515625" style="1" customWidth="1"/>
    <col min="6758" max="6758" width="17" style="1" customWidth="1"/>
    <col min="6759" max="6759" width="17.85546875" style="1" customWidth="1"/>
    <col min="6760" max="6760" width="17" style="1" customWidth="1"/>
    <col min="6761" max="6761" width="16.42578125" style="1" customWidth="1"/>
    <col min="6762" max="6762" width="16.140625" style="1" customWidth="1"/>
    <col min="6763" max="6865" width="9.85546875" style="1"/>
    <col min="6866" max="6866" width="20.5703125" style="1" customWidth="1"/>
    <col min="6867" max="6867" width="22.7109375" style="1" customWidth="1"/>
    <col min="6868" max="6868" width="19.140625" style="1" customWidth="1"/>
    <col min="6869" max="6870" width="17.140625" style="1" customWidth="1"/>
    <col min="6871" max="6871" width="19.5703125" style="1" customWidth="1"/>
    <col min="6872" max="6873" width="16.28515625" style="1" customWidth="1"/>
    <col min="6874" max="6874" width="12" style="1" customWidth="1"/>
    <col min="6875" max="6875" width="13.42578125" style="1" customWidth="1"/>
    <col min="6876" max="6880" width="15.42578125" style="1" customWidth="1"/>
    <col min="6881" max="6884" width="14.5703125" style="1" customWidth="1"/>
    <col min="6885" max="6885" width="15" style="1" customWidth="1"/>
    <col min="6886" max="6886" width="14.5703125" style="1" customWidth="1"/>
    <col min="6887" max="6899" width="14.140625" style="1" customWidth="1"/>
    <col min="6900" max="6900" width="17.5703125" style="1" customWidth="1"/>
    <col min="6901" max="6901" width="13.140625" style="1" customWidth="1"/>
    <col min="6902" max="6902" width="14.28515625" style="1" customWidth="1"/>
    <col min="6903" max="6906" width="13.140625" style="1" customWidth="1"/>
    <col min="6907" max="6908" width="13.85546875" style="1" customWidth="1"/>
    <col min="6909" max="6943" width="15.140625" style="1" customWidth="1"/>
    <col min="6944" max="6955" width="13.140625" style="1" customWidth="1"/>
    <col min="6956" max="6956" width="18.28515625" style="1" customWidth="1"/>
    <col min="6957" max="6957" width="15.85546875" style="1" customWidth="1"/>
    <col min="6958" max="6959" width="16.140625" style="1" customWidth="1"/>
    <col min="6960" max="6961" width="16.28515625" style="1" customWidth="1"/>
    <col min="6962" max="6962" width="17.7109375" style="1" customWidth="1"/>
    <col min="6963" max="6963" width="16.28515625" style="1" customWidth="1"/>
    <col min="6964" max="6964" width="18.42578125" style="1" customWidth="1"/>
    <col min="6965" max="6965" width="19.140625" style="1" customWidth="1"/>
    <col min="6966" max="6966" width="18.28515625" style="1" customWidth="1"/>
    <col min="6967" max="6968" width="16.7109375" style="1" customWidth="1"/>
    <col min="6969" max="6972" width="13.140625" style="1" customWidth="1"/>
    <col min="6973" max="6973" width="18.42578125" style="1" customWidth="1"/>
    <col min="6974" max="6974" width="13.140625" style="1" customWidth="1"/>
    <col min="6975" max="6975" width="14.42578125" style="1" customWidth="1"/>
    <col min="6976" max="6976" width="16.28515625" style="1" customWidth="1"/>
    <col min="6977" max="6980" width="14.42578125" style="1" customWidth="1"/>
    <col min="6981" max="6982" width="13.140625" style="1" customWidth="1"/>
    <col min="6983" max="6983" width="15.5703125" style="1" customWidth="1"/>
    <col min="6984" max="6984" width="13.140625" style="1" customWidth="1"/>
    <col min="6985" max="6986" width="14.140625" style="1" customWidth="1"/>
    <col min="6987" max="6987" width="17.7109375" style="1" customWidth="1"/>
    <col min="6988" max="6989" width="13.140625" style="1" customWidth="1"/>
    <col min="6990" max="6990" width="17.140625" style="1" customWidth="1"/>
    <col min="6991" max="6991" width="13.140625" style="1" customWidth="1"/>
    <col min="6992" max="6992" width="14.140625" style="1" customWidth="1"/>
    <col min="6993" max="6993" width="13.140625" style="1" customWidth="1"/>
    <col min="6994" max="6995" width="12.42578125" style="1" customWidth="1"/>
    <col min="6996" max="6996" width="12.140625" style="1" customWidth="1"/>
    <col min="6997" max="6997" width="12.42578125" style="1" customWidth="1"/>
    <col min="6998" max="6998" width="12.140625" style="1" customWidth="1"/>
    <col min="6999" max="7000" width="16.140625" style="1" customWidth="1"/>
    <col min="7001" max="7001" width="16.85546875" style="1" customWidth="1"/>
    <col min="7002" max="7002" width="17.28515625" style="1" customWidth="1"/>
    <col min="7003" max="7003" width="17.42578125" style="1" customWidth="1"/>
    <col min="7004" max="7004" width="16.140625" style="1" customWidth="1"/>
    <col min="7005" max="7005" width="15.5703125" style="1" customWidth="1"/>
    <col min="7006" max="7006" width="17.85546875" style="1" customWidth="1"/>
    <col min="7007" max="7007" width="17.42578125" style="1" customWidth="1"/>
    <col min="7008" max="7008" width="17.28515625" style="1" customWidth="1"/>
    <col min="7009" max="7009" width="17" style="1" customWidth="1"/>
    <col min="7010" max="7010" width="15.5703125" style="1" customWidth="1"/>
    <col min="7011" max="7011" width="16.85546875" style="1" customWidth="1"/>
    <col min="7012" max="7012" width="16.7109375" style="1" customWidth="1"/>
    <col min="7013" max="7013" width="16.28515625" style="1" customWidth="1"/>
    <col min="7014" max="7014" width="17" style="1" customWidth="1"/>
    <col min="7015" max="7015" width="17.85546875" style="1" customWidth="1"/>
    <col min="7016" max="7016" width="17" style="1" customWidth="1"/>
    <col min="7017" max="7017" width="16.42578125" style="1" customWidth="1"/>
    <col min="7018" max="7018" width="16.140625" style="1" customWidth="1"/>
    <col min="7019" max="7121" width="9.85546875" style="1"/>
    <col min="7122" max="7122" width="20.5703125" style="1" customWidth="1"/>
    <col min="7123" max="7123" width="22.7109375" style="1" customWidth="1"/>
    <col min="7124" max="7124" width="19.140625" style="1" customWidth="1"/>
    <col min="7125" max="7126" width="17.140625" style="1" customWidth="1"/>
    <col min="7127" max="7127" width="19.5703125" style="1" customWidth="1"/>
    <col min="7128" max="7129" width="16.28515625" style="1" customWidth="1"/>
    <col min="7130" max="7130" width="12" style="1" customWidth="1"/>
    <col min="7131" max="7131" width="13.42578125" style="1" customWidth="1"/>
    <col min="7132" max="7136" width="15.42578125" style="1" customWidth="1"/>
    <col min="7137" max="7140" width="14.5703125" style="1" customWidth="1"/>
    <col min="7141" max="7141" width="15" style="1" customWidth="1"/>
    <col min="7142" max="7142" width="14.5703125" style="1" customWidth="1"/>
    <col min="7143" max="7155" width="14.140625" style="1" customWidth="1"/>
    <col min="7156" max="7156" width="17.5703125" style="1" customWidth="1"/>
    <col min="7157" max="7157" width="13.140625" style="1" customWidth="1"/>
    <col min="7158" max="7158" width="14.28515625" style="1" customWidth="1"/>
    <col min="7159" max="7162" width="13.140625" style="1" customWidth="1"/>
    <col min="7163" max="7164" width="13.85546875" style="1" customWidth="1"/>
    <col min="7165" max="7199" width="15.140625" style="1" customWidth="1"/>
    <col min="7200" max="7211" width="13.140625" style="1" customWidth="1"/>
    <col min="7212" max="7212" width="18.28515625" style="1" customWidth="1"/>
    <col min="7213" max="7213" width="15.85546875" style="1" customWidth="1"/>
    <col min="7214" max="7215" width="16.140625" style="1" customWidth="1"/>
    <col min="7216" max="7217" width="16.28515625" style="1" customWidth="1"/>
    <col min="7218" max="7218" width="17.7109375" style="1" customWidth="1"/>
    <col min="7219" max="7219" width="16.28515625" style="1" customWidth="1"/>
    <col min="7220" max="7220" width="18.42578125" style="1" customWidth="1"/>
    <col min="7221" max="7221" width="19.140625" style="1" customWidth="1"/>
    <col min="7222" max="7222" width="18.28515625" style="1" customWidth="1"/>
    <col min="7223" max="7224" width="16.7109375" style="1" customWidth="1"/>
    <col min="7225" max="7228" width="13.140625" style="1" customWidth="1"/>
    <col min="7229" max="7229" width="18.42578125" style="1" customWidth="1"/>
    <col min="7230" max="7230" width="13.140625" style="1" customWidth="1"/>
    <col min="7231" max="7231" width="14.42578125" style="1" customWidth="1"/>
    <col min="7232" max="7232" width="16.28515625" style="1" customWidth="1"/>
    <col min="7233" max="7236" width="14.42578125" style="1" customWidth="1"/>
    <col min="7237" max="7238" width="13.140625" style="1" customWidth="1"/>
    <col min="7239" max="7239" width="15.5703125" style="1" customWidth="1"/>
    <col min="7240" max="7240" width="13.140625" style="1" customWidth="1"/>
    <col min="7241" max="7242" width="14.140625" style="1" customWidth="1"/>
    <col min="7243" max="7243" width="17.7109375" style="1" customWidth="1"/>
    <col min="7244" max="7245" width="13.140625" style="1" customWidth="1"/>
    <col min="7246" max="7246" width="17.140625" style="1" customWidth="1"/>
    <col min="7247" max="7247" width="13.140625" style="1" customWidth="1"/>
    <col min="7248" max="7248" width="14.140625" style="1" customWidth="1"/>
    <col min="7249" max="7249" width="13.140625" style="1" customWidth="1"/>
    <col min="7250" max="7251" width="12.42578125" style="1" customWidth="1"/>
    <col min="7252" max="7252" width="12.140625" style="1" customWidth="1"/>
    <col min="7253" max="7253" width="12.42578125" style="1" customWidth="1"/>
    <col min="7254" max="7254" width="12.140625" style="1" customWidth="1"/>
    <col min="7255" max="7256" width="16.140625" style="1" customWidth="1"/>
    <col min="7257" max="7257" width="16.85546875" style="1" customWidth="1"/>
    <col min="7258" max="7258" width="17.28515625" style="1" customWidth="1"/>
    <col min="7259" max="7259" width="17.42578125" style="1" customWidth="1"/>
    <col min="7260" max="7260" width="16.140625" style="1" customWidth="1"/>
    <col min="7261" max="7261" width="15.5703125" style="1" customWidth="1"/>
    <col min="7262" max="7262" width="17.85546875" style="1" customWidth="1"/>
    <col min="7263" max="7263" width="17.42578125" style="1" customWidth="1"/>
    <col min="7264" max="7264" width="17.28515625" style="1" customWidth="1"/>
    <col min="7265" max="7265" width="17" style="1" customWidth="1"/>
    <col min="7266" max="7266" width="15.5703125" style="1" customWidth="1"/>
    <col min="7267" max="7267" width="16.85546875" style="1" customWidth="1"/>
    <col min="7268" max="7268" width="16.7109375" style="1" customWidth="1"/>
    <col min="7269" max="7269" width="16.28515625" style="1" customWidth="1"/>
    <col min="7270" max="7270" width="17" style="1" customWidth="1"/>
    <col min="7271" max="7271" width="17.85546875" style="1" customWidth="1"/>
    <col min="7272" max="7272" width="17" style="1" customWidth="1"/>
    <col min="7273" max="7273" width="16.42578125" style="1" customWidth="1"/>
    <col min="7274" max="7274" width="16.140625" style="1" customWidth="1"/>
    <col min="7275" max="7377" width="9.85546875" style="1"/>
    <col min="7378" max="7378" width="20.5703125" style="1" customWidth="1"/>
    <col min="7379" max="7379" width="22.7109375" style="1" customWidth="1"/>
    <col min="7380" max="7380" width="19.140625" style="1" customWidth="1"/>
    <col min="7381" max="7382" width="17.140625" style="1" customWidth="1"/>
    <col min="7383" max="7383" width="19.5703125" style="1" customWidth="1"/>
    <col min="7384" max="7385" width="16.28515625" style="1" customWidth="1"/>
    <col min="7386" max="7386" width="12" style="1" customWidth="1"/>
    <col min="7387" max="7387" width="13.42578125" style="1" customWidth="1"/>
    <col min="7388" max="7392" width="15.42578125" style="1" customWidth="1"/>
    <col min="7393" max="7396" width="14.5703125" style="1" customWidth="1"/>
    <col min="7397" max="7397" width="15" style="1" customWidth="1"/>
    <col min="7398" max="7398" width="14.5703125" style="1" customWidth="1"/>
    <col min="7399" max="7411" width="14.140625" style="1" customWidth="1"/>
    <col min="7412" max="7412" width="17.5703125" style="1" customWidth="1"/>
    <col min="7413" max="7413" width="13.140625" style="1" customWidth="1"/>
    <col min="7414" max="7414" width="14.28515625" style="1" customWidth="1"/>
    <col min="7415" max="7418" width="13.140625" style="1" customWidth="1"/>
    <col min="7419" max="7420" width="13.85546875" style="1" customWidth="1"/>
    <col min="7421" max="7455" width="15.140625" style="1" customWidth="1"/>
    <col min="7456" max="7467" width="13.140625" style="1" customWidth="1"/>
    <col min="7468" max="7468" width="18.28515625" style="1" customWidth="1"/>
    <col min="7469" max="7469" width="15.85546875" style="1" customWidth="1"/>
    <col min="7470" max="7471" width="16.140625" style="1" customWidth="1"/>
    <col min="7472" max="7473" width="16.28515625" style="1" customWidth="1"/>
    <col min="7474" max="7474" width="17.7109375" style="1" customWidth="1"/>
    <col min="7475" max="7475" width="16.28515625" style="1" customWidth="1"/>
    <col min="7476" max="7476" width="18.42578125" style="1" customWidth="1"/>
    <col min="7477" max="7477" width="19.140625" style="1" customWidth="1"/>
    <col min="7478" max="7478" width="18.28515625" style="1" customWidth="1"/>
    <col min="7479" max="7480" width="16.7109375" style="1" customWidth="1"/>
    <col min="7481" max="7484" width="13.140625" style="1" customWidth="1"/>
    <col min="7485" max="7485" width="18.42578125" style="1" customWidth="1"/>
    <col min="7486" max="7486" width="13.140625" style="1" customWidth="1"/>
    <col min="7487" max="7487" width="14.42578125" style="1" customWidth="1"/>
    <col min="7488" max="7488" width="16.28515625" style="1" customWidth="1"/>
    <col min="7489" max="7492" width="14.42578125" style="1" customWidth="1"/>
    <col min="7493" max="7494" width="13.140625" style="1" customWidth="1"/>
    <col min="7495" max="7495" width="15.5703125" style="1" customWidth="1"/>
    <col min="7496" max="7496" width="13.140625" style="1" customWidth="1"/>
    <col min="7497" max="7498" width="14.140625" style="1" customWidth="1"/>
    <col min="7499" max="7499" width="17.7109375" style="1" customWidth="1"/>
    <col min="7500" max="7501" width="13.140625" style="1" customWidth="1"/>
    <col min="7502" max="7502" width="17.140625" style="1" customWidth="1"/>
    <col min="7503" max="7503" width="13.140625" style="1" customWidth="1"/>
    <col min="7504" max="7504" width="14.140625" style="1" customWidth="1"/>
    <col min="7505" max="7505" width="13.140625" style="1" customWidth="1"/>
    <col min="7506" max="7507" width="12.42578125" style="1" customWidth="1"/>
    <col min="7508" max="7508" width="12.140625" style="1" customWidth="1"/>
    <col min="7509" max="7509" width="12.42578125" style="1" customWidth="1"/>
    <col min="7510" max="7510" width="12.140625" style="1" customWidth="1"/>
    <col min="7511" max="7512" width="16.140625" style="1" customWidth="1"/>
    <col min="7513" max="7513" width="16.85546875" style="1" customWidth="1"/>
    <col min="7514" max="7514" width="17.28515625" style="1" customWidth="1"/>
    <col min="7515" max="7515" width="17.42578125" style="1" customWidth="1"/>
    <col min="7516" max="7516" width="16.140625" style="1" customWidth="1"/>
    <col min="7517" max="7517" width="15.5703125" style="1" customWidth="1"/>
    <col min="7518" max="7518" width="17.85546875" style="1" customWidth="1"/>
    <col min="7519" max="7519" width="17.42578125" style="1" customWidth="1"/>
    <col min="7520" max="7520" width="17.28515625" style="1" customWidth="1"/>
    <col min="7521" max="7521" width="17" style="1" customWidth="1"/>
    <col min="7522" max="7522" width="15.5703125" style="1" customWidth="1"/>
    <col min="7523" max="7523" width="16.85546875" style="1" customWidth="1"/>
    <col min="7524" max="7524" width="16.7109375" style="1" customWidth="1"/>
    <col min="7525" max="7525" width="16.28515625" style="1" customWidth="1"/>
    <col min="7526" max="7526" width="17" style="1" customWidth="1"/>
    <col min="7527" max="7527" width="17.85546875" style="1" customWidth="1"/>
    <col min="7528" max="7528" width="17" style="1" customWidth="1"/>
    <col min="7529" max="7529" width="16.42578125" style="1" customWidth="1"/>
    <col min="7530" max="7530" width="16.140625" style="1" customWidth="1"/>
    <col min="7531" max="7633" width="9.85546875" style="1"/>
    <col min="7634" max="7634" width="20.5703125" style="1" customWidth="1"/>
    <col min="7635" max="7635" width="22.7109375" style="1" customWidth="1"/>
    <col min="7636" max="7636" width="19.140625" style="1" customWidth="1"/>
    <col min="7637" max="7638" width="17.140625" style="1" customWidth="1"/>
    <col min="7639" max="7639" width="19.5703125" style="1" customWidth="1"/>
    <col min="7640" max="7641" width="16.28515625" style="1" customWidth="1"/>
    <col min="7642" max="7642" width="12" style="1" customWidth="1"/>
    <col min="7643" max="7643" width="13.42578125" style="1" customWidth="1"/>
    <col min="7644" max="7648" width="15.42578125" style="1" customWidth="1"/>
    <col min="7649" max="7652" width="14.5703125" style="1" customWidth="1"/>
    <col min="7653" max="7653" width="15" style="1" customWidth="1"/>
    <col min="7654" max="7654" width="14.5703125" style="1" customWidth="1"/>
    <col min="7655" max="7667" width="14.140625" style="1" customWidth="1"/>
    <col min="7668" max="7668" width="17.5703125" style="1" customWidth="1"/>
    <col min="7669" max="7669" width="13.140625" style="1" customWidth="1"/>
    <col min="7670" max="7670" width="14.28515625" style="1" customWidth="1"/>
    <col min="7671" max="7674" width="13.140625" style="1" customWidth="1"/>
    <col min="7675" max="7676" width="13.85546875" style="1" customWidth="1"/>
    <col min="7677" max="7711" width="15.140625" style="1" customWidth="1"/>
    <col min="7712" max="7723" width="13.140625" style="1" customWidth="1"/>
    <col min="7724" max="7724" width="18.28515625" style="1" customWidth="1"/>
    <col min="7725" max="7725" width="15.85546875" style="1" customWidth="1"/>
    <col min="7726" max="7727" width="16.140625" style="1" customWidth="1"/>
    <col min="7728" max="7729" width="16.28515625" style="1" customWidth="1"/>
    <col min="7730" max="7730" width="17.7109375" style="1" customWidth="1"/>
    <col min="7731" max="7731" width="16.28515625" style="1" customWidth="1"/>
    <col min="7732" max="7732" width="18.42578125" style="1" customWidth="1"/>
    <col min="7733" max="7733" width="19.140625" style="1" customWidth="1"/>
    <col min="7734" max="7734" width="18.28515625" style="1" customWidth="1"/>
    <col min="7735" max="7736" width="16.7109375" style="1" customWidth="1"/>
    <col min="7737" max="7740" width="13.140625" style="1" customWidth="1"/>
    <col min="7741" max="7741" width="18.42578125" style="1" customWidth="1"/>
    <col min="7742" max="7742" width="13.140625" style="1" customWidth="1"/>
    <col min="7743" max="7743" width="14.42578125" style="1" customWidth="1"/>
    <col min="7744" max="7744" width="16.28515625" style="1" customWidth="1"/>
    <col min="7745" max="7748" width="14.42578125" style="1" customWidth="1"/>
    <col min="7749" max="7750" width="13.140625" style="1" customWidth="1"/>
    <col min="7751" max="7751" width="15.5703125" style="1" customWidth="1"/>
    <col min="7752" max="7752" width="13.140625" style="1" customWidth="1"/>
    <col min="7753" max="7754" width="14.140625" style="1" customWidth="1"/>
    <col min="7755" max="7755" width="17.7109375" style="1" customWidth="1"/>
    <col min="7756" max="7757" width="13.140625" style="1" customWidth="1"/>
    <col min="7758" max="7758" width="17.140625" style="1" customWidth="1"/>
    <col min="7759" max="7759" width="13.140625" style="1" customWidth="1"/>
    <col min="7760" max="7760" width="14.140625" style="1" customWidth="1"/>
    <col min="7761" max="7761" width="13.140625" style="1" customWidth="1"/>
    <col min="7762" max="7763" width="12.42578125" style="1" customWidth="1"/>
    <col min="7764" max="7764" width="12.140625" style="1" customWidth="1"/>
    <col min="7765" max="7765" width="12.42578125" style="1" customWidth="1"/>
    <col min="7766" max="7766" width="12.140625" style="1" customWidth="1"/>
    <col min="7767" max="7768" width="16.140625" style="1" customWidth="1"/>
    <col min="7769" max="7769" width="16.85546875" style="1" customWidth="1"/>
    <col min="7770" max="7770" width="17.28515625" style="1" customWidth="1"/>
    <col min="7771" max="7771" width="17.42578125" style="1" customWidth="1"/>
    <col min="7772" max="7772" width="16.140625" style="1" customWidth="1"/>
    <col min="7773" max="7773" width="15.5703125" style="1" customWidth="1"/>
    <col min="7774" max="7774" width="17.85546875" style="1" customWidth="1"/>
    <col min="7775" max="7775" width="17.42578125" style="1" customWidth="1"/>
    <col min="7776" max="7776" width="17.28515625" style="1" customWidth="1"/>
    <col min="7777" max="7777" width="17" style="1" customWidth="1"/>
    <col min="7778" max="7778" width="15.5703125" style="1" customWidth="1"/>
    <col min="7779" max="7779" width="16.85546875" style="1" customWidth="1"/>
    <col min="7780" max="7780" width="16.7109375" style="1" customWidth="1"/>
    <col min="7781" max="7781" width="16.28515625" style="1" customWidth="1"/>
    <col min="7782" max="7782" width="17" style="1" customWidth="1"/>
    <col min="7783" max="7783" width="17.85546875" style="1" customWidth="1"/>
    <col min="7784" max="7784" width="17" style="1" customWidth="1"/>
    <col min="7785" max="7785" width="16.42578125" style="1" customWidth="1"/>
    <col min="7786" max="7786" width="16.140625" style="1" customWidth="1"/>
    <col min="7787" max="7889" width="9.85546875" style="1"/>
    <col min="7890" max="7890" width="20.5703125" style="1" customWidth="1"/>
    <col min="7891" max="7891" width="22.7109375" style="1" customWidth="1"/>
    <col min="7892" max="7892" width="19.140625" style="1" customWidth="1"/>
    <col min="7893" max="7894" width="17.140625" style="1" customWidth="1"/>
    <col min="7895" max="7895" width="19.5703125" style="1" customWidth="1"/>
    <col min="7896" max="7897" width="16.28515625" style="1" customWidth="1"/>
    <col min="7898" max="7898" width="12" style="1" customWidth="1"/>
    <col min="7899" max="7899" width="13.42578125" style="1" customWidth="1"/>
    <col min="7900" max="7904" width="15.42578125" style="1" customWidth="1"/>
    <col min="7905" max="7908" width="14.5703125" style="1" customWidth="1"/>
    <col min="7909" max="7909" width="15" style="1" customWidth="1"/>
    <col min="7910" max="7910" width="14.5703125" style="1" customWidth="1"/>
    <col min="7911" max="7923" width="14.140625" style="1" customWidth="1"/>
    <col min="7924" max="7924" width="17.5703125" style="1" customWidth="1"/>
    <col min="7925" max="7925" width="13.140625" style="1" customWidth="1"/>
    <col min="7926" max="7926" width="14.28515625" style="1" customWidth="1"/>
    <col min="7927" max="7930" width="13.140625" style="1" customWidth="1"/>
    <col min="7931" max="7932" width="13.85546875" style="1" customWidth="1"/>
    <col min="7933" max="7967" width="15.140625" style="1" customWidth="1"/>
    <col min="7968" max="7979" width="13.140625" style="1" customWidth="1"/>
    <col min="7980" max="7980" width="18.28515625" style="1" customWidth="1"/>
    <col min="7981" max="7981" width="15.85546875" style="1" customWidth="1"/>
    <col min="7982" max="7983" width="16.140625" style="1" customWidth="1"/>
    <col min="7984" max="7985" width="16.28515625" style="1" customWidth="1"/>
    <col min="7986" max="7986" width="17.7109375" style="1" customWidth="1"/>
    <col min="7987" max="7987" width="16.28515625" style="1" customWidth="1"/>
    <col min="7988" max="7988" width="18.42578125" style="1" customWidth="1"/>
    <col min="7989" max="7989" width="19.140625" style="1" customWidth="1"/>
    <col min="7990" max="7990" width="18.28515625" style="1" customWidth="1"/>
    <col min="7991" max="7992" width="16.7109375" style="1" customWidth="1"/>
    <col min="7993" max="7996" width="13.140625" style="1" customWidth="1"/>
    <col min="7997" max="7997" width="18.42578125" style="1" customWidth="1"/>
    <col min="7998" max="7998" width="13.140625" style="1" customWidth="1"/>
    <col min="7999" max="7999" width="14.42578125" style="1" customWidth="1"/>
    <col min="8000" max="8000" width="16.28515625" style="1" customWidth="1"/>
    <col min="8001" max="8004" width="14.42578125" style="1" customWidth="1"/>
    <col min="8005" max="8006" width="13.140625" style="1" customWidth="1"/>
    <col min="8007" max="8007" width="15.5703125" style="1" customWidth="1"/>
    <col min="8008" max="8008" width="13.140625" style="1" customWidth="1"/>
    <col min="8009" max="8010" width="14.140625" style="1" customWidth="1"/>
    <col min="8011" max="8011" width="17.7109375" style="1" customWidth="1"/>
    <col min="8012" max="8013" width="13.140625" style="1" customWidth="1"/>
    <col min="8014" max="8014" width="17.140625" style="1" customWidth="1"/>
    <col min="8015" max="8015" width="13.140625" style="1" customWidth="1"/>
    <col min="8016" max="8016" width="14.140625" style="1" customWidth="1"/>
    <col min="8017" max="8017" width="13.140625" style="1" customWidth="1"/>
    <col min="8018" max="8019" width="12.42578125" style="1" customWidth="1"/>
    <col min="8020" max="8020" width="12.140625" style="1" customWidth="1"/>
    <col min="8021" max="8021" width="12.42578125" style="1" customWidth="1"/>
    <col min="8022" max="8022" width="12.140625" style="1" customWidth="1"/>
    <col min="8023" max="8024" width="16.140625" style="1" customWidth="1"/>
    <col min="8025" max="8025" width="16.85546875" style="1" customWidth="1"/>
    <col min="8026" max="8026" width="17.28515625" style="1" customWidth="1"/>
    <col min="8027" max="8027" width="17.42578125" style="1" customWidth="1"/>
    <col min="8028" max="8028" width="16.140625" style="1" customWidth="1"/>
    <col min="8029" max="8029" width="15.5703125" style="1" customWidth="1"/>
    <col min="8030" max="8030" width="17.85546875" style="1" customWidth="1"/>
    <col min="8031" max="8031" width="17.42578125" style="1" customWidth="1"/>
    <col min="8032" max="8032" width="17.28515625" style="1" customWidth="1"/>
    <col min="8033" max="8033" width="17" style="1" customWidth="1"/>
    <col min="8034" max="8034" width="15.5703125" style="1" customWidth="1"/>
    <col min="8035" max="8035" width="16.85546875" style="1" customWidth="1"/>
    <col min="8036" max="8036" width="16.7109375" style="1" customWidth="1"/>
    <col min="8037" max="8037" width="16.28515625" style="1" customWidth="1"/>
    <col min="8038" max="8038" width="17" style="1" customWidth="1"/>
    <col min="8039" max="8039" width="17.85546875" style="1" customWidth="1"/>
    <col min="8040" max="8040" width="17" style="1" customWidth="1"/>
    <col min="8041" max="8041" width="16.42578125" style="1" customWidth="1"/>
    <col min="8042" max="8042" width="16.140625" style="1" customWidth="1"/>
    <col min="8043" max="8145" width="9.85546875" style="1"/>
    <col min="8146" max="8146" width="20.5703125" style="1" customWidth="1"/>
    <col min="8147" max="8147" width="22.7109375" style="1" customWidth="1"/>
    <col min="8148" max="8148" width="19.140625" style="1" customWidth="1"/>
    <col min="8149" max="8150" width="17.140625" style="1" customWidth="1"/>
    <col min="8151" max="8151" width="19.5703125" style="1" customWidth="1"/>
    <col min="8152" max="8153" width="16.28515625" style="1" customWidth="1"/>
    <col min="8154" max="8154" width="12" style="1" customWidth="1"/>
    <col min="8155" max="8155" width="13.42578125" style="1" customWidth="1"/>
    <col min="8156" max="8160" width="15.42578125" style="1" customWidth="1"/>
    <col min="8161" max="8164" width="14.5703125" style="1" customWidth="1"/>
    <col min="8165" max="8165" width="15" style="1" customWidth="1"/>
    <col min="8166" max="8166" width="14.5703125" style="1" customWidth="1"/>
    <col min="8167" max="8179" width="14.140625" style="1" customWidth="1"/>
    <col min="8180" max="8180" width="17.5703125" style="1" customWidth="1"/>
    <col min="8181" max="8181" width="13.140625" style="1" customWidth="1"/>
    <col min="8182" max="8182" width="14.28515625" style="1" customWidth="1"/>
    <col min="8183" max="8186" width="13.140625" style="1" customWidth="1"/>
    <col min="8187" max="8188" width="13.85546875" style="1" customWidth="1"/>
    <col min="8189" max="8223" width="15.140625" style="1" customWidth="1"/>
    <col min="8224" max="8235" width="13.140625" style="1" customWidth="1"/>
    <col min="8236" max="8236" width="18.28515625" style="1" customWidth="1"/>
    <col min="8237" max="8237" width="15.85546875" style="1" customWidth="1"/>
    <col min="8238" max="8239" width="16.140625" style="1" customWidth="1"/>
    <col min="8240" max="8241" width="16.28515625" style="1" customWidth="1"/>
    <col min="8242" max="8242" width="17.7109375" style="1" customWidth="1"/>
    <col min="8243" max="8243" width="16.28515625" style="1" customWidth="1"/>
    <col min="8244" max="8244" width="18.42578125" style="1" customWidth="1"/>
    <col min="8245" max="8245" width="19.140625" style="1" customWidth="1"/>
    <col min="8246" max="8246" width="18.28515625" style="1" customWidth="1"/>
    <col min="8247" max="8248" width="16.7109375" style="1" customWidth="1"/>
    <col min="8249" max="8252" width="13.140625" style="1" customWidth="1"/>
    <col min="8253" max="8253" width="18.42578125" style="1" customWidth="1"/>
    <col min="8254" max="8254" width="13.140625" style="1" customWidth="1"/>
    <col min="8255" max="8255" width="14.42578125" style="1" customWidth="1"/>
    <col min="8256" max="8256" width="16.28515625" style="1" customWidth="1"/>
    <col min="8257" max="8260" width="14.42578125" style="1" customWidth="1"/>
    <col min="8261" max="8262" width="13.140625" style="1" customWidth="1"/>
    <col min="8263" max="8263" width="15.5703125" style="1" customWidth="1"/>
    <col min="8264" max="8264" width="13.140625" style="1" customWidth="1"/>
    <col min="8265" max="8266" width="14.140625" style="1" customWidth="1"/>
    <col min="8267" max="8267" width="17.7109375" style="1" customWidth="1"/>
    <col min="8268" max="8269" width="13.140625" style="1" customWidth="1"/>
    <col min="8270" max="8270" width="17.140625" style="1" customWidth="1"/>
    <col min="8271" max="8271" width="13.140625" style="1" customWidth="1"/>
    <col min="8272" max="8272" width="14.140625" style="1" customWidth="1"/>
    <col min="8273" max="8273" width="13.140625" style="1" customWidth="1"/>
    <col min="8274" max="8275" width="12.42578125" style="1" customWidth="1"/>
    <col min="8276" max="8276" width="12.140625" style="1" customWidth="1"/>
    <col min="8277" max="8277" width="12.42578125" style="1" customWidth="1"/>
    <col min="8278" max="8278" width="12.140625" style="1" customWidth="1"/>
    <col min="8279" max="8280" width="16.140625" style="1" customWidth="1"/>
    <col min="8281" max="8281" width="16.85546875" style="1" customWidth="1"/>
    <col min="8282" max="8282" width="17.28515625" style="1" customWidth="1"/>
    <col min="8283" max="8283" width="17.42578125" style="1" customWidth="1"/>
    <col min="8284" max="8284" width="16.140625" style="1" customWidth="1"/>
    <col min="8285" max="8285" width="15.5703125" style="1" customWidth="1"/>
    <col min="8286" max="8286" width="17.85546875" style="1" customWidth="1"/>
    <col min="8287" max="8287" width="17.42578125" style="1" customWidth="1"/>
    <col min="8288" max="8288" width="17.28515625" style="1" customWidth="1"/>
    <col min="8289" max="8289" width="17" style="1" customWidth="1"/>
    <col min="8290" max="8290" width="15.5703125" style="1" customWidth="1"/>
    <col min="8291" max="8291" width="16.85546875" style="1" customWidth="1"/>
    <col min="8292" max="8292" width="16.7109375" style="1" customWidth="1"/>
    <col min="8293" max="8293" width="16.28515625" style="1" customWidth="1"/>
    <col min="8294" max="8294" width="17" style="1" customWidth="1"/>
    <col min="8295" max="8295" width="17.85546875" style="1" customWidth="1"/>
    <col min="8296" max="8296" width="17" style="1" customWidth="1"/>
    <col min="8297" max="8297" width="16.42578125" style="1" customWidth="1"/>
    <col min="8298" max="8298" width="16.140625" style="1" customWidth="1"/>
    <col min="8299" max="8401" width="9.85546875" style="1"/>
    <col min="8402" max="8402" width="20.5703125" style="1" customWidth="1"/>
    <col min="8403" max="8403" width="22.7109375" style="1" customWidth="1"/>
    <col min="8404" max="8404" width="19.140625" style="1" customWidth="1"/>
    <col min="8405" max="8406" width="17.140625" style="1" customWidth="1"/>
    <col min="8407" max="8407" width="19.5703125" style="1" customWidth="1"/>
    <col min="8408" max="8409" width="16.28515625" style="1" customWidth="1"/>
    <col min="8410" max="8410" width="12" style="1" customWidth="1"/>
    <col min="8411" max="8411" width="13.42578125" style="1" customWidth="1"/>
    <col min="8412" max="8416" width="15.42578125" style="1" customWidth="1"/>
    <col min="8417" max="8420" width="14.5703125" style="1" customWidth="1"/>
    <col min="8421" max="8421" width="15" style="1" customWidth="1"/>
    <col min="8422" max="8422" width="14.5703125" style="1" customWidth="1"/>
    <col min="8423" max="8435" width="14.140625" style="1" customWidth="1"/>
    <col min="8436" max="8436" width="17.5703125" style="1" customWidth="1"/>
    <col min="8437" max="8437" width="13.140625" style="1" customWidth="1"/>
    <col min="8438" max="8438" width="14.28515625" style="1" customWidth="1"/>
    <col min="8439" max="8442" width="13.140625" style="1" customWidth="1"/>
    <col min="8443" max="8444" width="13.85546875" style="1" customWidth="1"/>
    <col min="8445" max="8479" width="15.140625" style="1" customWidth="1"/>
    <col min="8480" max="8491" width="13.140625" style="1" customWidth="1"/>
    <col min="8492" max="8492" width="18.28515625" style="1" customWidth="1"/>
    <col min="8493" max="8493" width="15.85546875" style="1" customWidth="1"/>
    <col min="8494" max="8495" width="16.140625" style="1" customWidth="1"/>
    <col min="8496" max="8497" width="16.28515625" style="1" customWidth="1"/>
    <col min="8498" max="8498" width="17.7109375" style="1" customWidth="1"/>
    <col min="8499" max="8499" width="16.28515625" style="1" customWidth="1"/>
    <col min="8500" max="8500" width="18.42578125" style="1" customWidth="1"/>
    <col min="8501" max="8501" width="19.140625" style="1" customWidth="1"/>
    <col min="8502" max="8502" width="18.28515625" style="1" customWidth="1"/>
    <col min="8503" max="8504" width="16.7109375" style="1" customWidth="1"/>
    <col min="8505" max="8508" width="13.140625" style="1" customWidth="1"/>
    <col min="8509" max="8509" width="18.42578125" style="1" customWidth="1"/>
    <col min="8510" max="8510" width="13.140625" style="1" customWidth="1"/>
    <col min="8511" max="8511" width="14.42578125" style="1" customWidth="1"/>
    <col min="8512" max="8512" width="16.28515625" style="1" customWidth="1"/>
    <col min="8513" max="8516" width="14.42578125" style="1" customWidth="1"/>
    <col min="8517" max="8518" width="13.140625" style="1" customWidth="1"/>
    <col min="8519" max="8519" width="15.5703125" style="1" customWidth="1"/>
    <col min="8520" max="8520" width="13.140625" style="1" customWidth="1"/>
    <col min="8521" max="8522" width="14.140625" style="1" customWidth="1"/>
    <col min="8523" max="8523" width="17.7109375" style="1" customWidth="1"/>
    <col min="8524" max="8525" width="13.140625" style="1" customWidth="1"/>
    <col min="8526" max="8526" width="17.140625" style="1" customWidth="1"/>
    <col min="8527" max="8527" width="13.140625" style="1" customWidth="1"/>
    <col min="8528" max="8528" width="14.140625" style="1" customWidth="1"/>
    <col min="8529" max="8529" width="13.140625" style="1" customWidth="1"/>
    <col min="8530" max="8531" width="12.42578125" style="1" customWidth="1"/>
    <col min="8532" max="8532" width="12.140625" style="1" customWidth="1"/>
    <col min="8533" max="8533" width="12.42578125" style="1" customWidth="1"/>
    <col min="8534" max="8534" width="12.140625" style="1" customWidth="1"/>
    <col min="8535" max="8536" width="16.140625" style="1" customWidth="1"/>
    <col min="8537" max="8537" width="16.85546875" style="1" customWidth="1"/>
    <col min="8538" max="8538" width="17.28515625" style="1" customWidth="1"/>
    <col min="8539" max="8539" width="17.42578125" style="1" customWidth="1"/>
    <col min="8540" max="8540" width="16.140625" style="1" customWidth="1"/>
    <col min="8541" max="8541" width="15.5703125" style="1" customWidth="1"/>
    <col min="8542" max="8542" width="17.85546875" style="1" customWidth="1"/>
    <col min="8543" max="8543" width="17.42578125" style="1" customWidth="1"/>
    <col min="8544" max="8544" width="17.28515625" style="1" customWidth="1"/>
    <col min="8545" max="8545" width="17" style="1" customWidth="1"/>
    <col min="8546" max="8546" width="15.5703125" style="1" customWidth="1"/>
    <col min="8547" max="8547" width="16.85546875" style="1" customWidth="1"/>
    <col min="8548" max="8548" width="16.7109375" style="1" customWidth="1"/>
    <col min="8549" max="8549" width="16.28515625" style="1" customWidth="1"/>
    <col min="8550" max="8550" width="17" style="1" customWidth="1"/>
    <col min="8551" max="8551" width="17.85546875" style="1" customWidth="1"/>
    <col min="8552" max="8552" width="17" style="1" customWidth="1"/>
    <col min="8553" max="8553" width="16.42578125" style="1" customWidth="1"/>
    <col min="8554" max="8554" width="16.140625" style="1" customWidth="1"/>
    <col min="8555" max="8657" width="9.85546875" style="1"/>
    <col min="8658" max="8658" width="20.5703125" style="1" customWidth="1"/>
    <col min="8659" max="8659" width="22.7109375" style="1" customWidth="1"/>
    <col min="8660" max="8660" width="19.140625" style="1" customWidth="1"/>
    <col min="8661" max="8662" width="17.140625" style="1" customWidth="1"/>
    <col min="8663" max="8663" width="19.5703125" style="1" customWidth="1"/>
    <col min="8664" max="8665" width="16.28515625" style="1" customWidth="1"/>
    <col min="8666" max="8666" width="12" style="1" customWidth="1"/>
    <col min="8667" max="8667" width="13.42578125" style="1" customWidth="1"/>
    <col min="8668" max="8672" width="15.42578125" style="1" customWidth="1"/>
    <col min="8673" max="8676" width="14.5703125" style="1" customWidth="1"/>
    <col min="8677" max="8677" width="15" style="1" customWidth="1"/>
    <col min="8678" max="8678" width="14.5703125" style="1" customWidth="1"/>
    <col min="8679" max="8691" width="14.140625" style="1" customWidth="1"/>
    <col min="8692" max="8692" width="17.5703125" style="1" customWidth="1"/>
    <col min="8693" max="8693" width="13.140625" style="1" customWidth="1"/>
    <col min="8694" max="8694" width="14.28515625" style="1" customWidth="1"/>
    <col min="8695" max="8698" width="13.140625" style="1" customWidth="1"/>
    <col min="8699" max="8700" width="13.85546875" style="1" customWidth="1"/>
    <col min="8701" max="8735" width="15.140625" style="1" customWidth="1"/>
    <col min="8736" max="8747" width="13.140625" style="1" customWidth="1"/>
    <col min="8748" max="8748" width="18.28515625" style="1" customWidth="1"/>
    <col min="8749" max="8749" width="15.85546875" style="1" customWidth="1"/>
    <col min="8750" max="8751" width="16.140625" style="1" customWidth="1"/>
    <col min="8752" max="8753" width="16.28515625" style="1" customWidth="1"/>
    <col min="8754" max="8754" width="17.7109375" style="1" customWidth="1"/>
    <col min="8755" max="8755" width="16.28515625" style="1" customWidth="1"/>
    <col min="8756" max="8756" width="18.42578125" style="1" customWidth="1"/>
    <col min="8757" max="8757" width="19.140625" style="1" customWidth="1"/>
    <col min="8758" max="8758" width="18.28515625" style="1" customWidth="1"/>
    <col min="8759" max="8760" width="16.7109375" style="1" customWidth="1"/>
    <col min="8761" max="8764" width="13.140625" style="1" customWidth="1"/>
    <col min="8765" max="8765" width="18.42578125" style="1" customWidth="1"/>
    <col min="8766" max="8766" width="13.140625" style="1" customWidth="1"/>
    <col min="8767" max="8767" width="14.42578125" style="1" customWidth="1"/>
    <col min="8768" max="8768" width="16.28515625" style="1" customWidth="1"/>
    <col min="8769" max="8772" width="14.42578125" style="1" customWidth="1"/>
    <col min="8773" max="8774" width="13.140625" style="1" customWidth="1"/>
    <col min="8775" max="8775" width="15.5703125" style="1" customWidth="1"/>
    <col min="8776" max="8776" width="13.140625" style="1" customWidth="1"/>
    <col min="8777" max="8778" width="14.140625" style="1" customWidth="1"/>
    <col min="8779" max="8779" width="17.7109375" style="1" customWidth="1"/>
    <col min="8780" max="8781" width="13.140625" style="1" customWidth="1"/>
    <col min="8782" max="8782" width="17.140625" style="1" customWidth="1"/>
    <col min="8783" max="8783" width="13.140625" style="1" customWidth="1"/>
    <col min="8784" max="8784" width="14.140625" style="1" customWidth="1"/>
    <col min="8785" max="8785" width="13.140625" style="1" customWidth="1"/>
    <col min="8786" max="8787" width="12.42578125" style="1" customWidth="1"/>
    <col min="8788" max="8788" width="12.140625" style="1" customWidth="1"/>
    <col min="8789" max="8789" width="12.42578125" style="1" customWidth="1"/>
    <col min="8790" max="8790" width="12.140625" style="1" customWidth="1"/>
    <col min="8791" max="8792" width="16.140625" style="1" customWidth="1"/>
    <col min="8793" max="8793" width="16.85546875" style="1" customWidth="1"/>
    <col min="8794" max="8794" width="17.28515625" style="1" customWidth="1"/>
    <col min="8795" max="8795" width="17.42578125" style="1" customWidth="1"/>
    <col min="8796" max="8796" width="16.140625" style="1" customWidth="1"/>
    <col min="8797" max="8797" width="15.5703125" style="1" customWidth="1"/>
    <col min="8798" max="8798" width="17.85546875" style="1" customWidth="1"/>
    <col min="8799" max="8799" width="17.42578125" style="1" customWidth="1"/>
    <col min="8800" max="8800" width="17.28515625" style="1" customWidth="1"/>
    <col min="8801" max="8801" width="17" style="1" customWidth="1"/>
    <col min="8802" max="8802" width="15.5703125" style="1" customWidth="1"/>
    <col min="8803" max="8803" width="16.85546875" style="1" customWidth="1"/>
    <col min="8804" max="8804" width="16.7109375" style="1" customWidth="1"/>
    <col min="8805" max="8805" width="16.28515625" style="1" customWidth="1"/>
    <col min="8806" max="8806" width="17" style="1" customWidth="1"/>
    <col min="8807" max="8807" width="17.85546875" style="1" customWidth="1"/>
    <col min="8808" max="8808" width="17" style="1" customWidth="1"/>
    <col min="8809" max="8809" width="16.42578125" style="1" customWidth="1"/>
    <col min="8810" max="8810" width="16.140625" style="1" customWidth="1"/>
    <col min="8811" max="8913" width="9.85546875" style="1"/>
    <col min="8914" max="8914" width="20.5703125" style="1" customWidth="1"/>
    <col min="8915" max="8915" width="22.7109375" style="1" customWidth="1"/>
    <col min="8916" max="8916" width="19.140625" style="1" customWidth="1"/>
    <col min="8917" max="8918" width="17.140625" style="1" customWidth="1"/>
    <col min="8919" max="8919" width="19.5703125" style="1" customWidth="1"/>
    <col min="8920" max="8921" width="16.28515625" style="1" customWidth="1"/>
    <col min="8922" max="8922" width="12" style="1" customWidth="1"/>
    <col min="8923" max="8923" width="13.42578125" style="1" customWidth="1"/>
    <col min="8924" max="8928" width="15.42578125" style="1" customWidth="1"/>
    <col min="8929" max="8932" width="14.5703125" style="1" customWidth="1"/>
    <col min="8933" max="8933" width="15" style="1" customWidth="1"/>
    <col min="8934" max="8934" width="14.5703125" style="1" customWidth="1"/>
    <col min="8935" max="8947" width="14.140625" style="1" customWidth="1"/>
    <col min="8948" max="8948" width="17.5703125" style="1" customWidth="1"/>
    <col min="8949" max="8949" width="13.140625" style="1" customWidth="1"/>
    <col min="8950" max="8950" width="14.28515625" style="1" customWidth="1"/>
    <col min="8951" max="8954" width="13.140625" style="1" customWidth="1"/>
    <col min="8955" max="8956" width="13.85546875" style="1" customWidth="1"/>
    <col min="8957" max="8991" width="15.140625" style="1" customWidth="1"/>
    <col min="8992" max="9003" width="13.140625" style="1" customWidth="1"/>
    <col min="9004" max="9004" width="18.28515625" style="1" customWidth="1"/>
    <col min="9005" max="9005" width="15.85546875" style="1" customWidth="1"/>
    <col min="9006" max="9007" width="16.140625" style="1" customWidth="1"/>
    <col min="9008" max="9009" width="16.28515625" style="1" customWidth="1"/>
    <col min="9010" max="9010" width="17.7109375" style="1" customWidth="1"/>
    <col min="9011" max="9011" width="16.28515625" style="1" customWidth="1"/>
    <col min="9012" max="9012" width="18.42578125" style="1" customWidth="1"/>
    <col min="9013" max="9013" width="19.140625" style="1" customWidth="1"/>
    <col min="9014" max="9014" width="18.28515625" style="1" customWidth="1"/>
    <col min="9015" max="9016" width="16.7109375" style="1" customWidth="1"/>
    <col min="9017" max="9020" width="13.140625" style="1" customWidth="1"/>
    <col min="9021" max="9021" width="18.42578125" style="1" customWidth="1"/>
    <col min="9022" max="9022" width="13.140625" style="1" customWidth="1"/>
    <col min="9023" max="9023" width="14.42578125" style="1" customWidth="1"/>
    <col min="9024" max="9024" width="16.28515625" style="1" customWidth="1"/>
    <col min="9025" max="9028" width="14.42578125" style="1" customWidth="1"/>
    <col min="9029" max="9030" width="13.140625" style="1" customWidth="1"/>
    <col min="9031" max="9031" width="15.5703125" style="1" customWidth="1"/>
    <col min="9032" max="9032" width="13.140625" style="1" customWidth="1"/>
    <col min="9033" max="9034" width="14.140625" style="1" customWidth="1"/>
    <col min="9035" max="9035" width="17.7109375" style="1" customWidth="1"/>
    <col min="9036" max="9037" width="13.140625" style="1" customWidth="1"/>
    <col min="9038" max="9038" width="17.140625" style="1" customWidth="1"/>
    <col min="9039" max="9039" width="13.140625" style="1" customWidth="1"/>
    <col min="9040" max="9040" width="14.140625" style="1" customWidth="1"/>
    <col min="9041" max="9041" width="13.140625" style="1" customWidth="1"/>
    <col min="9042" max="9043" width="12.42578125" style="1" customWidth="1"/>
    <col min="9044" max="9044" width="12.140625" style="1" customWidth="1"/>
    <col min="9045" max="9045" width="12.42578125" style="1" customWidth="1"/>
    <col min="9046" max="9046" width="12.140625" style="1" customWidth="1"/>
    <col min="9047" max="9048" width="16.140625" style="1" customWidth="1"/>
    <col min="9049" max="9049" width="16.85546875" style="1" customWidth="1"/>
    <col min="9050" max="9050" width="17.28515625" style="1" customWidth="1"/>
    <col min="9051" max="9051" width="17.42578125" style="1" customWidth="1"/>
    <col min="9052" max="9052" width="16.140625" style="1" customWidth="1"/>
    <col min="9053" max="9053" width="15.5703125" style="1" customWidth="1"/>
    <col min="9054" max="9054" width="17.85546875" style="1" customWidth="1"/>
    <col min="9055" max="9055" width="17.42578125" style="1" customWidth="1"/>
    <col min="9056" max="9056" width="17.28515625" style="1" customWidth="1"/>
    <col min="9057" max="9057" width="17" style="1" customWidth="1"/>
    <col min="9058" max="9058" width="15.5703125" style="1" customWidth="1"/>
    <col min="9059" max="9059" width="16.85546875" style="1" customWidth="1"/>
    <col min="9060" max="9060" width="16.7109375" style="1" customWidth="1"/>
    <col min="9061" max="9061" width="16.28515625" style="1" customWidth="1"/>
    <col min="9062" max="9062" width="17" style="1" customWidth="1"/>
    <col min="9063" max="9063" width="17.85546875" style="1" customWidth="1"/>
    <col min="9064" max="9064" width="17" style="1" customWidth="1"/>
    <col min="9065" max="9065" width="16.42578125" style="1" customWidth="1"/>
    <col min="9066" max="9066" width="16.140625" style="1" customWidth="1"/>
    <col min="9067" max="9169" width="9.85546875" style="1"/>
    <col min="9170" max="9170" width="20.5703125" style="1" customWidth="1"/>
    <col min="9171" max="9171" width="22.7109375" style="1" customWidth="1"/>
    <col min="9172" max="9172" width="19.140625" style="1" customWidth="1"/>
    <col min="9173" max="9174" width="17.140625" style="1" customWidth="1"/>
    <col min="9175" max="9175" width="19.5703125" style="1" customWidth="1"/>
    <col min="9176" max="9177" width="16.28515625" style="1" customWidth="1"/>
    <col min="9178" max="9178" width="12" style="1" customWidth="1"/>
    <col min="9179" max="9179" width="13.42578125" style="1" customWidth="1"/>
    <col min="9180" max="9184" width="15.42578125" style="1" customWidth="1"/>
    <col min="9185" max="9188" width="14.5703125" style="1" customWidth="1"/>
    <col min="9189" max="9189" width="15" style="1" customWidth="1"/>
    <col min="9190" max="9190" width="14.5703125" style="1" customWidth="1"/>
    <col min="9191" max="9203" width="14.140625" style="1" customWidth="1"/>
    <col min="9204" max="9204" width="17.5703125" style="1" customWidth="1"/>
    <col min="9205" max="9205" width="13.140625" style="1" customWidth="1"/>
    <col min="9206" max="9206" width="14.28515625" style="1" customWidth="1"/>
    <col min="9207" max="9210" width="13.140625" style="1" customWidth="1"/>
    <col min="9211" max="9212" width="13.85546875" style="1" customWidth="1"/>
    <col min="9213" max="9247" width="15.140625" style="1" customWidth="1"/>
    <col min="9248" max="9259" width="13.140625" style="1" customWidth="1"/>
    <col min="9260" max="9260" width="18.28515625" style="1" customWidth="1"/>
    <col min="9261" max="9261" width="15.85546875" style="1" customWidth="1"/>
    <col min="9262" max="9263" width="16.140625" style="1" customWidth="1"/>
    <col min="9264" max="9265" width="16.28515625" style="1" customWidth="1"/>
    <col min="9266" max="9266" width="17.7109375" style="1" customWidth="1"/>
    <col min="9267" max="9267" width="16.28515625" style="1" customWidth="1"/>
    <col min="9268" max="9268" width="18.42578125" style="1" customWidth="1"/>
    <col min="9269" max="9269" width="19.140625" style="1" customWidth="1"/>
    <col min="9270" max="9270" width="18.28515625" style="1" customWidth="1"/>
    <col min="9271" max="9272" width="16.7109375" style="1" customWidth="1"/>
    <col min="9273" max="9276" width="13.140625" style="1" customWidth="1"/>
    <col min="9277" max="9277" width="18.42578125" style="1" customWidth="1"/>
    <col min="9278" max="9278" width="13.140625" style="1" customWidth="1"/>
    <col min="9279" max="9279" width="14.42578125" style="1" customWidth="1"/>
    <col min="9280" max="9280" width="16.28515625" style="1" customWidth="1"/>
    <col min="9281" max="9284" width="14.42578125" style="1" customWidth="1"/>
    <col min="9285" max="9286" width="13.140625" style="1" customWidth="1"/>
    <col min="9287" max="9287" width="15.5703125" style="1" customWidth="1"/>
    <col min="9288" max="9288" width="13.140625" style="1" customWidth="1"/>
    <col min="9289" max="9290" width="14.140625" style="1" customWidth="1"/>
    <col min="9291" max="9291" width="17.7109375" style="1" customWidth="1"/>
    <col min="9292" max="9293" width="13.140625" style="1" customWidth="1"/>
    <col min="9294" max="9294" width="17.140625" style="1" customWidth="1"/>
    <col min="9295" max="9295" width="13.140625" style="1" customWidth="1"/>
    <col min="9296" max="9296" width="14.140625" style="1" customWidth="1"/>
    <col min="9297" max="9297" width="13.140625" style="1" customWidth="1"/>
    <col min="9298" max="9299" width="12.42578125" style="1" customWidth="1"/>
    <col min="9300" max="9300" width="12.140625" style="1" customWidth="1"/>
    <col min="9301" max="9301" width="12.42578125" style="1" customWidth="1"/>
    <col min="9302" max="9302" width="12.140625" style="1" customWidth="1"/>
    <col min="9303" max="9304" width="16.140625" style="1" customWidth="1"/>
    <col min="9305" max="9305" width="16.85546875" style="1" customWidth="1"/>
    <col min="9306" max="9306" width="17.28515625" style="1" customWidth="1"/>
    <col min="9307" max="9307" width="17.42578125" style="1" customWidth="1"/>
    <col min="9308" max="9308" width="16.140625" style="1" customWidth="1"/>
    <col min="9309" max="9309" width="15.5703125" style="1" customWidth="1"/>
    <col min="9310" max="9310" width="17.85546875" style="1" customWidth="1"/>
    <col min="9311" max="9311" width="17.42578125" style="1" customWidth="1"/>
    <col min="9312" max="9312" width="17.28515625" style="1" customWidth="1"/>
    <col min="9313" max="9313" width="17" style="1" customWidth="1"/>
    <col min="9314" max="9314" width="15.5703125" style="1" customWidth="1"/>
    <col min="9315" max="9315" width="16.85546875" style="1" customWidth="1"/>
    <col min="9316" max="9316" width="16.7109375" style="1" customWidth="1"/>
    <col min="9317" max="9317" width="16.28515625" style="1" customWidth="1"/>
    <col min="9318" max="9318" width="17" style="1" customWidth="1"/>
    <col min="9319" max="9319" width="17.85546875" style="1" customWidth="1"/>
    <col min="9320" max="9320" width="17" style="1" customWidth="1"/>
    <col min="9321" max="9321" width="16.42578125" style="1" customWidth="1"/>
    <col min="9322" max="9322" width="16.140625" style="1" customWidth="1"/>
    <col min="9323" max="9425" width="9.85546875" style="1"/>
    <col min="9426" max="9426" width="20.5703125" style="1" customWidth="1"/>
    <col min="9427" max="9427" width="22.7109375" style="1" customWidth="1"/>
    <col min="9428" max="9428" width="19.140625" style="1" customWidth="1"/>
    <col min="9429" max="9430" width="17.140625" style="1" customWidth="1"/>
    <col min="9431" max="9431" width="19.5703125" style="1" customWidth="1"/>
    <col min="9432" max="9433" width="16.28515625" style="1" customWidth="1"/>
    <col min="9434" max="9434" width="12" style="1" customWidth="1"/>
    <col min="9435" max="9435" width="13.42578125" style="1" customWidth="1"/>
    <col min="9436" max="9440" width="15.42578125" style="1" customWidth="1"/>
    <col min="9441" max="9444" width="14.5703125" style="1" customWidth="1"/>
    <col min="9445" max="9445" width="15" style="1" customWidth="1"/>
    <col min="9446" max="9446" width="14.5703125" style="1" customWidth="1"/>
    <col min="9447" max="9459" width="14.140625" style="1" customWidth="1"/>
    <col min="9460" max="9460" width="17.5703125" style="1" customWidth="1"/>
    <col min="9461" max="9461" width="13.140625" style="1" customWidth="1"/>
    <col min="9462" max="9462" width="14.28515625" style="1" customWidth="1"/>
    <col min="9463" max="9466" width="13.140625" style="1" customWidth="1"/>
    <col min="9467" max="9468" width="13.85546875" style="1" customWidth="1"/>
    <col min="9469" max="9503" width="15.140625" style="1" customWidth="1"/>
    <col min="9504" max="9515" width="13.140625" style="1" customWidth="1"/>
    <col min="9516" max="9516" width="18.28515625" style="1" customWidth="1"/>
    <col min="9517" max="9517" width="15.85546875" style="1" customWidth="1"/>
    <col min="9518" max="9519" width="16.140625" style="1" customWidth="1"/>
    <col min="9520" max="9521" width="16.28515625" style="1" customWidth="1"/>
    <col min="9522" max="9522" width="17.7109375" style="1" customWidth="1"/>
    <col min="9523" max="9523" width="16.28515625" style="1" customWidth="1"/>
    <col min="9524" max="9524" width="18.42578125" style="1" customWidth="1"/>
    <col min="9525" max="9525" width="19.140625" style="1" customWidth="1"/>
    <col min="9526" max="9526" width="18.28515625" style="1" customWidth="1"/>
    <col min="9527" max="9528" width="16.7109375" style="1" customWidth="1"/>
    <col min="9529" max="9532" width="13.140625" style="1" customWidth="1"/>
    <col min="9533" max="9533" width="18.42578125" style="1" customWidth="1"/>
    <col min="9534" max="9534" width="13.140625" style="1" customWidth="1"/>
    <col min="9535" max="9535" width="14.42578125" style="1" customWidth="1"/>
    <col min="9536" max="9536" width="16.28515625" style="1" customWidth="1"/>
    <col min="9537" max="9540" width="14.42578125" style="1" customWidth="1"/>
    <col min="9541" max="9542" width="13.140625" style="1" customWidth="1"/>
    <col min="9543" max="9543" width="15.5703125" style="1" customWidth="1"/>
    <col min="9544" max="9544" width="13.140625" style="1" customWidth="1"/>
    <col min="9545" max="9546" width="14.140625" style="1" customWidth="1"/>
    <col min="9547" max="9547" width="17.7109375" style="1" customWidth="1"/>
    <col min="9548" max="9549" width="13.140625" style="1" customWidth="1"/>
    <col min="9550" max="9550" width="17.140625" style="1" customWidth="1"/>
    <col min="9551" max="9551" width="13.140625" style="1" customWidth="1"/>
    <col min="9552" max="9552" width="14.140625" style="1" customWidth="1"/>
    <col min="9553" max="9553" width="13.140625" style="1" customWidth="1"/>
    <col min="9554" max="9555" width="12.42578125" style="1" customWidth="1"/>
    <col min="9556" max="9556" width="12.140625" style="1" customWidth="1"/>
    <col min="9557" max="9557" width="12.42578125" style="1" customWidth="1"/>
    <col min="9558" max="9558" width="12.140625" style="1" customWidth="1"/>
    <col min="9559" max="9560" width="16.140625" style="1" customWidth="1"/>
    <col min="9561" max="9561" width="16.85546875" style="1" customWidth="1"/>
    <col min="9562" max="9562" width="17.28515625" style="1" customWidth="1"/>
    <col min="9563" max="9563" width="17.42578125" style="1" customWidth="1"/>
    <col min="9564" max="9564" width="16.140625" style="1" customWidth="1"/>
    <col min="9565" max="9565" width="15.5703125" style="1" customWidth="1"/>
    <col min="9566" max="9566" width="17.85546875" style="1" customWidth="1"/>
    <col min="9567" max="9567" width="17.42578125" style="1" customWidth="1"/>
    <col min="9568" max="9568" width="17.28515625" style="1" customWidth="1"/>
    <col min="9569" max="9569" width="17" style="1" customWidth="1"/>
    <col min="9570" max="9570" width="15.5703125" style="1" customWidth="1"/>
    <col min="9571" max="9571" width="16.85546875" style="1" customWidth="1"/>
    <col min="9572" max="9572" width="16.7109375" style="1" customWidth="1"/>
    <col min="9573" max="9573" width="16.28515625" style="1" customWidth="1"/>
    <col min="9574" max="9574" width="17" style="1" customWidth="1"/>
    <col min="9575" max="9575" width="17.85546875" style="1" customWidth="1"/>
    <col min="9576" max="9576" width="17" style="1" customWidth="1"/>
    <col min="9577" max="9577" width="16.42578125" style="1" customWidth="1"/>
    <col min="9578" max="9578" width="16.140625" style="1" customWidth="1"/>
    <col min="9579" max="9681" width="9.85546875" style="1"/>
    <col min="9682" max="9682" width="20.5703125" style="1" customWidth="1"/>
    <col min="9683" max="9683" width="22.7109375" style="1" customWidth="1"/>
    <col min="9684" max="9684" width="19.140625" style="1" customWidth="1"/>
    <col min="9685" max="9686" width="17.140625" style="1" customWidth="1"/>
    <col min="9687" max="9687" width="19.5703125" style="1" customWidth="1"/>
    <col min="9688" max="9689" width="16.28515625" style="1" customWidth="1"/>
    <col min="9690" max="9690" width="12" style="1" customWidth="1"/>
    <col min="9691" max="9691" width="13.42578125" style="1" customWidth="1"/>
    <col min="9692" max="9696" width="15.42578125" style="1" customWidth="1"/>
    <col min="9697" max="9700" width="14.5703125" style="1" customWidth="1"/>
    <col min="9701" max="9701" width="15" style="1" customWidth="1"/>
    <col min="9702" max="9702" width="14.5703125" style="1" customWidth="1"/>
    <col min="9703" max="9715" width="14.140625" style="1" customWidth="1"/>
    <col min="9716" max="9716" width="17.5703125" style="1" customWidth="1"/>
    <col min="9717" max="9717" width="13.140625" style="1" customWidth="1"/>
    <col min="9718" max="9718" width="14.28515625" style="1" customWidth="1"/>
    <col min="9719" max="9722" width="13.140625" style="1" customWidth="1"/>
    <col min="9723" max="9724" width="13.85546875" style="1" customWidth="1"/>
    <col min="9725" max="9759" width="15.140625" style="1" customWidth="1"/>
    <col min="9760" max="9771" width="13.140625" style="1" customWidth="1"/>
    <col min="9772" max="9772" width="18.28515625" style="1" customWidth="1"/>
    <col min="9773" max="9773" width="15.85546875" style="1" customWidth="1"/>
    <col min="9774" max="9775" width="16.140625" style="1" customWidth="1"/>
    <col min="9776" max="9777" width="16.28515625" style="1" customWidth="1"/>
    <col min="9778" max="9778" width="17.7109375" style="1" customWidth="1"/>
    <col min="9779" max="9779" width="16.28515625" style="1" customWidth="1"/>
    <col min="9780" max="9780" width="18.42578125" style="1" customWidth="1"/>
    <col min="9781" max="9781" width="19.140625" style="1" customWidth="1"/>
    <col min="9782" max="9782" width="18.28515625" style="1" customWidth="1"/>
    <col min="9783" max="9784" width="16.7109375" style="1" customWidth="1"/>
    <col min="9785" max="9788" width="13.140625" style="1" customWidth="1"/>
    <col min="9789" max="9789" width="18.42578125" style="1" customWidth="1"/>
    <col min="9790" max="9790" width="13.140625" style="1" customWidth="1"/>
    <col min="9791" max="9791" width="14.42578125" style="1" customWidth="1"/>
    <col min="9792" max="9792" width="16.28515625" style="1" customWidth="1"/>
    <col min="9793" max="9796" width="14.42578125" style="1" customWidth="1"/>
    <col min="9797" max="9798" width="13.140625" style="1" customWidth="1"/>
    <col min="9799" max="9799" width="15.5703125" style="1" customWidth="1"/>
    <col min="9800" max="9800" width="13.140625" style="1" customWidth="1"/>
    <col min="9801" max="9802" width="14.140625" style="1" customWidth="1"/>
    <col min="9803" max="9803" width="17.7109375" style="1" customWidth="1"/>
    <col min="9804" max="9805" width="13.140625" style="1" customWidth="1"/>
    <col min="9806" max="9806" width="17.140625" style="1" customWidth="1"/>
    <col min="9807" max="9807" width="13.140625" style="1" customWidth="1"/>
    <col min="9808" max="9808" width="14.140625" style="1" customWidth="1"/>
    <col min="9809" max="9809" width="13.140625" style="1" customWidth="1"/>
    <col min="9810" max="9811" width="12.42578125" style="1" customWidth="1"/>
    <col min="9812" max="9812" width="12.140625" style="1" customWidth="1"/>
    <col min="9813" max="9813" width="12.42578125" style="1" customWidth="1"/>
    <col min="9814" max="9814" width="12.140625" style="1" customWidth="1"/>
    <col min="9815" max="9816" width="16.140625" style="1" customWidth="1"/>
    <col min="9817" max="9817" width="16.85546875" style="1" customWidth="1"/>
    <col min="9818" max="9818" width="17.28515625" style="1" customWidth="1"/>
    <col min="9819" max="9819" width="17.42578125" style="1" customWidth="1"/>
    <col min="9820" max="9820" width="16.140625" style="1" customWidth="1"/>
    <col min="9821" max="9821" width="15.5703125" style="1" customWidth="1"/>
    <col min="9822" max="9822" width="17.85546875" style="1" customWidth="1"/>
    <col min="9823" max="9823" width="17.42578125" style="1" customWidth="1"/>
    <col min="9824" max="9824" width="17.28515625" style="1" customWidth="1"/>
    <col min="9825" max="9825" width="17" style="1" customWidth="1"/>
    <col min="9826" max="9826" width="15.5703125" style="1" customWidth="1"/>
    <col min="9827" max="9827" width="16.85546875" style="1" customWidth="1"/>
    <col min="9828" max="9828" width="16.7109375" style="1" customWidth="1"/>
    <col min="9829" max="9829" width="16.28515625" style="1" customWidth="1"/>
    <col min="9830" max="9830" width="17" style="1" customWidth="1"/>
    <col min="9831" max="9831" width="17.85546875" style="1" customWidth="1"/>
    <col min="9832" max="9832" width="17" style="1" customWidth="1"/>
    <col min="9833" max="9833" width="16.42578125" style="1" customWidth="1"/>
    <col min="9834" max="9834" width="16.140625" style="1" customWidth="1"/>
    <col min="9835" max="9937" width="9.85546875" style="1"/>
    <col min="9938" max="9938" width="20.5703125" style="1" customWidth="1"/>
    <col min="9939" max="9939" width="22.7109375" style="1" customWidth="1"/>
    <col min="9940" max="9940" width="19.140625" style="1" customWidth="1"/>
    <col min="9941" max="9942" width="17.140625" style="1" customWidth="1"/>
    <col min="9943" max="9943" width="19.5703125" style="1" customWidth="1"/>
    <col min="9944" max="9945" width="16.28515625" style="1" customWidth="1"/>
    <col min="9946" max="9946" width="12" style="1" customWidth="1"/>
    <col min="9947" max="9947" width="13.42578125" style="1" customWidth="1"/>
    <col min="9948" max="9952" width="15.42578125" style="1" customWidth="1"/>
    <col min="9953" max="9956" width="14.5703125" style="1" customWidth="1"/>
    <col min="9957" max="9957" width="15" style="1" customWidth="1"/>
    <col min="9958" max="9958" width="14.5703125" style="1" customWidth="1"/>
    <col min="9959" max="9971" width="14.140625" style="1" customWidth="1"/>
    <col min="9972" max="9972" width="17.5703125" style="1" customWidth="1"/>
    <col min="9973" max="9973" width="13.140625" style="1" customWidth="1"/>
    <col min="9974" max="9974" width="14.28515625" style="1" customWidth="1"/>
    <col min="9975" max="9978" width="13.140625" style="1" customWidth="1"/>
    <col min="9979" max="9980" width="13.85546875" style="1" customWidth="1"/>
    <col min="9981" max="10015" width="15.140625" style="1" customWidth="1"/>
    <col min="10016" max="10027" width="13.140625" style="1" customWidth="1"/>
    <col min="10028" max="10028" width="18.28515625" style="1" customWidth="1"/>
    <col min="10029" max="10029" width="15.85546875" style="1" customWidth="1"/>
    <col min="10030" max="10031" width="16.140625" style="1" customWidth="1"/>
    <col min="10032" max="10033" width="16.28515625" style="1" customWidth="1"/>
    <col min="10034" max="10034" width="17.7109375" style="1" customWidth="1"/>
    <col min="10035" max="10035" width="16.28515625" style="1" customWidth="1"/>
    <col min="10036" max="10036" width="18.42578125" style="1" customWidth="1"/>
    <col min="10037" max="10037" width="19.140625" style="1" customWidth="1"/>
    <col min="10038" max="10038" width="18.28515625" style="1" customWidth="1"/>
    <col min="10039" max="10040" width="16.7109375" style="1" customWidth="1"/>
    <col min="10041" max="10044" width="13.140625" style="1" customWidth="1"/>
    <col min="10045" max="10045" width="18.42578125" style="1" customWidth="1"/>
    <col min="10046" max="10046" width="13.140625" style="1" customWidth="1"/>
    <col min="10047" max="10047" width="14.42578125" style="1" customWidth="1"/>
    <col min="10048" max="10048" width="16.28515625" style="1" customWidth="1"/>
    <col min="10049" max="10052" width="14.42578125" style="1" customWidth="1"/>
    <col min="10053" max="10054" width="13.140625" style="1" customWidth="1"/>
    <col min="10055" max="10055" width="15.5703125" style="1" customWidth="1"/>
    <col min="10056" max="10056" width="13.140625" style="1" customWidth="1"/>
    <col min="10057" max="10058" width="14.140625" style="1" customWidth="1"/>
    <col min="10059" max="10059" width="17.7109375" style="1" customWidth="1"/>
    <col min="10060" max="10061" width="13.140625" style="1" customWidth="1"/>
    <col min="10062" max="10062" width="17.140625" style="1" customWidth="1"/>
    <col min="10063" max="10063" width="13.140625" style="1" customWidth="1"/>
    <col min="10064" max="10064" width="14.140625" style="1" customWidth="1"/>
    <col min="10065" max="10065" width="13.140625" style="1" customWidth="1"/>
    <col min="10066" max="10067" width="12.42578125" style="1" customWidth="1"/>
    <col min="10068" max="10068" width="12.140625" style="1" customWidth="1"/>
    <col min="10069" max="10069" width="12.42578125" style="1" customWidth="1"/>
    <col min="10070" max="10070" width="12.140625" style="1" customWidth="1"/>
    <col min="10071" max="10072" width="16.140625" style="1" customWidth="1"/>
    <col min="10073" max="10073" width="16.85546875" style="1" customWidth="1"/>
    <col min="10074" max="10074" width="17.28515625" style="1" customWidth="1"/>
    <col min="10075" max="10075" width="17.42578125" style="1" customWidth="1"/>
    <col min="10076" max="10076" width="16.140625" style="1" customWidth="1"/>
    <col min="10077" max="10077" width="15.5703125" style="1" customWidth="1"/>
    <col min="10078" max="10078" width="17.85546875" style="1" customWidth="1"/>
    <col min="10079" max="10079" width="17.42578125" style="1" customWidth="1"/>
    <col min="10080" max="10080" width="17.28515625" style="1" customWidth="1"/>
    <col min="10081" max="10081" width="17" style="1" customWidth="1"/>
    <col min="10082" max="10082" width="15.5703125" style="1" customWidth="1"/>
    <col min="10083" max="10083" width="16.85546875" style="1" customWidth="1"/>
    <col min="10084" max="10084" width="16.7109375" style="1" customWidth="1"/>
    <col min="10085" max="10085" width="16.28515625" style="1" customWidth="1"/>
    <col min="10086" max="10086" width="17" style="1" customWidth="1"/>
    <col min="10087" max="10087" width="17.85546875" style="1" customWidth="1"/>
    <col min="10088" max="10088" width="17" style="1" customWidth="1"/>
    <col min="10089" max="10089" width="16.42578125" style="1" customWidth="1"/>
    <col min="10090" max="10090" width="16.140625" style="1" customWidth="1"/>
    <col min="10091" max="10193" width="9.85546875" style="1"/>
    <col min="10194" max="10194" width="20.5703125" style="1" customWidth="1"/>
    <col min="10195" max="10195" width="22.7109375" style="1" customWidth="1"/>
    <col min="10196" max="10196" width="19.140625" style="1" customWidth="1"/>
    <col min="10197" max="10198" width="17.140625" style="1" customWidth="1"/>
    <col min="10199" max="10199" width="19.5703125" style="1" customWidth="1"/>
    <col min="10200" max="10201" width="16.28515625" style="1" customWidth="1"/>
    <col min="10202" max="10202" width="12" style="1" customWidth="1"/>
    <col min="10203" max="10203" width="13.42578125" style="1" customWidth="1"/>
    <col min="10204" max="10208" width="15.42578125" style="1" customWidth="1"/>
    <col min="10209" max="10212" width="14.5703125" style="1" customWidth="1"/>
    <col min="10213" max="10213" width="15" style="1" customWidth="1"/>
    <col min="10214" max="10214" width="14.5703125" style="1" customWidth="1"/>
    <col min="10215" max="10227" width="14.140625" style="1" customWidth="1"/>
    <col min="10228" max="10228" width="17.5703125" style="1" customWidth="1"/>
    <col min="10229" max="10229" width="13.140625" style="1" customWidth="1"/>
    <col min="10230" max="10230" width="14.28515625" style="1" customWidth="1"/>
    <col min="10231" max="10234" width="13.140625" style="1" customWidth="1"/>
    <col min="10235" max="10236" width="13.85546875" style="1" customWidth="1"/>
    <col min="10237" max="10271" width="15.140625" style="1" customWidth="1"/>
    <col min="10272" max="10283" width="13.140625" style="1" customWidth="1"/>
    <col min="10284" max="10284" width="18.28515625" style="1" customWidth="1"/>
    <col min="10285" max="10285" width="15.85546875" style="1" customWidth="1"/>
    <col min="10286" max="10287" width="16.140625" style="1" customWidth="1"/>
    <col min="10288" max="10289" width="16.28515625" style="1" customWidth="1"/>
    <col min="10290" max="10290" width="17.7109375" style="1" customWidth="1"/>
    <col min="10291" max="10291" width="16.28515625" style="1" customWidth="1"/>
    <col min="10292" max="10292" width="18.42578125" style="1" customWidth="1"/>
    <col min="10293" max="10293" width="19.140625" style="1" customWidth="1"/>
    <col min="10294" max="10294" width="18.28515625" style="1" customWidth="1"/>
    <col min="10295" max="10296" width="16.7109375" style="1" customWidth="1"/>
    <col min="10297" max="10300" width="13.140625" style="1" customWidth="1"/>
    <col min="10301" max="10301" width="18.42578125" style="1" customWidth="1"/>
    <col min="10302" max="10302" width="13.140625" style="1" customWidth="1"/>
    <col min="10303" max="10303" width="14.42578125" style="1" customWidth="1"/>
    <col min="10304" max="10304" width="16.28515625" style="1" customWidth="1"/>
    <col min="10305" max="10308" width="14.42578125" style="1" customWidth="1"/>
    <col min="10309" max="10310" width="13.140625" style="1" customWidth="1"/>
    <col min="10311" max="10311" width="15.5703125" style="1" customWidth="1"/>
    <col min="10312" max="10312" width="13.140625" style="1" customWidth="1"/>
    <col min="10313" max="10314" width="14.140625" style="1" customWidth="1"/>
    <col min="10315" max="10315" width="17.7109375" style="1" customWidth="1"/>
    <col min="10316" max="10317" width="13.140625" style="1" customWidth="1"/>
    <col min="10318" max="10318" width="17.140625" style="1" customWidth="1"/>
    <col min="10319" max="10319" width="13.140625" style="1" customWidth="1"/>
    <col min="10320" max="10320" width="14.140625" style="1" customWidth="1"/>
    <col min="10321" max="10321" width="13.140625" style="1" customWidth="1"/>
    <col min="10322" max="10323" width="12.42578125" style="1" customWidth="1"/>
    <col min="10324" max="10324" width="12.140625" style="1" customWidth="1"/>
    <col min="10325" max="10325" width="12.42578125" style="1" customWidth="1"/>
    <col min="10326" max="10326" width="12.140625" style="1" customWidth="1"/>
    <col min="10327" max="10328" width="16.140625" style="1" customWidth="1"/>
    <col min="10329" max="10329" width="16.85546875" style="1" customWidth="1"/>
    <col min="10330" max="10330" width="17.28515625" style="1" customWidth="1"/>
    <col min="10331" max="10331" width="17.42578125" style="1" customWidth="1"/>
    <col min="10332" max="10332" width="16.140625" style="1" customWidth="1"/>
    <col min="10333" max="10333" width="15.5703125" style="1" customWidth="1"/>
    <col min="10334" max="10334" width="17.85546875" style="1" customWidth="1"/>
    <col min="10335" max="10335" width="17.42578125" style="1" customWidth="1"/>
    <col min="10336" max="10336" width="17.28515625" style="1" customWidth="1"/>
    <col min="10337" max="10337" width="17" style="1" customWidth="1"/>
    <col min="10338" max="10338" width="15.5703125" style="1" customWidth="1"/>
    <col min="10339" max="10339" width="16.85546875" style="1" customWidth="1"/>
    <col min="10340" max="10340" width="16.7109375" style="1" customWidth="1"/>
    <col min="10341" max="10341" width="16.28515625" style="1" customWidth="1"/>
    <col min="10342" max="10342" width="17" style="1" customWidth="1"/>
    <col min="10343" max="10343" width="17.85546875" style="1" customWidth="1"/>
    <col min="10344" max="10344" width="17" style="1" customWidth="1"/>
    <col min="10345" max="10345" width="16.42578125" style="1" customWidth="1"/>
    <col min="10346" max="10346" width="16.140625" style="1" customWidth="1"/>
    <col min="10347" max="10449" width="9.85546875" style="1"/>
    <col min="10450" max="10450" width="20.5703125" style="1" customWidth="1"/>
    <col min="10451" max="10451" width="22.7109375" style="1" customWidth="1"/>
    <col min="10452" max="10452" width="19.140625" style="1" customWidth="1"/>
    <col min="10453" max="10454" width="17.140625" style="1" customWidth="1"/>
    <col min="10455" max="10455" width="19.5703125" style="1" customWidth="1"/>
    <col min="10456" max="10457" width="16.28515625" style="1" customWidth="1"/>
    <col min="10458" max="10458" width="12" style="1" customWidth="1"/>
    <col min="10459" max="10459" width="13.42578125" style="1" customWidth="1"/>
    <col min="10460" max="10464" width="15.42578125" style="1" customWidth="1"/>
    <col min="10465" max="10468" width="14.5703125" style="1" customWidth="1"/>
    <col min="10469" max="10469" width="15" style="1" customWidth="1"/>
    <col min="10470" max="10470" width="14.5703125" style="1" customWidth="1"/>
    <col min="10471" max="10483" width="14.140625" style="1" customWidth="1"/>
    <col min="10484" max="10484" width="17.5703125" style="1" customWidth="1"/>
    <col min="10485" max="10485" width="13.140625" style="1" customWidth="1"/>
    <col min="10486" max="10486" width="14.28515625" style="1" customWidth="1"/>
    <col min="10487" max="10490" width="13.140625" style="1" customWidth="1"/>
    <col min="10491" max="10492" width="13.85546875" style="1" customWidth="1"/>
    <col min="10493" max="10527" width="15.140625" style="1" customWidth="1"/>
    <col min="10528" max="10539" width="13.140625" style="1" customWidth="1"/>
    <col min="10540" max="10540" width="18.28515625" style="1" customWidth="1"/>
    <col min="10541" max="10541" width="15.85546875" style="1" customWidth="1"/>
    <col min="10542" max="10543" width="16.140625" style="1" customWidth="1"/>
    <col min="10544" max="10545" width="16.28515625" style="1" customWidth="1"/>
    <col min="10546" max="10546" width="17.7109375" style="1" customWidth="1"/>
    <col min="10547" max="10547" width="16.28515625" style="1" customWidth="1"/>
    <col min="10548" max="10548" width="18.42578125" style="1" customWidth="1"/>
    <col min="10549" max="10549" width="19.140625" style="1" customWidth="1"/>
    <col min="10550" max="10550" width="18.28515625" style="1" customWidth="1"/>
    <col min="10551" max="10552" width="16.7109375" style="1" customWidth="1"/>
    <col min="10553" max="10556" width="13.140625" style="1" customWidth="1"/>
    <col min="10557" max="10557" width="18.42578125" style="1" customWidth="1"/>
    <col min="10558" max="10558" width="13.140625" style="1" customWidth="1"/>
    <col min="10559" max="10559" width="14.42578125" style="1" customWidth="1"/>
    <col min="10560" max="10560" width="16.28515625" style="1" customWidth="1"/>
    <col min="10561" max="10564" width="14.42578125" style="1" customWidth="1"/>
    <col min="10565" max="10566" width="13.140625" style="1" customWidth="1"/>
    <col min="10567" max="10567" width="15.5703125" style="1" customWidth="1"/>
    <col min="10568" max="10568" width="13.140625" style="1" customWidth="1"/>
    <col min="10569" max="10570" width="14.140625" style="1" customWidth="1"/>
    <col min="10571" max="10571" width="17.7109375" style="1" customWidth="1"/>
    <col min="10572" max="10573" width="13.140625" style="1" customWidth="1"/>
    <col min="10574" max="10574" width="17.140625" style="1" customWidth="1"/>
    <col min="10575" max="10575" width="13.140625" style="1" customWidth="1"/>
    <col min="10576" max="10576" width="14.140625" style="1" customWidth="1"/>
    <col min="10577" max="10577" width="13.140625" style="1" customWidth="1"/>
    <col min="10578" max="10579" width="12.42578125" style="1" customWidth="1"/>
    <col min="10580" max="10580" width="12.140625" style="1" customWidth="1"/>
    <col min="10581" max="10581" width="12.42578125" style="1" customWidth="1"/>
    <col min="10582" max="10582" width="12.140625" style="1" customWidth="1"/>
    <col min="10583" max="10584" width="16.140625" style="1" customWidth="1"/>
    <col min="10585" max="10585" width="16.85546875" style="1" customWidth="1"/>
    <col min="10586" max="10586" width="17.28515625" style="1" customWidth="1"/>
    <col min="10587" max="10587" width="17.42578125" style="1" customWidth="1"/>
    <col min="10588" max="10588" width="16.140625" style="1" customWidth="1"/>
    <col min="10589" max="10589" width="15.5703125" style="1" customWidth="1"/>
    <col min="10590" max="10590" width="17.85546875" style="1" customWidth="1"/>
    <col min="10591" max="10591" width="17.42578125" style="1" customWidth="1"/>
    <col min="10592" max="10592" width="17.28515625" style="1" customWidth="1"/>
    <col min="10593" max="10593" width="17" style="1" customWidth="1"/>
    <col min="10594" max="10594" width="15.5703125" style="1" customWidth="1"/>
    <col min="10595" max="10595" width="16.85546875" style="1" customWidth="1"/>
    <col min="10596" max="10596" width="16.7109375" style="1" customWidth="1"/>
    <col min="10597" max="10597" width="16.28515625" style="1" customWidth="1"/>
    <col min="10598" max="10598" width="17" style="1" customWidth="1"/>
    <col min="10599" max="10599" width="17.85546875" style="1" customWidth="1"/>
    <col min="10600" max="10600" width="17" style="1" customWidth="1"/>
    <col min="10601" max="10601" width="16.42578125" style="1" customWidth="1"/>
    <col min="10602" max="10602" width="16.140625" style="1" customWidth="1"/>
    <col min="10603" max="10705" width="9.85546875" style="1"/>
    <col min="10706" max="10706" width="20.5703125" style="1" customWidth="1"/>
    <col min="10707" max="10707" width="22.7109375" style="1" customWidth="1"/>
    <col min="10708" max="10708" width="19.140625" style="1" customWidth="1"/>
    <col min="10709" max="10710" width="17.140625" style="1" customWidth="1"/>
    <col min="10711" max="10711" width="19.5703125" style="1" customWidth="1"/>
    <col min="10712" max="10713" width="16.28515625" style="1" customWidth="1"/>
    <col min="10714" max="10714" width="12" style="1" customWidth="1"/>
    <col min="10715" max="10715" width="13.42578125" style="1" customWidth="1"/>
    <col min="10716" max="10720" width="15.42578125" style="1" customWidth="1"/>
    <col min="10721" max="10724" width="14.5703125" style="1" customWidth="1"/>
    <col min="10725" max="10725" width="15" style="1" customWidth="1"/>
    <col min="10726" max="10726" width="14.5703125" style="1" customWidth="1"/>
    <col min="10727" max="10739" width="14.140625" style="1" customWidth="1"/>
    <col min="10740" max="10740" width="17.5703125" style="1" customWidth="1"/>
    <col min="10741" max="10741" width="13.140625" style="1" customWidth="1"/>
    <col min="10742" max="10742" width="14.28515625" style="1" customWidth="1"/>
    <col min="10743" max="10746" width="13.140625" style="1" customWidth="1"/>
    <col min="10747" max="10748" width="13.85546875" style="1" customWidth="1"/>
    <col min="10749" max="10783" width="15.140625" style="1" customWidth="1"/>
    <col min="10784" max="10795" width="13.140625" style="1" customWidth="1"/>
    <col min="10796" max="10796" width="18.28515625" style="1" customWidth="1"/>
    <col min="10797" max="10797" width="15.85546875" style="1" customWidth="1"/>
    <col min="10798" max="10799" width="16.140625" style="1" customWidth="1"/>
    <col min="10800" max="10801" width="16.28515625" style="1" customWidth="1"/>
    <col min="10802" max="10802" width="17.7109375" style="1" customWidth="1"/>
    <col min="10803" max="10803" width="16.28515625" style="1" customWidth="1"/>
    <col min="10804" max="10804" width="18.42578125" style="1" customWidth="1"/>
    <col min="10805" max="10805" width="19.140625" style="1" customWidth="1"/>
    <col min="10806" max="10806" width="18.28515625" style="1" customWidth="1"/>
    <col min="10807" max="10808" width="16.7109375" style="1" customWidth="1"/>
    <col min="10809" max="10812" width="13.140625" style="1" customWidth="1"/>
    <col min="10813" max="10813" width="18.42578125" style="1" customWidth="1"/>
    <col min="10814" max="10814" width="13.140625" style="1" customWidth="1"/>
    <col min="10815" max="10815" width="14.42578125" style="1" customWidth="1"/>
    <col min="10816" max="10816" width="16.28515625" style="1" customWidth="1"/>
    <col min="10817" max="10820" width="14.42578125" style="1" customWidth="1"/>
    <col min="10821" max="10822" width="13.140625" style="1" customWidth="1"/>
    <col min="10823" max="10823" width="15.5703125" style="1" customWidth="1"/>
    <col min="10824" max="10824" width="13.140625" style="1" customWidth="1"/>
    <col min="10825" max="10826" width="14.140625" style="1" customWidth="1"/>
    <col min="10827" max="10827" width="17.7109375" style="1" customWidth="1"/>
    <col min="10828" max="10829" width="13.140625" style="1" customWidth="1"/>
    <col min="10830" max="10830" width="17.140625" style="1" customWidth="1"/>
    <col min="10831" max="10831" width="13.140625" style="1" customWidth="1"/>
    <col min="10832" max="10832" width="14.140625" style="1" customWidth="1"/>
    <col min="10833" max="10833" width="13.140625" style="1" customWidth="1"/>
    <col min="10834" max="10835" width="12.42578125" style="1" customWidth="1"/>
    <col min="10836" max="10836" width="12.140625" style="1" customWidth="1"/>
    <col min="10837" max="10837" width="12.42578125" style="1" customWidth="1"/>
    <col min="10838" max="10838" width="12.140625" style="1" customWidth="1"/>
    <col min="10839" max="10840" width="16.140625" style="1" customWidth="1"/>
    <col min="10841" max="10841" width="16.85546875" style="1" customWidth="1"/>
    <col min="10842" max="10842" width="17.28515625" style="1" customWidth="1"/>
    <col min="10843" max="10843" width="17.42578125" style="1" customWidth="1"/>
    <col min="10844" max="10844" width="16.140625" style="1" customWidth="1"/>
    <col min="10845" max="10845" width="15.5703125" style="1" customWidth="1"/>
    <col min="10846" max="10846" width="17.85546875" style="1" customWidth="1"/>
    <col min="10847" max="10847" width="17.42578125" style="1" customWidth="1"/>
    <col min="10848" max="10848" width="17.28515625" style="1" customWidth="1"/>
    <col min="10849" max="10849" width="17" style="1" customWidth="1"/>
    <col min="10850" max="10850" width="15.5703125" style="1" customWidth="1"/>
    <col min="10851" max="10851" width="16.85546875" style="1" customWidth="1"/>
    <col min="10852" max="10852" width="16.7109375" style="1" customWidth="1"/>
    <col min="10853" max="10853" width="16.28515625" style="1" customWidth="1"/>
    <col min="10854" max="10854" width="17" style="1" customWidth="1"/>
    <col min="10855" max="10855" width="17.85546875" style="1" customWidth="1"/>
    <col min="10856" max="10856" width="17" style="1" customWidth="1"/>
    <col min="10857" max="10857" width="16.42578125" style="1" customWidth="1"/>
    <col min="10858" max="10858" width="16.140625" style="1" customWidth="1"/>
    <col min="10859" max="10961" width="9.85546875" style="1"/>
    <col min="10962" max="10962" width="20.5703125" style="1" customWidth="1"/>
    <col min="10963" max="10963" width="22.7109375" style="1" customWidth="1"/>
    <col min="10964" max="10964" width="19.140625" style="1" customWidth="1"/>
    <col min="10965" max="10966" width="17.140625" style="1" customWidth="1"/>
    <col min="10967" max="10967" width="19.5703125" style="1" customWidth="1"/>
    <col min="10968" max="10969" width="16.28515625" style="1" customWidth="1"/>
    <col min="10970" max="10970" width="12" style="1" customWidth="1"/>
    <col min="10971" max="10971" width="13.42578125" style="1" customWidth="1"/>
    <col min="10972" max="10976" width="15.42578125" style="1" customWidth="1"/>
    <col min="10977" max="10980" width="14.5703125" style="1" customWidth="1"/>
    <col min="10981" max="10981" width="15" style="1" customWidth="1"/>
    <col min="10982" max="10982" width="14.5703125" style="1" customWidth="1"/>
    <col min="10983" max="10995" width="14.140625" style="1" customWidth="1"/>
    <col min="10996" max="10996" width="17.5703125" style="1" customWidth="1"/>
    <col min="10997" max="10997" width="13.140625" style="1" customWidth="1"/>
    <col min="10998" max="10998" width="14.28515625" style="1" customWidth="1"/>
    <col min="10999" max="11002" width="13.140625" style="1" customWidth="1"/>
    <col min="11003" max="11004" width="13.85546875" style="1" customWidth="1"/>
    <col min="11005" max="11039" width="15.140625" style="1" customWidth="1"/>
    <col min="11040" max="11051" width="13.140625" style="1" customWidth="1"/>
    <col min="11052" max="11052" width="18.28515625" style="1" customWidth="1"/>
    <col min="11053" max="11053" width="15.85546875" style="1" customWidth="1"/>
    <col min="11054" max="11055" width="16.140625" style="1" customWidth="1"/>
    <col min="11056" max="11057" width="16.28515625" style="1" customWidth="1"/>
    <col min="11058" max="11058" width="17.7109375" style="1" customWidth="1"/>
    <col min="11059" max="11059" width="16.28515625" style="1" customWidth="1"/>
    <col min="11060" max="11060" width="18.42578125" style="1" customWidth="1"/>
    <col min="11061" max="11061" width="19.140625" style="1" customWidth="1"/>
    <col min="11062" max="11062" width="18.28515625" style="1" customWidth="1"/>
    <col min="11063" max="11064" width="16.7109375" style="1" customWidth="1"/>
    <col min="11065" max="11068" width="13.140625" style="1" customWidth="1"/>
    <col min="11069" max="11069" width="18.42578125" style="1" customWidth="1"/>
    <col min="11070" max="11070" width="13.140625" style="1" customWidth="1"/>
    <col min="11071" max="11071" width="14.42578125" style="1" customWidth="1"/>
    <col min="11072" max="11072" width="16.28515625" style="1" customWidth="1"/>
    <col min="11073" max="11076" width="14.42578125" style="1" customWidth="1"/>
    <col min="11077" max="11078" width="13.140625" style="1" customWidth="1"/>
    <col min="11079" max="11079" width="15.5703125" style="1" customWidth="1"/>
    <col min="11080" max="11080" width="13.140625" style="1" customWidth="1"/>
    <col min="11081" max="11082" width="14.140625" style="1" customWidth="1"/>
    <col min="11083" max="11083" width="17.7109375" style="1" customWidth="1"/>
    <col min="11084" max="11085" width="13.140625" style="1" customWidth="1"/>
    <col min="11086" max="11086" width="17.140625" style="1" customWidth="1"/>
    <col min="11087" max="11087" width="13.140625" style="1" customWidth="1"/>
    <col min="11088" max="11088" width="14.140625" style="1" customWidth="1"/>
    <col min="11089" max="11089" width="13.140625" style="1" customWidth="1"/>
    <col min="11090" max="11091" width="12.42578125" style="1" customWidth="1"/>
    <col min="11092" max="11092" width="12.140625" style="1" customWidth="1"/>
    <col min="11093" max="11093" width="12.42578125" style="1" customWidth="1"/>
    <col min="11094" max="11094" width="12.140625" style="1" customWidth="1"/>
    <col min="11095" max="11096" width="16.140625" style="1" customWidth="1"/>
    <col min="11097" max="11097" width="16.85546875" style="1" customWidth="1"/>
    <col min="11098" max="11098" width="17.28515625" style="1" customWidth="1"/>
    <col min="11099" max="11099" width="17.42578125" style="1" customWidth="1"/>
    <col min="11100" max="11100" width="16.140625" style="1" customWidth="1"/>
    <col min="11101" max="11101" width="15.5703125" style="1" customWidth="1"/>
    <col min="11102" max="11102" width="17.85546875" style="1" customWidth="1"/>
    <col min="11103" max="11103" width="17.42578125" style="1" customWidth="1"/>
    <col min="11104" max="11104" width="17.28515625" style="1" customWidth="1"/>
    <col min="11105" max="11105" width="17" style="1" customWidth="1"/>
    <col min="11106" max="11106" width="15.5703125" style="1" customWidth="1"/>
    <col min="11107" max="11107" width="16.85546875" style="1" customWidth="1"/>
    <col min="11108" max="11108" width="16.7109375" style="1" customWidth="1"/>
    <col min="11109" max="11109" width="16.28515625" style="1" customWidth="1"/>
    <col min="11110" max="11110" width="17" style="1" customWidth="1"/>
    <col min="11111" max="11111" width="17.85546875" style="1" customWidth="1"/>
    <col min="11112" max="11112" width="17" style="1" customWidth="1"/>
    <col min="11113" max="11113" width="16.42578125" style="1" customWidth="1"/>
    <col min="11114" max="11114" width="16.140625" style="1" customWidth="1"/>
    <col min="11115" max="11217" width="9.85546875" style="1"/>
    <col min="11218" max="11218" width="20.5703125" style="1" customWidth="1"/>
    <col min="11219" max="11219" width="22.7109375" style="1" customWidth="1"/>
    <col min="11220" max="11220" width="19.140625" style="1" customWidth="1"/>
    <col min="11221" max="11222" width="17.140625" style="1" customWidth="1"/>
    <col min="11223" max="11223" width="19.5703125" style="1" customWidth="1"/>
    <col min="11224" max="11225" width="16.28515625" style="1" customWidth="1"/>
    <col min="11226" max="11226" width="12" style="1" customWidth="1"/>
    <col min="11227" max="11227" width="13.42578125" style="1" customWidth="1"/>
    <col min="11228" max="11232" width="15.42578125" style="1" customWidth="1"/>
    <col min="11233" max="11236" width="14.5703125" style="1" customWidth="1"/>
    <col min="11237" max="11237" width="15" style="1" customWidth="1"/>
    <col min="11238" max="11238" width="14.5703125" style="1" customWidth="1"/>
    <col min="11239" max="11251" width="14.140625" style="1" customWidth="1"/>
    <col min="11252" max="11252" width="17.5703125" style="1" customWidth="1"/>
    <col min="11253" max="11253" width="13.140625" style="1" customWidth="1"/>
    <col min="11254" max="11254" width="14.28515625" style="1" customWidth="1"/>
    <col min="11255" max="11258" width="13.140625" style="1" customWidth="1"/>
    <col min="11259" max="11260" width="13.85546875" style="1" customWidth="1"/>
    <col min="11261" max="11295" width="15.140625" style="1" customWidth="1"/>
    <col min="11296" max="11307" width="13.140625" style="1" customWidth="1"/>
    <col min="11308" max="11308" width="18.28515625" style="1" customWidth="1"/>
    <col min="11309" max="11309" width="15.85546875" style="1" customWidth="1"/>
    <col min="11310" max="11311" width="16.140625" style="1" customWidth="1"/>
    <col min="11312" max="11313" width="16.28515625" style="1" customWidth="1"/>
    <col min="11314" max="11314" width="17.7109375" style="1" customWidth="1"/>
    <col min="11315" max="11315" width="16.28515625" style="1" customWidth="1"/>
    <col min="11316" max="11316" width="18.42578125" style="1" customWidth="1"/>
    <col min="11317" max="11317" width="19.140625" style="1" customWidth="1"/>
    <col min="11318" max="11318" width="18.28515625" style="1" customWidth="1"/>
    <col min="11319" max="11320" width="16.7109375" style="1" customWidth="1"/>
    <col min="11321" max="11324" width="13.140625" style="1" customWidth="1"/>
    <col min="11325" max="11325" width="18.42578125" style="1" customWidth="1"/>
    <col min="11326" max="11326" width="13.140625" style="1" customWidth="1"/>
    <col min="11327" max="11327" width="14.42578125" style="1" customWidth="1"/>
    <col min="11328" max="11328" width="16.28515625" style="1" customWidth="1"/>
    <col min="11329" max="11332" width="14.42578125" style="1" customWidth="1"/>
    <col min="11333" max="11334" width="13.140625" style="1" customWidth="1"/>
    <col min="11335" max="11335" width="15.5703125" style="1" customWidth="1"/>
    <col min="11336" max="11336" width="13.140625" style="1" customWidth="1"/>
    <col min="11337" max="11338" width="14.140625" style="1" customWidth="1"/>
    <col min="11339" max="11339" width="17.7109375" style="1" customWidth="1"/>
    <col min="11340" max="11341" width="13.140625" style="1" customWidth="1"/>
    <col min="11342" max="11342" width="17.140625" style="1" customWidth="1"/>
    <col min="11343" max="11343" width="13.140625" style="1" customWidth="1"/>
    <col min="11344" max="11344" width="14.140625" style="1" customWidth="1"/>
    <col min="11345" max="11345" width="13.140625" style="1" customWidth="1"/>
    <col min="11346" max="11347" width="12.42578125" style="1" customWidth="1"/>
    <col min="11348" max="11348" width="12.140625" style="1" customWidth="1"/>
    <col min="11349" max="11349" width="12.42578125" style="1" customWidth="1"/>
    <col min="11350" max="11350" width="12.140625" style="1" customWidth="1"/>
    <col min="11351" max="11352" width="16.140625" style="1" customWidth="1"/>
    <col min="11353" max="11353" width="16.85546875" style="1" customWidth="1"/>
    <col min="11354" max="11354" width="17.28515625" style="1" customWidth="1"/>
    <col min="11355" max="11355" width="17.42578125" style="1" customWidth="1"/>
    <col min="11356" max="11356" width="16.140625" style="1" customWidth="1"/>
    <col min="11357" max="11357" width="15.5703125" style="1" customWidth="1"/>
    <col min="11358" max="11358" width="17.85546875" style="1" customWidth="1"/>
    <col min="11359" max="11359" width="17.42578125" style="1" customWidth="1"/>
    <col min="11360" max="11360" width="17.28515625" style="1" customWidth="1"/>
    <col min="11361" max="11361" width="17" style="1" customWidth="1"/>
    <col min="11362" max="11362" width="15.5703125" style="1" customWidth="1"/>
    <col min="11363" max="11363" width="16.85546875" style="1" customWidth="1"/>
    <col min="11364" max="11364" width="16.7109375" style="1" customWidth="1"/>
    <col min="11365" max="11365" width="16.28515625" style="1" customWidth="1"/>
    <col min="11366" max="11366" width="17" style="1" customWidth="1"/>
    <col min="11367" max="11367" width="17.85546875" style="1" customWidth="1"/>
    <col min="11368" max="11368" width="17" style="1" customWidth="1"/>
    <col min="11369" max="11369" width="16.42578125" style="1" customWidth="1"/>
    <col min="11370" max="11370" width="16.140625" style="1" customWidth="1"/>
    <col min="11371" max="11473" width="9.85546875" style="1"/>
    <col min="11474" max="11474" width="20.5703125" style="1" customWidth="1"/>
    <col min="11475" max="11475" width="22.7109375" style="1" customWidth="1"/>
    <col min="11476" max="11476" width="19.140625" style="1" customWidth="1"/>
    <col min="11477" max="11478" width="17.140625" style="1" customWidth="1"/>
    <col min="11479" max="11479" width="19.5703125" style="1" customWidth="1"/>
    <col min="11480" max="11481" width="16.28515625" style="1" customWidth="1"/>
    <col min="11482" max="11482" width="12" style="1" customWidth="1"/>
    <col min="11483" max="11483" width="13.42578125" style="1" customWidth="1"/>
    <col min="11484" max="11488" width="15.42578125" style="1" customWidth="1"/>
    <col min="11489" max="11492" width="14.5703125" style="1" customWidth="1"/>
    <col min="11493" max="11493" width="15" style="1" customWidth="1"/>
    <col min="11494" max="11494" width="14.5703125" style="1" customWidth="1"/>
    <col min="11495" max="11507" width="14.140625" style="1" customWidth="1"/>
    <col min="11508" max="11508" width="17.5703125" style="1" customWidth="1"/>
    <col min="11509" max="11509" width="13.140625" style="1" customWidth="1"/>
    <col min="11510" max="11510" width="14.28515625" style="1" customWidth="1"/>
    <col min="11511" max="11514" width="13.140625" style="1" customWidth="1"/>
    <col min="11515" max="11516" width="13.85546875" style="1" customWidth="1"/>
    <col min="11517" max="11551" width="15.140625" style="1" customWidth="1"/>
    <col min="11552" max="11563" width="13.140625" style="1" customWidth="1"/>
    <col min="11564" max="11564" width="18.28515625" style="1" customWidth="1"/>
    <col min="11565" max="11565" width="15.85546875" style="1" customWidth="1"/>
    <col min="11566" max="11567" width="16.140625" style="1" customWidth="1"/>
    <col min="11568" max="11569" width="16.28515625" style="1" customWidth="1"/>
    <col min="11570" max="11570" width="17.7109375" style="1" customWidth="1"/>
    <col min="11571" max="11571" width="16.28515625" style="1" customWidth="1"/>
    <col min="11572" max="11572" width="18.42578125" style="1" customWidth="1"/>
    <col min="11573" max="11573" width="19.140625" style="1" customWidth="1"/>
    <col min="11574" max="11574" width="18.28515625" style="1" customWidth="1"/>
    <col min="11575" max="11576" width="16.7109375" style="1" customWidth="1"/>
    <col min="11577" max="11580" width="13.140625" style="1" customWidth="1"/>
    <col min="11581" max="11581" width="18.42578125" style="1" customWidth="1"/>
    <col min="11582" max="11582" width="13.140625" style="1" customWidth="1"/>
    <col min="11583" max="11583" width="14.42578125" style="1" customWidth="1"/>
    <col min="11584" max="11584" width="16.28515625" style="1" customWidth="1"/>
    <col min="11585" max="11588" width="14.42578125" style="1" customWidth="1"/>
    <col min="11589" max="11590" width="13.140625" style="1" customWidth="1"/>
    <col min="11591" max="11591" width="15.5703125" style="1" customWidth="1"/>
    <col min="11592" max="11592" width="13.140625" style="1" customWidth="1"/>
    <col min="11593" max="11594" width="14.140625" style="1" customWidth="1"/>
    <col min="11595" max="11595" width="17.7109375" style="1" customWidth="1"/>
    <col min="11596" max="11597" width="13.140625" style="1" customWidth="1"/>
    <col min="11598" max="11598" width="17.140625" style="1" customWidth="1"/>
    <col min="11599" max="11599" width="13.140625" style="1" customWidth="1"/>
    <col min="11600" max="11600" width="14.140625" style="1" customWidth="1"/>
    <col min="11601" max="11601" width="13.140625" style="1" customWidth="1"/>
    <col min="11602" max="11603" width="12.42578125" style="1" customWidth="1"/>
    <col min="11604" max="11604" width="12.140625" style="1" customWidth="1"/>
    <col min="11605" max="11605" width="12.42578125" style="1" customWidth="1"/>
    <col min="11606" max="11606" width="12.140625" style="1" customWidth="1"/>
    <col min="11607" max="11608" width="16.140625" style="1" customWidth="1"/>
    <col min="11609" max="11609" width="16.85546875" style="1" customWidth="1"/>
    <col min="11610" max="11610" width="17.28515625" style="1" customWidth="1"/>
    <col min="11611" max="11611" width="17.42578125" style="1" customWidth="1"/>
    <col min="11612" max="11612" width="16.140625" style="1" customWidth="1"/>
    <col min="11613" max="11613" width="15.5703125" style="1" customWidth="1"/>
    <col min="11614" max="11614" width="17.85546875" style="1" customWidth="1"/>
    <col min="11615" max="11615" width="17.42578125" style="1" customWidth="1"/>
    <col min="11616" max="11616" width="17.28515625" style="1" customWidth="1"/>
    <col min="11617" max="11617" width="17" style="1" customWidth="1"/>
    <col min="11618" max="11618" width="15.5703125" style="1" customWidth="1"/>
    <col min="11619" max="11619" width="16.85546875" style="1" customWidth="1"/>
    <col min="11620" max="11620" width="16.7109375" style="1" customWidth="1"/>
    <col min="11621" max="11621" width="16.28515625" style="1" customWidth="1"/>
    <col min="11622" max="11622" width="17" style="1" customWidth="1"/>
    <col min="11623" max="11623" width="17.85546875" style="1" customWidth="1"/>
    <col min="11624" max="11624" width="17" style="1" customWidth="1"/>
    <col min="11625" max="11625" width="16.42578125" style="1" customWidth="1"/>
    <col min="11626" max="11626" width="16.140625" style="1" customWidth="1"/>
    <col min="11627" max="11729" width="9.85546875" style="1"/>
    <col min="11730" max="11730" width="20.5703125" style="1" customWidth="1"/>
    <col min="11731" max="11731" width="22.7109375" style="1" customWidth="1"/>
    <col min="11732" max="11732" width="19.140625" style="1" customWidth="1"/>
    <col min="11733" max="11734" width="17.140625" style="1" customWidth="1"/>
    <col min="11735" max="11735" width="19.5703125" style="1" customWidth="1"/>
    <col min="11736" max="11737" width="16.28515625" style="1" customWidth="1"/>
    <col min="11738" max="11738" width="12" style="1" customWidth="1"/>
    <col min="11739" max="11739" width="13.42578125" style="1" customWidth="1"/>
    <col min="11740" max="11744" width="15.42578125" style="1" customWidth="1"/>
    <col min="11745" max="11748" width="14.5703125" style="1" customWidth="1"/>
    <col min="11749" max="11749" width="15" style="1" customWidth="1"/>
    <col min="11750" max="11750" width="14.5703125" style="1" customWidth="1"/>
    <col min="11751" max="11763" width="14.140625" style="1" customWidth="1"/>
    <col min="11764" max="11764" width="17.5703125" style="1" customWidth="1"/>
    <col min="11765" max="11765" width="13.140625" style="1" customWidth="1"/>
    <col min="11766" max="11766" width="14.28515625" style="1" customWidth="1"/>
    <col min="11767" max="11770" width="13.140625" style="1" customWidth="1"/>
    <col min="11771" max="11772" width="13.85546875" style="1" customWidth="1"/>
    <col min="11773" max="11807" width="15.140625" style="1" customWidth="1"/>
    <col min="11808" max="11819" width="13.140625" style="1" customWidth="1"/>
    <col min="11820" max="11820" width="18.28515625" style="1" customWidth="1"/>
    <col min="11821" max="11821" width="15.85546875" style="1" customWidth="1"/>
    <col min="11822" max="11823" width="16.140625" style="1" customWidth="1"/>
    <col min="11824" max="11825" width="16.28515625" style="1" customWidth="1"/>
    <col min="11826" max="11826" width="17.7109375" style="1" customWidth="1"/>
    <col min="11827" max="11827" width="16.28515625" style="1" customWidth="1"/>
    <col min="11828" max="11828" width="18.42578125" style="1" customWidth="1"/>
    <col min="11829" max="11829" width="19.140625" style="1" customWidth="1"/>
    <col min="11830" max="11830" width="18.28515625" style="1" customWidth="1"/>
    <col min="11831" max="11832" width="16.7109375" style="1" customWidth="1"/>
    <col min="11833" max="11836" width="13.140625" style="1" customWidth="1"/>
    <col min="11837" max="11837" width="18.42578125" style="1" customWidth="1"/>
    <col min="11838" max="11838" width="13.140625" style="1" customWidth="1"/>
    <col min="11839" max="11839" width="14.42578125" style="1" customWidth="1"/>
    <col min="11840" max="11840" width="16.28515625" style="1" customWidth="1"/>
    <col min="11841" max="11844" width="14.42578125" style="1" customWidth="1"/>
    <col min="11845" max="11846" width="13.140625" style="1" customWidth="1"/>
    <col min="11847" max="11847" width="15.5703125" style="1" customWidth="1"/>
    <col min="11848" max="11848" width="13.140625" style="1" customWidth="1"/>
    <col min="11849" max="11850" width="14.140625" style="1" customWidth="1"/>
    <col min="11851" max="11851" width="17.7109375" style="1" customWidth="1"/>
    <col min="11852" max="11853" width="13.140625" style="1" customWidth="1"/>
    <col min="11854" max="11854" width="17.140625" style="1" customWidth="1"/>
    <col min="11855" max="11855" width="13.140625" style="1" customWidth="1"/>
    <col min="11856" max="11856" width="14.140625" style="1" customWidth="1"/>
    <col min="11857" max="11857" width="13.140625" style="1" customWidth="1"/>
    <col min="11858" max="11859" width="12.42578125" style="1" customWidth="1"/>
    <col min="11860" max="11860" width="12.140625" style="1" customWidth="1"/>
    <col min="11861" max="11861" width="12.42578125" style="1" customWidth="1"/>
    <col min="11862" max="11862" width="12.140625" style="1" customWidth="1"/>
    <col min="11863" max="11864" width="16.140625" style="1" customWidth="1"/>
    <col min="11865" max="11865" width="16.85546875" style="1" customWidth="1"/>
    <col min="11866" max="11866" width="17.28515625" style="1" customWidth="1"/>
    <col min="11867" max="11867" width="17.42578125" style="1" customWidth="1"/>
    <col min="11868" max="11868" width="16.140625" style="1" customWidth="1"/>
    <col min="11869" max="11869" width="15.5703125" style="1" customWidth="1"/>
    <col min="11870" max="11870" width="17.85546875" style="1" customWidth="1"/>
    <col min="11871" max="11871" width="17.42578125" style="1" customWidth="1"/>
    <col min="11872" max="11872" width="17.28515625" style="1" customWidth="1"/>
    <col min="11873" max="11873" width="17" style="1" customWidth="1"/>
    <col min="11874" max="11874" width="15.5703125" style="1" customWidth="1"/>
    <col min="11875" max="11875" width="16.85546875" style="1" customWidth="1"/>
    <col min="11876" max="11876" width="16.7109375" style="1" customWidth="1"/>
    <col min="11877" max="11877" width="16.28515625" style="1" customWidth="1"/>
    <col min="11878" max="11878" width="17" style="1" customWidth="1"/>
    <col min="11879" max="11879" width="17.85546875" style="1" customWidth="1"/>
    <col min="11880" max="11880" width="17" style="1" customWidth="1"/>
    <col min="11881" max="11881" width="16.42578125" style="1" customWidth="1"/>
    <col min="11882" max="11882" width="16.140625" style="1" customWidth="1"/>
    <col min="11883" max="11985" width="9.85546875" style="1"/>
    <col min="11986" max="11986" width="20.5703125" style="1" customWidth="1"/>
    <col min="11987" max="11987" width="22.7109375" style="1" customWidth="1"/>
    <col min="11988" max="11988" width="19.140625" style="1" customWidth="1"/>
    <col min="11989" max="11990" width="17.140625" style="1" customWidth="1"/>
    <col min="11991" max="11991" width="19.5703125" style="1" customWidth="1"/>
    <col min="11992" max="11993" width="16.28515625" style="1" customWidth="1"/>
    <col min="11994" max="11994" width="12" style="1" customWidth="1"/>
    <col min="11995" max="11995" width="13.42578125" style="1" customWidth="1"/>
    <col min="11996" max="12000" width="15.42578125" style="1" customWidth="1"/>
    <col min="12001" max="12004" width="14.5703125" style="1" customWidth="1"/>
    <col min="12005" max="12005" width="15" style="1" customWidth="1"/>
    <col min="12006" max="12006" width="14.5703125" style="1" customWidth="1"/>
    <col min="12007" max="12019" width="14.140625" style="1" customWidth="1"/>
    <col min="12020" max="12020" width="17.5703125" style="1" customWidth="1"/>
    <col min="12021" max="12021" width="13.140625" style="1" customWidth="1"/>
    <col min="12022" max="12022" width="14.28515625" style="1" customWidth="1"/>
    <col min="12023" max="12026" width="13.140625" style="1" customWidth="1"/>
    <col min="12027" max="12028" width="13.85546875" style="1" customWidth="1"/>
    <col min="12029" max="12063" width="15.140625" style="1" customWidth="1"/>
    <col min="12064" max="12075" width="13.140625" style="1" customWidth="1"/>
    <col min="12076" max="12076" width="18.28515625" style="1" customWidth="1"/>
    <col min="12077" max="12077" width="15.85546875" style="1" customWidth="1"/>
    <col min="12078" max="12079" width="16.140625" style="1" customWidth="1"/>
    <col min="12080" max="12081" width="16.28515625" style="1" customWidth="1"/>
    <col min="12082" max="12082" width="17.7109375" style="1" customWidth="1"/>
    <col min="12083" max="12083" width="16.28515625" style="1" customWidth="1"/>
    <col min="12084" max="12084" width="18.42578125" style="1" customWidth="1"/>
    <col min="12085" max="12085" width="19.140625" style="1" customWidth="1"/>
    <col min="12086" max="12086" width="18.28515625" style="1" customWidth="1"/>
    <col min="12087" max="12088" width="16.7109375" style="1" customWidth="1"/>
    <col min="12089" max="12092" width="13.140625" style="1" customWidth="1"/>
    <col min="12093" max="12093" width="18.42578125" style="1" customWidth="1"/>
    <col min="12094" max="12094" width="13.140625" style="1" customWidth="1"/>
    <col min="12095" max="12095" width="14.42578125" style="1" customWidth="1"/>
    <col min="12096" max="12096" width="16.28515625" style="1" customWidth="1"/>
    <col min="12097" max="12100" width="14.42578125" style="1" customWidth="1"/>
    <col min="12101" max="12102" width="13.140625" style="1" customWidth="1"/>
    <col min="12103" max="12103" width="15.5703125" style="1" customWidth="1"/>
    <col min="12104" max="12104" width="13.140625" style="1" customWidth="1"/>
    <col min="12105" max="12106" width="14.140625" style="1" customWidth="1"/>
    <col min="12107" max="12107" width="17.7109375" style="1" customWidth="1"/>
    <col min="12108" max="12109" width="13.140625" style="1" customWidth="1"/>
    <col min="12110" max="12110" width="17.140625" style="1" customWidth="1"/>
    <col min="12111" max="12111" width="13.140625" style="1" customWidth="1"/>
    <col min="12112" max="12112" width="14.140625" style="1" customWidth="1"/>
    <col min="12113" max="12113" width="13.140625" style="1" customWidth="1"/>
    <col min="12114" max="12115" width="12.42578125" style="1" customWidth="1"/>
    <col min="12116" max="12116" width="12.140625" style="1" customWidth="1"/>
    <col min="12117" max="12117" width="12.42578125" style="1" customWidth="1"/>
    <col min="12118" max="12118" width="12.140625" style="1" customWidth="1"/>
    <col min="12119" max="12120" width="16.140625" style="1" customWidth="1"/>
    <col min="12121" max="12121" width="16.85546875" style="1" customWidth="1"/>
    <col min="12122" max="12122" width="17.28515625" style="1" customWidth="1"/>
    <col min="12123" max="12123" width="17.42578125" style="1" customWidth="1"/>
    <col min="12124" max="12124" width="16.140625" style="1" customWidth="1"/>
    <col min="12125" max="12125" width="15.5703125" style="1" customWidth="1"/>
    <col min="12126" max="12126" width="17.85546875" style="1" customWidth="1"/>
    <col min="12127" max="12127" width="17.42578125" style="1" customWidth="1"/>
    <col min="12128" max="12128" width="17.28515625" style="1" customWidth="1"/>
    <col min="12129" max="12129" width="17" style="1" customWidth="1"/>
    <col min="12130" max="12130" width="15.5703125" style="1" customWidth="1"/>
    <col min="12131" max="12131" width="16.85546875" style="1" customWidth="1"/>
    <col min="12132" max="12132" width="16.7109375" style="1" customWidth="1"/>
    <col min="12133" max="12133" width="16.28515625" style="1" customWidth="1"/>
    <col min="12134" max="12134" width="17" style="1" customWidth="1"/>
    <col min="12135" max="12135" width="17.85546875" style="1" customWidth="1"/>
    <col min="12136" max="12136" width="17" style="1" customWidth="1"/>
    <col min="12137" max="12137" width="16.42578125" style="1" customWidth="1"/>
    <col min="12138" max="12138" width="16.140625" style="1" customWidth="1"/>
    <col min="12139" max="12241" width="9.85546875" style="1"/>
    <col min="12242" max="12242" width="20.5703125" style="1" customWidth="1"/>
    <col min="12243" max="12243" width="22.7109375" style="1" customWidth="1"/>
    <col min="12244" max="12244" width="19.140625" style="1" customWidth="1"/>
    <col min="12245" max="12246" width="17.140625" style="1" customWidth="1"/>
    <col min="12247" max="12247" width="19.5703125" style="1" customWidth="1"/>
    <col min="12248" max="12249" width="16.28515625" style="1" customWidth="1"/>
    <col min="12250" max="12250" width="12" style="1" customWidth="1"/>
    <col min="12251" max="12251" width="13.42578125" style="1" customWidth="1"/>
    <col min="12252" max="12256" width="15.42578125" style="1" customWidth="1"/>
    <col min="12257" max="12260" width="14.5703125" style="1" customWidth="1"/>
    <col min="12261" max="12261" width="15" style="1" customWidth="1"/>
    <col min="12262" max="12262" width="14.5703125" style="1" customWidth="1"/>
    <col min="12263" max="12275" width="14.140625" style="1" customWidth="1"/>
    <col min="12276" max="12276" width="17.5703125" style="1" customWidth="1"/>
    <col min="12277" max="12277" width="13.140625" style="1" customWidth="1"/>
    <col min="12278" max="12278" width="14.28515625" style="1" customWidth="1"/>
    <col min="12279" max="12282" width="13.140625" style="1" customWidth="1"/>
    <col min="12283" max="12284" width="13.85546875" style="1" customWidth="1"/>
    <col min="12285" max="12319" width="15.140625" style="1" customWidth="1"/>
    <col min="12320" max="12331" width="13.140625" style="1" customWidth="1"/>
    <col min="12332" max="12332" width="18.28515625" style="1" customWidth="1"/>
    <col min="12333" max="12333" width="15.85546875" style="1" customWidth="1"/>
    <col min="12334" max="12335" width="16.140625" style="1" customWidth="1"/>
    <col min="12336" max="12337" width="16.28515625" style="1" customWidth="1"/>
    <col min="12338" max="12338" width="17.7109375" style="1" customWidth="1"/>
    <col min="12339" max="12339" width="16.28515625" style="1" customWidth="1"/>
    <col min="12340" max="12340" width="18.42578125" style="1" customWidth="1"/>
    <col min="12341" max="12341" width="19.140625" style="1" customWidth="1"/>
    <col min="12342" max="12342" width="18.28515625" style="1" customWidth="1"/>
    <col min="12343" max="12344" width="16.7109375" style="1" customWidth="1"/>
    <col min="12345" max="12348" width="13.140625" style="1" customWidth="1"/>
    <col min="12349" max="12349" width="18.42578125" style="1" customWidth="1"/>
    <col min="12350" max="12350" width="13.140625" style="1" customWidth="1"/>
    <col min="12351" max="12351" width="14.42578125" style="1" customWidth="1"/>
    <col min="12352" max="12352" width="16.28515625" style="1" customWidth="1"/>
    <col min="12353" max="12356" width="14.42578125" style="1" customWidth="1"/>
    <col min="12357" max="12358" width="13.140625" style="1" customWidth="1"/>
    <col min="12359" max="12359" width="15.5703125" style="1" customWidth="1"/>
    <col min="12360" max="12360" width="13.140625" style="1" customWidth="1"/>
    <col min="12361" max="12362" width="14.140625" style="1" customWidth="1"/>
    <col min="12363" max="12363" width="17.7109375" style="1" customWidth="1"/>
    <col min="12364" max="12365" width="13.140625" style="1" customWidth="1"/>
    <col min="12366" max="12366" width="17.140625" style="1" customWidth="1"/>
    <col min="12367" max="12367" width="13.140625" style="1" customWidth="1"/>
    <col min="12368" max="12368" width="14.140625" style="1" customWidth="1"/>
    <col min="12369" max="12369" width="13.140625" style="1" customWidth="1"/>
    <col min="12370" max="12371" width="12.42578125" style="1" customWidth="1"/>
    <col min="12372" max="12372" width="12.140625" style="1" customWidth="1"/>
    <col min="12373" max="12373" width="12.42578125" style="1" customWidth="1"/>
    <col min="12374" max="12374" width="12.140625" style="1" customWidth="1"/>
    <col min="12375" max="12376" width="16.140625" style="1" customWidth="1"/>
    <col min="12377" max="12377" width="16.85546875" style="1" customWidth="1"/>
    <col min="12378" max="12378" width="17.28515625" style="1" customWidth="1"/>
    <col min="12379" max="12379" width="17.42578125" style="1" customWidth="1"/>
    <col min="12380" max="12380" width="16.140625" style="1" customWidth="1"/>
    <col min="12381" max="12381" width="15.5703125" style="1" customWidth="1"/>
    <col min="12382" max="12382" width="17.85546875" style="1" customWidth="1"/>
    <col min="12383" max="12383" width="17.42578125" style="1" customWidth="1"/>
    <col min="12384" max="12384" width="17.28515625" style="1" customWidth="1"/>
    <col min="12385" max="12385" width="17" style="1" customWidth="1"/>
    <col min="12386" max="12386" width="15.5703125" style="1" customWidth="1"/>
    <col min="12387" max="12387" width="16.85546875" style="1" customWidth="1"/>
    <col min="12388" max="12388" width="16.7109375" style="1" customWidth="1"/>
    <col min="12389" max="12389" width="16.28515625" style="1" customWidth="1"/>
    <col min="12390" max="12390" width="17" style="1" customWidth="1"/>
    <col min="12391" max="12391" width="17.85546875" style="1" customWidth="1"/>
    <col min="12392" max="12392" width="17" style="1" customWidth="1"/>
    <col min="12393" max="12393" width="16.42578125" style="1" customWidth="1"/>
    <col min="12394" max="12394" width="16.140625" style="1" customWidth="1"/>
    <col min="12395" max="12497" width="9.85546875" style="1"/>
    <col min="12498" max="12498" width="20.5703125" style="1" customWidth="1"/>
    <col min="12499" max="12499" width="22.7109375" style="1" customWidth="1"/>
    <col min="12500" max="12500" width="19.140625" style="1" customWidth="1"/>
    <col min="12501" max="12502" width="17.140625" style="1" customWidth="1"/>
    <col min="12503" max="12503" width="19.5703125" style="1" customWidth="1"/>
    <col min="12504" max="12505" width="16.28515625" style="1" customWidth="1"/>
    <col min="12506" max="12506" width="12" style="1" customWidth="1"/>
    <col min="12507" max="12507" width="13.42578125" style="1" customWidth="1"/>
    <col min="12508" max="12512" width="15.42578125" style="1" customWidth="1"/>
    <col min="12513" max="12516" width="14.5703125" style="1" customWidth="1"/>
    <col min="12517" max="12517" width="15" style="1" customWidth="1"/>
    <col min="12518" max="12518" width="14.5703125" style="1" customWidth="1"/>
    <col min="12519" max="12531" width="14.140625" style="1" customWidth="1"/>
    <col min="12532" max="12532" width="17.5703125" style="1" customWidth="1"/>
    <col min="12533" max="12533" width="13.140625" style="1" customWidth="1"/>
    <col min="12534" max="12534" width="14.28515625" style="1" customWidth="1"/>
    <col min="12535" max="12538" width="13.140625" style="1" customWidth="1"/>
    <col min="12539" max="12540" width="13.85546875" style="1" customWidth="1"/>
    <col min="12541" max="12575" width="15.140625" style="1" customWidth="1"/>
    <col min="12576" max="12587" width="13.140625" style="1" customWidth="1"/>
    <col min="12588" max="12588" width="18.28515625" style="1" customWidth="1"/>
    <col min="12589" max="12589" width="15.85546875" style="1" customWidth="1"/>
    <col min="12590" max="12591" width="16.140625" style="1" customWidth="1"/>
    <col min="12592" max="12593" width="16.28515625" style="1" customWidth="1"/>
    <col min="12594" max="12594" width="17.7109375" style="1" customWidth="1"/>
    <col min="12595" max="12595" width="16.28515625" style="1" customWidth="1"/>
    <col min="12596" max="12596" width="18.42578125" style="1" customWidth="1"/>
    <col min="12597" max="12597" width="19.140625" style="1" customWidth="1"/>
    <col min="12598" max="12598" width="18.28515625" style="1" customWidth="1"/>
    <col min="12599" max="12600" width="16.7109375" style="1" customWidth="1"/>
    <col min="12601" max="12604" width="13.140625" style="1" customWidth="1"/>
    <col min="12605" max="12605" width="18.42578125" style="1" customWidth="1"/>
    <col min="12606" max="12606" width="13.140625" style="1" customWidth="1"/>
    <col min="12607" max="12607" width="14.42578125" style="1" customWidth="1"/>
    <col min="12608" max="12608" width="16.28515625" style="1" customWidth="1"/>
    <col min="12609" max="12612" width="14.42578125" style="1" customWidth="1"/>
    <col min="12613" max="12614" width="13.140625" style="1" customWidth="1"/>
    <col min="12615" max="12615" width="15.5703125" style="1" customWidth="1"/>
    <col min="12616" max="12616" width="13.140625" style="1" customWidth="1"/>
    <col min="12617" max="12618" width="14.140625" style="1" customWidth="1"/>
    <col min="12619" max="12619" width="17.7109375" style="1" customWidth="1"/>
    <col min="12620" max="12621" width="13.140625" style="1" customWidth="1"/>
    <col min="12622" max="12622" width="17.140625" style="1" customWidth="1"/>
    <col min="12623" max="12623" width="13.140625" style="1" customWidth="1"/>
    <col min="12624" max="12624" width="14.140625" style="1" customWidth="1"/>
    <col min="12625" max="12625" width="13.140625" style="1" customWidth="1"/>
    <col min="12626" max="12627" width="12.42578125" style="1" customWidth="1"/>
    <col min="12628" max="12628" width="12.140625" style="1" customWidth="1"/>
    <col min="12629" max="12629" width="12.42578125" style="1" customWidth="1"/>
    <col min="12630" max="12630" width="12.140625" style="1" customWidth="1"/>
    <col min="12631" max="12632" width="16.140625" style="1" customWidth="1"/>
    <col min="12633" max="12633" width="16.85546875" style="1" customWidth="1"/>
    <col min="12634" max="12634" width="17.28515625" style="1" customWidth="1"/>
    <col min="12635" max="12635" width="17.42578125" style="1" customWidth="1"/>
    <col min="12636" max="12636" width="16.140625" style="1" customWidth="1"/>
    <col min="12637" max="12637" width="15.5703125" style="1" customWidth="1"/>
    <col min="12638" max="12638" width="17.85546875" style="1" customWidth="1"/>
    <col min="12639" max="12639" width="17.42578125" style="1" customWidth="1"/>
    <col min="12640" max="12640" width="17.28515625" style="1" customWidth="1"/>
    <col min="12641" max="12641" width="17" style="1" customWidth="1"/>
    <col min="12642" max="12642" width="15.5703125" style="1" customWidth="1"/>
    <col min="12643" max="12643" width="16.85546875" style="1" customWidth="1"/>
    <col min="12644" max="12644" width="16.7109375" style="1" customWidth="1"/>
    <col min="12645" max="12645" width="16.28515625" style="1" customWidth="1"/>
    <col min="12646" max="12646" width="17" style="1" customWidth="1"/>
    <col min="12647" max="12647" width="17.85546875" style="1" customWidth="1"/>
    <col min="12648" max="12648" width="17" style="1" customWidth="1"/>
    <col min="12649" max="12649" width="16.42578125" style="1" customWidth="1"/>
    <col min="12650" max="12650" width="16.140625" style="1" customWidth="1"/>
    <col min="12651" max="12753" width="9.85546875" style="1"/>
    <col min="12754" max="12754" width="20.5703125" style="1" customWidth="1"/>
    <col min="12755" max="12755" width="22.7109375" style="1" customWidth="1"/>
    <col min="12756" max="12756" width="19.140625" style="1" customWidth="1"/>
    <col min="12757" max="12758" width="17.140625" style="1" customWidth="1"/>
    <col min="12759" max="12759" width="19.5703125" style="1" customWidth="1"/>
    <col min="12760" max="12761" width="16.28515625" style="1" customWidth="1"/>
    <col min="12762" max="12762" width="12" style="1" customWidth="1"/>
    <col min="12763" max="12763" width="13.42578125" style="1" customWidth="1"/>
    <col min="12764" max="12768" width="15.42578125" style="1" customWidth="1"/>
    <col min="12769" max="12772" width="14.5703125" style="1" customWidth="1"/>
    <col min="12773" max="12773" width="15" style="1" customWidth="1"/>
    <col min="12774" max="12774" width="14.5703125" style="1" customWidth="1"/>
    <col min="12775" max="12787" width="14.140625" style="1" customWidth="1"/>
    <col min="12788" max="12788" width="17.5703125" style="1" customWidth="1"/>
    <col min="12789" max="12789" width="13.140625" style="1" customWidth="1"/>
    <col min="12790" max="12790" width="14.28515625" style="1" customWidth="1"/>
    <col min="12791" max="12794" width="13.140625" style="1" customWidth="1"/>
    <col min="12795" max="12796" width="13.85546875" style="1" customWidth="1"/>
    <col min="12797" max="12831" width="15.140625" style="1" customWidth="1"/>
    <col min="12832" max="12843" width="13.140625" style="1" customWidth="1"/>
    <col min="12844" max="12844" width="18.28515625" style="1" customWidth="1"/>
    <col min="12845" max="12845" width="15.85546875" style="1" customWidth="1"/>
    <col min="12846" max="12847" width="16.140625" style="1" customWidth="1"/>
    <col min="12848" max="12849" width="16.28515625" style="1" customWidth="1"/>
    <col min="12850" max="12850" width="17.7109375" style="1" customWidth="1"/>
    <col min="12851" max="12851" width="16.28515625" style="1" customWidth="1"/>
    <col min="12852" max="12852" width="18.42578125" style="1" customWidth="1"/>
    <col min="12853" max="12853" width="19.140625" style="1" customWidth="1"/>
    <col min="12854" max="12854" width="18.28515625" style="1" customWidth="1"/>
    <col min="12855" max="12856" width="16.7109375" style="1" customWidth="1"/>
    <col min="12857" max="12860" width="13.140625" style="1" customWidth="1"/>
    <col min="12861" max="12861" width="18.42578125" style="1" customWidth="1"/>
    <col min="12862" max="12862" width="13.140625" style="1" customWidth="1"/>
    <col min="12863" max="12863" width="14.42578125" style="1" customWidth="1"/>
    <col min="12864" max="12864" width="16.28515625" style="1" customWidth="1"/>
    <col min="12865" max="12868" width="14.42578125" style="1" customWidth="1"/>
    <col min="12869" max="12870" width="13.140625" style="1" customWidth="1"/>
    <col min="12871" max="12871" width="15.5703125" style="1" customWidth="1"/>
    <col min="12872" max="12872" width="13.140625" style="1" customWidth="1"/>
    <col min="12873" max="12874" width="14.140625" style="1" customWidth="1"/>
    <col min="12875" max="12875" width="17.7109375" style="1" customWidth="1"/>
    <col min="12876" max="12877" width="13.140625" style="1" customWidth="1"/>
    <col min="12878" max="12878" width="17.140625" style="1" customWidth="1"/>
    <col min="12879" max="12879" width="13.140625" style="1" customWidth="1"/>
    <col min="12880" max="12880" width="14.140625" style="1" customWidth="1"/>
    <col min="12881" max="12881" width="13.140625" style="1" customWidth="1"/>
    <col min="12882" max="12883" width="12.42578125" style="1" customWidth="1"/>
    <col min="12884" max="12884" width="12.140625" style="1" customWidth="1"/>
    <col min="12885" max="12885" width="12.42578125" style="1" customWidth="1"/>
    <col min="12886" max="12886" width="12.140625" style="1" customWidth="1"/>
    <col min="12887" max="12888" width="16.140625" style="1" customWidth="1"/>
    <col min="12889" max="12889" width="16.85546875" style="1" customWidth="1"/>
    <col min="12890" max="12890" width="17.28515625" style="1" customWidth="1"/>
    <col min="12891" max="12891" width="17.42578125" style="1" customWidth="1"/>
    <col min="12892" max="12892" width="16.140625" style="1" customWidth="1"/>
    <col min="12893" max="12893" width="15.5703125" style="1" customWidth="1"/>
    <col min="12894" max="12894" width="17.85546875" style="1" customWidth="1"/>
    <col min="12895" max="12895" width="17.42578125" style="1" customWidth="1"/>
    <col min="12896" max="12896" width="17.28515625" style="1" customWidth="1"/>
    <col min="12897" max="12897" width="17" style="1" customWidth="1"/>
    <col min="12898" max="12898" width="15.5703125" style="1" customWidth="1"/>
    <col min="12899" max="12899" width="16.85546875" style="1" customWidth="1"/>
    <col min="12900" max="12900" width="16.7109375" style="1" customWidth="1"/>
    <col min="12901" max="12901" width="16.28515625" style="1" customWidth="1"/>
    <col min="12902" max="12902" width="17" style="1" customWidth="1"/>
    <col min="12903" max="12903" width="17.85546875" style="1" customWidth="1"/>
    <col min="12904" max="12904" width="17" style="1" customWidth="1"/>
    <col min="12905" max="12905" width="16.42578125" style="1" customWidth="1"/>
    <col min="12906" max="12906" width="16.140625" style="1" customWidth="1"/>
    <col min="12907" max="13009" width="9.85546875" style="1"/>
    <col min="13010" max="13010" width="20.5703125" style="1" customWidth="1"/>
    <col min="13011" max="13011" width="22.7109375" style="1" customWidth="1"/>
    <col min="13012" max="13012" width="19.140625" style="1" customWidth="1"/>
    <col min="13013" max="13014" width="17.140625" style="1" customWidth="1"/>
    <col min="13015" max="13015" width="19.5703125" style="1" customWidth="1"/>
    <col min="13016" max="13017" width="16.28515625" style="1" customWidth="1"/>
    <col min="13018" max="13018" width="12" style="1" customWidth="1"/>
    <col min="13019" max="13019" width="13.42578125" style="1" customWidth="1"/>
    <col min="13020" max="13024" width="15.42578125" style="1" customWidth="1"/>
    <col min="13025" max="13028" width="14.5703125" style="1" customWidth="1"/>
    <col min="13029" max="13029" width="15" style="1" customWidth="1"/>
    <col min="13030" max="13030" width="14.5703125" style="1" customWidth="1"/>
    <col min="13031" max="13043" width="14.140625" style="1" customWidth="1"/>
    <col min="13044" max="13044" width="17.5703125" style="1" customWidth="1"/>
    <col min="13045" max="13045" width="13.140625" style="1" customWidth="1"/>
    <col min="13046" max="13046" width="14.28515625" style="1" customWidth="1"/>
    <col min="13047" max="13050" width="13.140625" style="1" customWidth="1"/>
    <col min="13051" max="13052" width="13.85546875" style="1" customWidth="1"/>
    <col min="13053" max="13087" width="15.140625" style="1" customWidth="1"/>
    <col min="13088" max="13099" width="13.140625" style="1" customWidth="1"/>
    <col min="13100" max="13100" width="18.28515625" style="1" customWidth="1"/>
    <col min="13101" max="13101" width="15.85546875" style="1" customWidth="1"/>
    <col min="13102" max="13103" width="16.140625" style="1" customWidth="1"/>
    <col min="13104" max="13105" width="16.28515625" style="1" customWidth="1"/>
    <col min="13106" max="13106" width="17.7109375" style="1" customWidth="1"/>
    <col min="13107" max="13107" width="16.28515625" style="1" customWidth="1"/>
    <col min="13108" max="13108" width="18.42578125" style="1" customWidth="1"/>
    <col min="13109" max="13109" width="19.140625" style="1" customWidth="1"/>
    <col min="13110" max="13110" width="18.28515625" style="1" customWidth="1"/>
    <col min="13111" max="13112" width="16.7109375" style="1" customWidth="1"/>
    <col min="13113" max="13116" width="13.140625" style="1" customWidth="1"/>
    <col min="13117" max="13117" width="18.42578125" style="1" customWidth="1"/>
    <col min="13118" max="13118" width="13.140625" style="1" customWidth="1"/>
    <col min="13119" max="13119" width="14.42578125" style="1" customWidth="1"/>
    <col min="13120" max="13120" width="16.28515625" style="1" customWidth="1"/>
    <col min="13121" max="13124" width="14.42578125" style="1" customWidth="1"/>
    <col min="13125" max="13126" width="13.140625" style="1" customWidth="1"/>
    <col min="13127" max="13127" width="15.5703125" style="1" customWidth="1"/>
    <col min="13128" max="13128" width="13.140625" style="1" customWidth="1"/>
    <col min="13129" max="13130" width="14.140625" style="1" customWidth="1"/>
    <col min="13131" max="13131" width="17.7109375" style="1" customWidth="1"/>
    <col min="13132" max="13133" width="13.140625" style="1" customWidth="1"/>
    <col min="13134" max="13134" width="17.140625" style="1" customWidth="1"/>
    <col min="13135" max="13135" width="13.140625" style="1" customWidth="1"/>
    <col min="13136" max="13136" width="14.140625" style="1" customWidth="1"/>
    <col min="13137" max="13137" width="13.140625" style="1" customWidth="1"/>
    <col min="13138" max="13139" width="12.42578125" style="1" customWidth="1"/>
    <col min="13140" max="13140" width="12.140625" style="1" customWidth="1"/>
    <col min="13141" max="13141" width="12.42578125" style="1" customWidth="1"/>
    <col min="13142" max="13142" width="12.140625" style="1" customWidth="1"/>
    <col min="13143" max="13144" width="16.140625" style="1" customWidth="1"/>
    <col min="13145" max="13145" width="16.85546875" style="1" customWidth="1"/>
    <col min="13146" max="13146" width="17.28515625" style="1" customWidth="1"/>
    <col min="13147" max="13147" width="17.42578125" style="1" customWidth="1"/>
    <col min="13148" max="13148" width="16.140625" style="1" customWidth="1"/>
    <col min="13149" max="13149" width="15.5703125" style="1" customWidth="1"/>
    <col min="13150" max="13150" width="17.85546875" style="1" customWidth="1"/>
    <col min="13151" max="13151" width="17.42578125" style="1" customWidth="1"/>
    <col min="13152" max="13152" width="17.28515625" style="1" customWidth="1"/>
    <col min="13153" max="13153" width="17" style="1" customWidth="1"/>
    <col min="13154" max="13154" width="15.5703125" style="1" customWidth="1"/>
    <col min="13155" max="13155" width="16.85546875" style="1" customWidth="1"/>
    <col min="13156" max="13156" width="16.7109375" style="1" customWidth="1"/>
    <col min="13157" max="13157" width="16.28515625" style="1" customWidth="1"/>
    <col min="13158" max="13158" width="17" style="1" customWidth="1"/>
    <col min="13159" max="13159" width="17.85546875" style="1" customWidth="1"/>
    <col min="13160" max="13160" width="17" style="1" customWidth="1"/>
    <col min="13161" max="13161" width="16.42578125" style="1" customWidth="1"/>
    <col min="13162" max="13162" width="16.140625" style="1" customWidth="1"/>
    <col min="13163" max="13265" width="9.85546875" style="1"/>
    <col min="13266" max="13266" width="20.5703125" style="1" customWidth="1"/>
    <col min="13267" max="13267" width="22.7109375" style="1" customWidth="1"/>
    <col min="13268" max="13268" width="19.140625" style="1" customWidth="1"/>
    <col min="13269" max="13270" width="17.140625" style="1" customWidth="1"/>
    <col min="13271" max="13271" width="19.5703125" style="1" customWidth="1"/>
    <col min="13272" max="13273" width="16.28515625" style="1" customWidth="1"/>
    <col min="13274" max="13274" width="12" style="1" customWidth="1"/>
    <col min="13275" max="13275" width="13.42578125" style="1" customWidth="1"/>
    <col min="13276" max="13280" width="15.42578125" style="1" customWidth="1"/>
    <col min="13281" max="13284" width="14.5703125" style="1" customWidth="1"/>
    <col min="13285" max="13285" width="15" style="1" customWidth="1"/>
    <col min="13286" max="13286" width="14.5703125" style="1" customWidth="1"/>
    <col min="13287" max="13299" width="14.140625" style="1" customWidth="1"/>
    <col min="13300" max="13300" width="17.5703125" style="1" customWidth="1"/>
    <col min="13301" max="13301" width="13.140625" style="1" customWidth="1"/>
    <col min="13302" max="13302" width="14.28515625" style="1" customWidth="1"/>
    <col min="13303" max="13306" width="13.140625" style="1" customWidth="1"/>
    <col min="13307" max="13308" width="13.85546875" style="1" customWidth="1"/>
    <col min="13309" max="13343" width="15.140625" style="1" customWidth="1"/>
    <col min="13344" max="13355" width="13.140625" style="1" customWidth="1"/>
    <col min="13356" max="13356" width="18.28515625" style="1" customWidth="1"/>
    <col min="13357" max="13357" width="15.85546875" style="1" customWidth="1"/>
    <col min="13358" max="13359" width="16.140625" style="1" customWidth="1"/>
    <col min="13360" max="13361" width="16.28515625" style="1" customWidth="1"/>
    <col min="13362" max="13362" width="17.7109375" style="1" customWidth="1"/>
    <col min="13363" max="13363" width="16.28515625" style="1" customWidth="1"/>
    <col min="13364" max="13364" width="18.42578125" style="1" customWidth="1"/>
    <col min="13365" max="13365" width="19.140625" style="1" customWidth="1"/>
    <col min="13366" max="13366" width="18.28515625" style="1" customWidth="1"/>
    <col min="13367" max="13368" width="16.7109375" style="1" customWidth="1"/>
    <col min="13369" max="13372" width="13.140625" style="1" customWidth="1"/>
    <col min="13373" max="13373" width="18.42578125" style="1" customWidth="1"/>
    <col min="13374" max="13374" width="13.140625" style="1" customWidth="1"/>
    <col min="13375" max="13375" width="14.42578125" style="1" customWidth="1"/>
    <col min="13376" max="13376" width="16.28515625" style="1" customWidth="1"/>
    <col min="13377" max="13380" width="14.42578125" style="1" customWidth="1"/>
    <col min="13381" max="13382" width="13.140625" style="1" customWidth="1"/>
    <col min="13383" max="13383" width="15.5703125" style="1" customWidth="1"/>
    <col min="13384" max="13384" width="13.140625" style="1" customWidth="1"/>
    <col min="13385" max="13386" width="14.140625" style="1" customWidth="1"/>
    <col min="13387" max="13387" width="17.7109375" style="1" customWidth="1"/>
    <col min="13388" max="13389" width="13.140625" style="1" customWidth="1"/>
    <col min="13390" max="13390" width="17.140625" style="1" customWidth="1"/>
    <col min="13391" max="13391" width="13.140625" style="1" customWidth="1"/>
    <col min="13392" max="13392" width="14.140625" style="1" customWidth="1"/>
    <col min="13393" max="13393" width="13.140625" style="1" customWidth="1"/>
    <col min="13394" max="13395" width="12.42578125" style="1" customWidth="1"/>
    <col min="13396" max="13396" width="12.140625" style="1" customWidth="1"/>
    <col min="13397" max="13397" width="12.42578125" style="1" customWidth="1"/>
    <col min="13398" max="13398" width="12.140625" style="1" customWidth="1"/>
    <col min="13399" max="13400" width="16.140625" style="1" customWidth="1"/>
    <col min="13401" max="13401" width="16.85546875" style="1" customWidth="1"/>
    <col min="13402" max="13402" width="17.28515625" style="1" customWidth="1"/>
    <col min="13403" max="13403" width="17.42578125" style="1" customWidth="1"/>
    <col min="13404" max="13404" width="16.140625" style="1" customWidth="1"/>
    <col min="13405" max="13405" width="15.5703125" style="1" customWidth="1"/>
    <col min="13406" max="13406" width="17.85546875" style="1" customWidth="1"/>
    <col min="13407" max="13407" width="17.42578125" style="1" customWidth="1"/>
    <col min="13408" max="13408" width="17.28515625" style="1" customWidth="1"/>
    <col min="13409" max="13409" width="17" style="1" customWidth="1"/>
    <col min="13410" max="13410" width="15.5703125" style="1" customWidth="1"/>
    <col min="13411" max="13411" width="16.85546875" style="1" customWidth="1"/>
    <col min="13412" max="13412" width="16.7109375" style="1" customWidth="1"/>
    <col min="13413" max="13413" width="16.28515625" style="1" customWidth="1"/>
    <col min="13414" max="13414" width="17" style="1" customWidth="1"/>
    <col min="13415" max="13415" width="17.85546875" style="1" customWidth="1"/>
    <col min="13416" max="13416" width="17" style="1" customWidth="1"/>
    <col min="13417" max="13417" width="16.42578125" style="1" customWidth="1"/>
    <col min="13418" max="13418" width="16.140625" style="1" customWidth="1"/>
    <col min="13419" max="13521" width="9.85546875" style="1"/>
    <col min="13522" max="13522" width="20.5703125" style="1" customWidth="1"/>
    <col min="13523" max="13523" width="22.7109375" style="1" customWidth="1"/>
    <col min="13524" max="13524" width="19.140625" style="1" customWidth="1"/>
    <col min="13525" max="13526" width="17.140625" style="1" customWidth="1"/>
    <col min="13527" max="13527" width="19.5703125" style="1" customWidth="1"/>
    <col min="13528" max="13529" width="16.28515625" style="1" customWidth="1"/>
    <col min="13530" max="13530" width="12" style="1" customWidth="1"/>
    <col min="13531" max="13531" width="13.42578125" style="1" customWidth="1"/>
    <col min="13532" max="13536" width="15.42578125" style="1" customWidth="1"/>
    <col min="13537" max="13540" width="14.5703125" style="1" customWidth="1"/>
    <col min="13541" max="13541" width="15" style="1" customWidth="1"/>
    <col min="13542" max="13542" width="14.5703125" style="1" customWidth="1"/>
    <col min="13543" max="13555" width="14.140625" style="1" customWidth="1"/>
    <col min="13556" max="13556" width="17.5703125" style="1" customWidth="1"/>
    <col min="13557" max="13557" width="13.140625" style="1" customWidth="1"/>
    <col min="13558" max="13558" width="14.28515625" style="1" customWidth="1"/>
    <col min="13559" max="13562" width="13.140625" style="1" customWidth="1"/>
    <col min="13563" max="13564" width="13.85546875" style="1" customWidth="1"/>
    <col min="13565" max="13599" width="15.140625" style="1" customWidth="1"/>
    <col min="13600" max="13611" width="13.140625" style="1" customWidth="1"/>
    <col min="13612" max="13612" width="18.28515625" style="1" customWidth="1"/>
    <col min="13613" max="13613" width="15.85546875" style="1" customWidth="1"/>
    <col min="13614" max="13615" width="16.140625" style="1" customWidth="1"/>
    <col min="13616" max="13617" width="16.28515625" style="1" customWidth="1"/>
    <col min="13618" max="13618" width="17.7109375" style="1" customWidth="1"/>
    <col min="13619" max="13619" width="16.28515625" style="1" customWidth="1"/>
    <col min="13620" max="13620" width="18.42578125" style="1" customWidth="1"/>
    <col min="13621" max="13621" width="19.140625" style="1" customWidth="1"/>
    <col min="13622" max="13622" width="18.28515625" style="1" customWidth="1"/>
    <col min="13623" max="13624" width="16.7109375" style="1" customWidth="1"/>
    <col min="13625" max="13628" width="13.140625" style="1" customWidth="1"/>
    <col min="13629" max="13629" width="18.42578125" style="1" customWidth="1"/>
    <col min="13630" max="13630" width="13.140625" style="1" customWidth="1"/>
    <col min="13631" max="13631" width="14.42578125" style="1" customWidth="1"/>
    <col min="13632" max="13632" width="16.28515625" style="1" customWidth="1"/>
    <col min="13633" max="13636" width="14.42578125" style="1" customWidth="1"/>
    <col min="13637" max="13638" width="13.140625" style="1" customWidth="1"/>
    <col min="13639" max="13639" width="15.5703125" style="1" customWidth="1"/>
    <col min="13640" max="13640" width="13.140625" style="1" customWidth="1"/>
    <col min="13641" max="13642" width="14.140625" style="1" customWidth="1"/>
    <col min="13643" max="13643" width="17.7109375" style="1" customWidth="1"/>
    <col min="13644" max="13645" width="13.140625" style="1" customWidth="1"/>
    <col min="13646" max="13646" width="17.140625" style="1" customWidth="1"/>
    <col min="13647" max="13647" width="13.140625" style="1" customWidth="1"/>
    <col min="13648" max="13648" width="14.140625" style="1" customWidth="1"/>
    <col min="13649" max="13649" width="13.140625" style="1" customWidth="1"/>
    <col min="13650" max="13651" width="12.42578125" style="1" customWidth="1"/>
    <col min="13652" max="13652" width="12.140625" style="1" customWidth="1"/>
    <col min="13653" max="13653" width="12.42578125" style="1" customWidth="1"/>
    <col min="13654" max="13654" width="12.140625" style="1" customWidth="1"/>
    <col min="13655" max="13656" width="16.140625" style="1" customWidth="1"/>
    <col min="13657" max="13657" width="16.85546875" style="1" customWidth="1"/>
    <col min="13658" max="13658" width="17.28515625" style="1" customWidth="1"/>
    <col min="13659" max="13659" width="17.42578125" style="1" customWidth="1"/>
    <col min="13660" max="13660" width="16.140625" style="1" customWidth="1"/>
    <col min="13661" max="13661" width="15.5703125" style="1" customWidth="1"/>
    <col min="13662" max="13662" width="17.85546875" style="1" customWidth="1"/>
    <col min="13663" max="13663" width="17.42578125" style="1" customWidth="1"/>
    <col min="13664" max="13664" width="17.28515625" style="1" customWidth="1"/>
    <col min="13665" max="13665" width="17" style="1" customWidth="1"/>
    <col min="13666" max="13666" width="15.5703125" style="1" customWidth="1"/>
    <col min="13667" max="13667" width="16.85546875" style="1" customWidth="1"/>
    <col min="13668" max="13668" width="16.7109375" style="1" customWidth="1"/>
    <col min="13669" max="13669" width="16.28515625" style="1" customWidth="1"/>
    <col min="13670" max="13670" width="17" style="1" customWidth="1"/>
    <col min="13671" max="13671" width="17.85546875" style="1" customWidth="1"/>
    <col min="13672" max="13672" width="17" style="1" customWidth="1"/>
    <col min="13673" max="13673" width="16.42578125" style="1" customWidth="1"/>
    <col min="13674" max="13674" width="16.140625" style="1" customWidth="1"/>
    <col min="13675" max="13777" width="9.85546875" style="1"/>
    <col min="13778" max="13778" width="20.5703125" style="1" customWidth="1"/>
    <col min="13779" max="13779" width="22.7109375" style="1" customWidth="1"/>
    <col min="13780" max="13780" width="19.140625" style="1" customWidth="1"/>
    <col min="13781" max="13782" width="17.140625" style="1" customWidth="1"/>
    <col min="13783" max="13783" width="19.5703125" style="1" customWidth="1"/>
    <col min="13784" max="13785" width="16.28515625" style="1" customWidth="1"/>
    <col min="13786" max="13786" width="12" style="1" customWidth="1"/>
    <col min="13787" max="13787" width="13.42578125" style="1" customWidth="1"/>
    <col min="13788" max="13792" width="15.42578125" style="1" customWidth="1"/>
    <col min="13793" max="13796" width="14.5703125" style="1" customWidth="1"/>
    <col min="13797" max="13797" width="15" style="1" customWidth="1"/>
    <col min="13798" max="13798" width="14.5703125" style="1" customWidth="1"/>
    <col min="13799" max="13811" width="14.140625" style="1" customWidth="1"/>
    <col min="13812" max="13812" width="17.5703125" style="1" customWidth="1"/>
    <col min="13813" max="13813" width="13.140625" style="1" customWidth="1"/>
    <col min="13814" max="13814" width="14.28515625" style="1" customWidth="1"/>
    <col min="13815" max="13818" width="13.140625" style="1" customWidth="1"/>
    <col min="13819" max="13820" width="13.85546875" style="1" customWidth="1"/>
    <col min="13821" max="13855" width="15.140625" style="1" customWidth="1"/>
    <col min="13856" max="13867" width="13.140625" style="1" customWidth="1"/>
    <col min="13868" max="13868" width="18.28515625" style="1" customWidth="1"/>
    <col min="13869" max="13869" width="15.85546875" style="1" customWidth="1"/>
    <col min="13870" max="13871" width="16.140625" style="1" customWidth="1"/>
    <col min="13872" max="13873" width="16.28515625" style="1" customWidth="1"/>
    <col min="13874" max="13874" width="17.7109375" style="1" customWidth="1"/>
    <col min="13875" max="13875" width="16.28515625" style="1" customWidth="1"/>
    <col min="13876" max="13876" width="18.42578125" style="1" customWidth="1"/>
    <col min="13877" max="13877" width="19.140625" style="1" customWidth="1"/>
    <col min="13878" max="13878" width="18.28515625" style="1" customWidth="1"/>
    <col min="13879" max="13880" width="16.7109375" style="1" customWidth="1"/>
    <col min="13881" max="13884" width="13.140625" style="1" customWidth="1"/>
    <col min="13885" max="13885" width="18.42578125" style="1" customWidth="1"/>
    <col min="13886" max="13886" width="13.140625" style="1" customWidth="1"/>
    <col min="13887" max="13887" width="14.42578125" style="1" customWidth="1"/>
    <col min="13888" max="13888" width="16.28515625" style="1" customWidth="1"/>
    <col min="13889" max="13892" width="14.42578125" style="1" customWidth="1"/>
    <col min="13893" max="13894" width="13.140625" style="1" customWidth="1"/>
    <col min="13895" max="13895" width="15.5703125" style="1" customWidth="1"/>
    <col min="13896" max="13896" width="13.140625" style="1" customWidth="1"/>
    <col min="13897" max="13898" width="14.140625" style="1" customWidth="1"/>
    <col min="13899" max="13899" width="17.7109375" style="1" customWidth="1"/>
    <col min="13900" max="13901" width="13.140625" style="1" customWidth="1"/>
    <col min="13902" max="13902" width="17.140625" style="1" customWidth="1"/>
    <col min="13903" max="13903" width="13.140625" style="1" customWidth="1"/>
    <col min="13904" max="13904" width="14.140625" style="1" customWidth="1"/>
    <col min="13905" max="13905" width="13.140625" style="1" customWidth="1"/>
    <col min="13906" max="13907" width="12.42578125" style="1" customWidth="1"/>
    <col min="13908" max="13908" width="12.140625" style="1" customWidth="1"/>
    <col min="13909" max="13909" width="12.42578125" style="1" customWidth="1"/>
    <col min="13910" max="13910" width="12.140625" style="1" customWidth="1"/>
    <col min="13911" max="13912" width="16.140625" style="1" customWidth="1"/>
    <col min="13913" max="13913" width="16.85546875" style="1" customWidth="1"/>
    <col min="13914" max="13914" width="17.28515625" style="1" customWidth="1"/>
    <col min="13915" max="13915" width="17.42578125" style="1" customWidth="1"/>
    <col min="13916" max="13916" width="16.140625" style="1" customWidth="1"/>
    <col min="13917" max="13917" width="15.5703125" style="1" customWidth="1"/>
    <col min="13918" max="13918" width="17.85546875" style="1" customWidth="1"/>
    <col min="13919" max="13919" width="17.42578125" style="1" customWidth="1"/>
    <col min="13920" max="13920" width="17.28515625" style="1" customWidth="1"/>
    <col min="13921" max="13921" width="17" style="1" customWidth="1"/>
    <col min="13922" max="13922" width="15.5703125" style="1" customWidth="1"/>
    <col min="13923" max="13923" width="16.85546875" style="1" customWidth="1"/>
    <col min="13924" max="13924" width="16.7109375" style="1" customWidth="1"/>
    <col min="13925" max="13925" width="16.28515625" style="1" customWidth="1"/>
    <col min="13926" max="13926" width="17" style="1" customWidth="1"/>
    <col min="13927" max="13927" width="17.85546875" style="1" customWidth="1"/>
    <col min="13928" max="13928" width="17" style="1" customWidth="1"/>
    <col min="13929" max="13929" width="16.42578125" style="1" customWidth="1"/>
    <col min="13930" max="13930" width="16.140625" style="1" customWidth="1"/>
    <col min="13931" max="14033" width="9.85546875" style="1"/>
    <col min="14034" max="14034" width="20.5703125" style="1" customWidth="1"/>
    <col min="14035" max="14035" width="22.7109375" style="1" customWidth="1"/>
    <col min="14036" max="14036" width="19.140625" style="1" customWidth="1"/>
    <col min="14037" max="14038" width="17.140625" style="1" customWidth="1"/>
    <col min="14039" max="14039" width="19.5703125" style="1" customWidth="1"/>
    <col min="14040" max="14041" width="16.28515625" style="1" customWidth="1"/>
    <col min="14042" max="14042" width="12" style="1" customWidth="1"/>
    <col min="14043" max="14043" width="13.42578125" style="1" customWidth="1"/>
    <col min="14044" max="14048" width="15.42578125" style="1" customWidth="1"/>
    <col min="14049" max="14052" width="14.5703125" style="1" customWidth="1"/>
    <col min="14053" max="14053" width="15" style="1" customWidth="1"/>
    <col min="14054" max="14054" width="14.5703125" style="1" customWidth="1"/>
    <col min="14055" max="14067" width="14.140625" style="1" customWidth="1"/>
    <col min="14068" max="14068" width="17.5703125" style="1" customWidth="1"/>
    <col min="14069" max="14069" width="13.140625" style="1" customWidth="1"/>
    <col min="14070" max="14070" width="14.28515625" style="1" customWidth="1"/>
    <col min="14071" max="14074" width="13.140625" style="1" customWidth="1"/>
    <col min="14075" max="14076" width="13.85546875" style="1" customWidth="1"/>
    <col min="14077" max="14111" width="15.140625" style="1" customWidth="1"/>
    <col min="14112" max="14123" width="13.140625" style="1" customWidth="1"/>
    <col min="14124" max="14124" width="18.28515625" style="1" customWidth="1"/>
    <col min="14125" max="14125" width="15.85546875" style="1" customWidth="1"/>
    <col min="14126" max="14127" width="16.140625" style="1" customWidth="1"/>
    <col min="14128" max="14129" width="16.28515625" style="1" customWidth="1"/>
    <col min="14130" max="14130" width="17.7109375" style="1" customWidth="1"/>
    <col min="14131" max="14131" width="16.28515625" style="1" customWidth="1"/>
    <col min="14132" max="14132" width="18.42578125" style="1" customWidth="1"/>
    <col min="14133" max="14133" width="19.140625" style="1" customWidth="1"/>
    <col min="14134" max="14134" width="18.28515625" style="1" customWidth="1"/>
    <col min="14135" max="14136" width="16.7109375" style="1" customWidth="1"/>
    <col min="14137" max="14140" width="13.140625" style="1" customWidth="1"/>
    <col min="14141" max="14141" width="18.42578125" style="1" customWidth="1"/>
    <col min="14142" max="14142" width="13.140625" style="1" customWidth="1"/>
    <col min="14143" max="14143" width="14.42578125" style="1" customWidth="1"/>
    <col min="14144" max="14144" width="16.28515625" style="1" customWidth="1"/>
    <col min="14145" max="14148" width="14.42578125" style="1" customWidth="1"/>
    <col min="14149" max="14150" width="13.140625" style="1" customWidth="1"/>
    <col min="14151" max="14151" width="15.5703125" style="1" customWidth="1"/>
    <col min="14152" max="14152" width="13.140625" style="1" customWidth="1"/>
    <col min="14153" max="14154" width="14.140625" style="1" customWidth="1"/>
    <col min="14155" max="14155" width="17.7109375" style="1" customWidth="1"/>
    <col min="14156" max="14157" width="13.140625" style="1" customWidth="1"/>
    <col min="14158" max="14158" width="17.140625" style="1" customWidth="1"/>
    <col min="14159" max="14159" width="13.140625" style="1" customWidth="1"/>
    <col min="14160" max="14160" width="14.140625" style="1" customWidth="1"/>
    <col min="14161" max="14161" width="13.140625" style="1" customWidth="1"/>
    <col min="14162" max="14163" width="12.42578125" style="1" customWidth="1"/>
    <col min="14164" max="14164" width="12.140625" style="1" customWidth="1"/>
    <col min="14165" max="14165" width="12.42578125" style="1" customWidth="1"/>
    <col min="14166" max="14166" width="12.140625" style="1" customWidth="1"/>
    <col min="14167" max="14168" width="16.140625" style="1" customWidth="1"/>
    <col min="14169" max="14169" width="16.85546875" style="1" customWidth="1"/>
    <col min="14170" max="14170" width="17.28515625" style="1" customWidth="1"/>
    <col min="14171" max="14171" width="17.42578125" style="1" customWidth="1"/>
    <col min="14172" max="14172" width="16.140625" style="1" customWidth="1"/>
    <col min="14173" max="14173" width="15.5703125" style="1" customWidth="1"/>
    <col min="14174" max="14174" width="17.85546875" style="1" customWidth="1"/>
    <col min="14175" max="14175" width="17.42578125" style="1" customWidth="1"/>
    <col min="14176" max="14176" width="17.28515625" style="1" customWidth="1"/>
    <col min="14177" max="14177" width="17" style="1" customWidth="1"/>
    <col min="14178" max="14178" width="15.5703125" style="1" customWidth="1"/>
    <col min="14179" max="14179" width="16.85546875" style="1" customWidth="1"/>
    <col min="14180" max="14180" width="16.7109375" style="1" customWidth="1"/>
    <col min="14181" max="14181" width="16.28515625" style="1" customWidth="1"/>
    <col min="14182" max="14182" width="17" style="1" customWidth="1"/>
    <col min="14183" max="14183" width="17.85546875" style="1" customWidth="1"/>
    <col min="14184" max="14184" width="17" style="1" customWidth="1"/>
    <col min="14185" max="14185" width="16.42578125" style="1" customWidth="1"/>
    <col min="14186" max="14186" width="16.140625" style="1" customWidth="1"/>
    <col min="14187" max="14289" width="9.85546875" style="1"/>
    <col min="14290" max="14290" width="20.5703125" style="1" customWidth="1"/>
    <col min="14291" max="14291" width="22.7109375" style="1" customWidth="1"/>
    <col min="14292" max="14292" width="19.140625" style="1" customWidth="1"/>
    <col min="14293" max="14294" width="17.140625" style="1" customWidth="1"/>
    <col min="14295" max="14295" width="19.5703125" style="1" customWidth="1"/>
    <col min="14296" max="14297" width="16.28515625" style="1" customWidth="1"/>
    <col min="14298" max="14298" width="12" style="1" customWidth="1"/>
    <col min="14299" max="14299" width="13.42578125" style="1" customWidth="1"/>
    <col min="14300" max="14304" width="15.42578125" style="1" customWidth="1"/>
    <col min="14305" max="14308" width="14.5703125" style="1" customWidth="1"/>
    <col min="14309" max="14309" width="15" style="1" customWidth="1"/>
    <col min="14310" max="14310" width="14.5703125" style="1" customWidth="1"/>
    <col min="14311" max="14323" width="14.140625" style="1" customWidth="1"/>
    <col min="14324" max="14324" width="17.5703125" style="1" customWidth="1"/>
    <col min="14325" max="14325" width="13.140625" style="1" customWidth="1"/>
    <col min="14326" max="14326" width="14.28515625" style="1" customWidth="1"/>
    <col min="14327" max="14330" width="13.140625" style="1" customWidth="1"/>
    <col min="14331" max="14332" width="13.85546875" style="1" customWidth="1"/>
    <col min="14333" max="14367" width="15.140625" style="1" customWidth="1"/>
    <col min="14368" max="14379" width="13.140625" style="1" customWidth="1"/>
    <col min="14380" max="14380" width="18.28515625" style="1" customWidth="1"/>
    <col min="14381" max="14381" width="15.85546875" style="1" customWidth="1"/>
    <col min="14382" max="14383" width="16.140625" style="1" customWidth="1"/>
    <col min="14384" max="14385" width="16.28515625" style="1" customWidth="1"/>
    <col min="14386" max="14386" width="17.7109375" style="1" customWidth="1"/>
    <col min="14387" max="14387" width="16.28515625" style="1" customWidth="1"/>
    <col min="14388" max="14388" width="18.42578125" style="1" customWidth="1"/>
    <col min="14389" max="14389" width="19.140625" style="1" customWidth="1"/>
    <col min="14390" max="14390" width="18.28515625" style="1" customWidth="1"/>
    <col min="14391" max="14392" width="16.7109375" style="1" customWidth="1"/>
    <col min="14393" max="14396" width="13.140625" style="1" customWidth="1"/>
    <col min="14397" max="14397" width="18.42578125" style="1" customWidth="1"/>
    <col min="14398" max="14398" width="13.140625" style="1" customWidth="1"/>
    <col min="14399" max="14399" width="14.42578125" style="1" customWidth="1"/>
    <col min="14400" max="14400" width="16.28515625" style="1" customWidth="1"/>
    <col min="14401" max="14404" width="14.42578125" style="1" customWidth="1"/>
    <col min="14405" max="14406" width="13.140625" style="1" customWidth="1"/>
    <col min="14407" max="14407" width="15.5703125" style="1" customWidth="1"/>
    <col min="14408" max="14408" width="13.140625" style="1" customWidth="1"/>
    <col min="14409" max="14410" width="14.140625" style="1" customWidth="1"/>
    <col min="14411" max="14411" width="17.7109375" style="1" customWidth="1"/>
    <col min="14412" max="14413" width="13.140625" style="1" customWidth="1"/>
    <col min="14414" max="14414" width="17.140625" style="1" customWidth="1"/>
    <col min="14415" max="14415" width="13.140625" style="1" customWidth="1"/>
    <col min="14416" max="14416" width="14.140625" style="1" customWidth="1"/>
    <col min="14417" max="14417" width="13.140625" style="1" customWidth="1"/>
    <col min="14418" max="14419" width="12.42578125" style="1" customWidth="1"/>
    <col min="14420" max="14420" width="12.140625" style="1" customWidth="1"/>
    <col min="14421" max="14421" width="12.42578125" style="1" customWidth="1"/>
    <col min="14422" max="14422" width="12.140625" style="1" customWidth="1"/>
    <col min="14423" max="14424" width="16.140625" style="1" customWidth="1"/>
    <col min="14425" max="14425" width="16.85546875" style="1" customWidth="1"/>
    <col min="14426" max="14426" width="17.28515625" style="1" customWidth="1"/>
    <col min="14427" max="14427" width="17.42578125" style="1" customWidth="1"/>
    <col min="14428" max="14428" width="16.140625" style="1" customWidth="1"/>
    <col min="14429" max="14429" width="15.5703125" style="1" customWidth="1"/>
    <col min="14430" max="14430" width="17.85546875" style="1" customWidth="1"/>
    <col min="14431" max="14431" width="17.42578125" style="1" customWidth="1"/>
    <col min="14432" max="14432" width="17.28515625" style="1" customWidth="1"/>
    <col min="14433" max="14433" width="17" style="1" customWidth="1"/>
    <col min="14434" max="14434" width="15.5703125" style="1" customWidth="1"/>
    <col min="14435" max="14435" width="16.85546875" style="1" customWidth="1"/>
    <col min="14436" max="14436" width="16.7109375" style="1" customWidth="1"/>
    <col min="14437" max="14437" width="16.28515625" style="1" customWidth="1"/>
    <col min="14438" max="14438" width="17" style="1" customWidth="1"/>
    <col min="14439" max="14439" width="17.85546875" style="1" customWidth="1"/>
    <col min="14440" max="14440" width="17" style="1" customWidth="1"/>
    <col min="14441" max="14441" width="16.42578125" style="1" customWidth="1"/>
    <col min="14442" max="14442" width="16.140625" style="1" customWidth="1"/>
    <col min="14443" max="14545" width="9.85546875" style="1"/>
    <col min="14546" max="14546" width="20.5703125" style="1" customWidth="1"/>
    <col min="14547" max="14547" width="22.7109375" style="1" customWidth="1"/>
    <col min="14548" max="14548" width="19.140625" style="1" customWidth="1"/>
    <col min="14549" max="14550" width="17.140625" style="1" customWidth="1"/>
    <col min="14551" max="14551" width="19.5703125" style="1" customWidth="1"/>
    <col min="14552" max="14553" width="16.28515625" style="1" customWidth="1"/>
    <col min="14554" max="14554" width="12" style="1" customWidth="1"/>
    <col min="14555" max="14555" width="13.42578125" style="1" customWidth="1"/>
    <col min="14556" max="14560" width="15.42578125" style="1" customWidth="1"/>
    <col min="14561" max="14564" width="14.5703125" style="1" customWidth="1"/>
    <col min="14565" max="14565" width="15" style="1" customWidth="1"/>
    <col min="14566" max="14566" width="14.5703125" style="1" customWidth="1"/>
    <col min="14567" max="14579" width="14.140625" style="1" customWidth="1"/>
    <col min="14580" max="14580" width="17.5703125" style="1" customWidth="1"/>
    <col min="14581" max="14581" width="13.140625" style="1" customWidth="1"/>
    <col min="14582" max="14582" width="14.28515625" style="1" customWidth="1"/>
    <col min="14583" max="14586" width="13.140625" style="1" customWidth="1"/>
    <col min="14587" max="14588" width="13.85546875" style="1" customWidth="1"/>
    <col min="14589" max="14623" width="15.140625" style="1" customWidth="1"/>
    <col min="14624" max="14635" width="13.140625" style="1" customWidth="1"/>
    <col min="14636" max="14636" width="18.28515625" style="1" customWidth="1"/>
    <col min="14637" max="14637" width="15.85546875" style="1" customWidth="1"/>
    <col min="14638" max="14639" width="16.140625" style="1" customWidth="1"/>
    <col min="14640" max="14641" width="16.28515625" style="1" customWidth="1"/>
    <col min="14642" max="14642" width="17.7109375" style="1" customWidth="1"/>
    <col min="14643" max="14643" width="16.28515625" style="1" customWidth="1"/>
    <col min="14644" max="14644" width="18.42578125" style="1" customWidth="1"/>
    <col min="14645" max="14645" width="19.140625" style="1" customWidth="1"/>
    <col min="14646" max="14646" width="18.28515625" style="1" customWidth="1"/>
    <col min="14647" max="14648" width="16.7109375" style="1" customWidth="1"/>
    <col min="14649" max="14652" width="13.140625" style="1" customWidth="1"/>
    <col min="14653" max="14653" width="18.42578125" style="1" customWidth="1"/>
    <col min="14654" max="14654" width="13.140625" style="1" customWidth="1"/>
    <col min="14655" max="14655" width="14.42578125" style="1" customWidth="1"/>
    <col min="14656" max="14656" width="16.28515625" style="1" customWidth="1"/>
    <col min="14657" max="14660" width="14.42578125" style="1" customWidth="1"/>
    <col min="14661" max="14662" width="13.140625" style="1" customWidth="1"/>
    <col min="14663" max="14663" width="15.5703125" style="1" customWidth="1"/>
    <col min="14664" max="14664" width="13.140625" style="1" customWidth="1"/>
    <col min="14665" max="14666" width="14.140625" style="1" customWidth="1"/>
    <col min="14667" max="14667" width="17.7109375" style="1" customWidth="1"/>
    <col min="14668" max="14669" width="13.140625" style="1" customWidth="1"/>
    <col min="14670" max="14670" width="17.140625" style="1" customWidth="1"/>
    <col min="14671" max="14671" width="13.140625" style="1" customWidth="1"/>
    <col min="14672" max="14672" width="14.140625" style="1" customWidth="1"/>
    <col min="14673" max="14673" width="13.140625" style="1" customWidth="1"/>
    <col min="14674" max="14675" width="12.42578125" style="1" customWidth="1"/>
    <col min="14676" max="14676" width="12.140625" style="1" customWidth="1"/>
    <col min="14677" max="14677" width="12.42578125" style="1" customWidth="1"/>
    <col min="14678" max="14678" width="12.140625" style="1" customWidth="1"/>
    <col min="14679" max="14680" width="16.140625" style="1" customWidth="1"/>
    <col min="14681" max="14681" width="16.85546875" style="1" customWidth="1"/>
    <col min="14682" max="14682" width="17.28515625" style="1" customWidth="1"/>
    <col min="14683" max="14683" width="17.42578125" style="1" customWidth="1"/>
    <col min="14684" max="14684" width="16.140625" style="1" customWidth="1"/>
    <col min="14685" max="14685" width="15.5703125" style="1" customWidth="1"/>
    <col min="14686" max="14686" width="17.85546875" style="1" customWidth="1"/>
    <col min="14687" max="14687" width="17.42578125" style="1" customWidth="1"/>
    <col min="14688" max="14688" width="17.28515625" style="1" customWidth="1"/>
    <col min="14689" max="14689" width="17" style="1" customWidth="1"/>
    <col min="14690" max="14690" width="15.5703125" style="1" customWidth="1"/>
    <col min="14691" max="14691" width="16.85546875" style="1" customWidth="1"/>
    <col min="14692" max="14692" width="16.7109375" style="1" customWidth="1"/>
    <col min="14693" max="14693" width="16.28515625" style="1" customWidth="1"/>
    <col min="14694" max="14694" width="17" style="1" customWidth="1"/>
    <col min="14695" max="14695" width="17.85546875" style="1" customWidth="1"/>
    <col min="14696" max="14696" width="17" style="1" customWidth="1"/>
    <col min="14697" max="14697" width="16.42578125" style="1" customWidth="1"/>
    <col min="14698" max="14698" width="16.140625" style="1" customWidth="1"/>
    <col min="14699" max="14801" width="9.85546875" style="1"/>
    <col min="14802" max="14802" width="20.5703125" style="1" customWidth="1"/>
    <col min="14803" max="14803" width="22.7109375" style="1" customWidth="1"/>
    <col min="14804" max="14804" width="19.140625" style="1" customWidth="1"/>
    <col min="14805" max="14806" width="17.140625" style="1" customWidth="1"/>
    <col min="14807" max="14807" width="19.5703125" style="1" customWidth="1"/>
    <col min="14808" max="14809" width="16.28515625" style="1" customWidth="1"/>
    <col min="14810" max="14810" width="12" style="1" customWidth="1"/>
    <col min="14811" max="14811" width="13.42578125" style="1" customWidth="1"/>
    <col min="14812" max="14816" width="15.42578125" style="1" customWidth="1"/>
    <col min="14817" max="14820" width="14.5703125" style="1" customWidth="1"/>
    <col min="14821" max="14821" width="15" style="1" customWidth="1"/>
    <col min="14822" max="14822" width="14.5703125" style="1" customWidth="1"/>
    <col min="14823" max="14835" width="14.140625" style="1" customWidth="1"/>
    <col min="14836" max="14836" width="17.5703125" style="1" customWidth="1"/>
    <col min="14837" max="14837" width="13.140625" style="1" customWidth="1"/>
    <col min="14838" max="14838" width="14.28515625" style="1" customWidth="1"/>
    <col min="14839" max="14842" width="13.140625" style="1" customWidth="1"/>
    <col min="14843" max="14844" width="13.85546875" style="1" customWidth="1"/>
    <col min="14845" max="14879" width="15.140625" style="1" customWidth="1"/>
    <col min="14880" max="14891" width="13.140625" style="1" customWidth="1"/>
    <col min="14892" max="14892" width="18.28515625" style="1" customWidth="1"/>
    <col min="14893" max="14893" width="15.85546875" style="1" customWidth="1"/>
    <col min="14894" max="14895" width="16.140625" style="1" customWidth="1"/>
    <col min="14896" max="14897" width="16.28515625" style="1" customWidth="1"/>
    <col min="14898" max="14898" width="17.7109375" style="1" customWidth="1"/>
    <col min="14899" max="14899" width="16.28515625" style="1" customWidth="1"/>
    <col min="14900" max="14900" width="18.42578125" style="1" customWidth="1"/>
    <col min="14901" max="14901" width="19.140625" style="1" customWidth="1"/>
    <col min="14902" max="14902" width="18.28515625" style="1" customWidth="1"/>
    <col min="14903" max="14904" width="16.7109375" style="1" customWidth="1"/>
    <col min="14905" max="14908" width="13.140625" style="1" customWidth="1"/>
    <col min="14909" max="14909" width="18.42578125" style="1" customWidth="1"/>
    <col min="14910" max="14910" width="13.140625" style="1" customWidth="1"/>
    <col min="14911" max="14911" width="14.42578125" style="1" customWidth="1"/>
    <col min="14912" max="14912" width="16.28515625" style="1" customWidth="1"/>
    <col min="14913" max="14916" width="14.42578125" style="1" customWidth="1"/>
    <col min="14917" max="14918" width="13.140625" style="1" customWidth="1"/>
    <col min="14919" max="14919" width="15.5703125" style="1" customWidth="1"/>
    <col min="14920" max="14920" width="13.140625" style="1" customWidth="1"/>
    <col min="14921" max="14922" width="14.140625" style="1" customWidth="1"/>
    <col min="14923" max="14923" width="17.7109375" style="1" customWidth="1"/>
    <col min="14924" max="14925" width="13.140625" style="1" customWidth="1"/>
    <col min="14926" max="14926" width="17.140625" style="1" customWidth="1"/>
    <col min="14927" max="14927" width="13.140625" style="1" customWidth="1"/>
    <col min="14928" max="14928" width="14.140625" style="1" customWidth="1"/>
    <col min="14929" max="14929" width="13.140625" style="1" customWidth="1"/>
    <col min="14930" max="14931" width="12.42578125" style="1" customWidth="1"/>
    <col min="14932" max="14932" width="12.140625" style="1" customWidth="1"/>
    <col min="14933" max="14933" width="12.42578125" style="1" customWidth="1"/>
    <col min="14934" max="14934" width="12.140625" style="1" customWidth="1"/>
    <col min="14935" max="14936" width="16.140625" style="1" customWidth="1"/>
    <col min="14937" max="14937" width="16.85546875" style="1" customWidth="1"/>
    <col min="14938" max="14938" width="17.28515625" style="1" customWidth="1"/>
    <col min="14939" max="14939" width="17.42578125" style="1" customWidth="1"/>
    <col min="14940" max="14940" width="16.140625" style="1" customWidth="1"/>
    <col min="14941" max="14941" width="15.5703125" style="1" customWidth="1"/>
    <col min="14942" max="14942" width="17.85546875" style="1" customWidth="1"/>
    <col min="14943" max="14943" width="17.42578125" style="1" customWidth="1"/>
    <col min="14944" max="14944" width="17.28515625" style="1" customWidth="1"/>
    <col min="14945" max="14945" width="17" style="1" customWidth="1"/>
    <col min="14946" max="14946" width="15.5703125" style="1" customWidth="1"/>
    <col min="14947" max="14947" width="16.85546875" style="1" customWidth="1"/>
    <col min="14948" max="14948" width="16.7109375" style="1" customWidth="1"/>
    <col min="14949" max="14949" width="16.28515625" style="1" customWidth="1"/>
    <col min="14950" max="14950" width="17" style="1" customWidth="1"/>
    <col min="14951" max="14951" width="17.85546875" style="1" customWidth="1"/>
    <col min="14952" max="14952" width="17" style="1" customWidth="1"/>
    <col min="14953" max="14953" width="16.42578125" style="1" customWidth="1"/>
    <col min="14954" max="14954" width="16.140625" style="1" customWidth="1"/>
    <col min="14955" max="15057" width="9.85546875" style="1"/>
    <col min="15058" max="15058" width="20.5703125" style="1" customWidth="1"/>
    <col min="15059" max="15059" width="22.7109375" style="1" customWidth="1"/>
    <col min="15060" max="15060" width="19.140625" style="1" customWidth="1"/>
    <col min="15061" max="15062" width="17.140625" style="1" customWidth="1"/>
    <col min="15063" max="15063" width="19.5703125" style="1" customWidth="1"/>
    <col min="15064" max="15065" width="16.28515625" style="1" customWidth="1"/>
    <col min="15066" max="15066" width="12" style="1" customWidth="1"/>
    <col min="15067" max="15067" width="13.42578125" style="1" customWidth="1"/>
    <col min="15068" max="15072" width="15.42578125" style="1" customWidth="1"/>
    <col min="15073" max="15076" width="14.5703125" style="1" customWidth="1"/>
    <col min="15077" max="15077" width="15" style="1" customWidth="1"/>
    <col min="15078" max="15078" width="14.5703125" style="1" customWidth="1"/>
    <col min="15079" max="15091" width="14.140625" style="1" customWidth="1"/>
    <col min="15092" max="15092" width="17.5703125" style="1" customWidth="1"/>
    <col min="15093" max="15093" width="13.140625" style="1" customWidth="1"/>
    <col min="15094" max="15094" width="14.28515625" style="1" customWidth="1"/>
    <col min="15095" max="15098" width="13.140625" style="1" customWidth="1"/>
    <col min="15099" max="15100" width="13.85546875" style="1" customWidth="1"/>
    <col min="15101" max="15135" width="15.140625" style="1" customWidth="1"/>
    <col min="15136" max="15147" width="13.140625" style="1" customWidth="1"/>
    <col min="15148" max="15148" width="18.28515625" style="1" customWidth="1"/>
    <col min="15149" max="15149" width="15.85546875" style="1" customWidth="1"/>
    <col min="15150" max="15151" width="16.140625" style="1" customWidth="1"/>
    <col min="15152" max="15153" width="16.28515625" style="1" customWidth="1"/>
    <col min="15154" max="15154" width="17.7109375" style="1" customWidth="1"/>
    <col min="15155" max="15155" width="16.28515625" style="1" customWidth="1"/>
    <col min="15156" max="15156" width="18.42578125" style="1" customWidth="1"/>
    <col min="15157" max="15157" width="19.140625" style="1" customWidth="1"/>
    <col min="15158" max="15158" width="18.28515625" style="1" customWidth="1"/>
    <col min="15159" max="15160" width="16.7109375" style="1" customWidth="1"/>
    <col min="15161" max="15164" width="13.140625" style="1" customWidth="1"/>
    <col min="15165" max="15165" width="18.42578125" style="1" customWidth="1"/>
    <col min="15166" max="15166" width="13.140625" style="1" customWidth="1"/>
    <col min="15167" max="15167" width="14.42578125" style="1" customWidth="1"/>
    <col min="15168" max="15168" width="16.28515625" style="1" customWidth="1"/>
    <col min="15169" max="15172" width="14.42578125" style="1" customWidth="1"/>
    <col min="15173" max="15174" width="13.140625" style="1" customWidth="1"/>
    <col min="15175" max="15175" width="15.5703125" style="1" customWidth="1"/>
    <col min="15176" max="15176" width="13.140625" style="1" customWidth="1"/>
    <col min="15177" max="15178" width="14.140625" style="1" customWidth="1"/>
    <col min="15179" max="15179" width="17.7109375" style="1" customWidth="1"/>
    <col min="15180" max="15181" width="13.140625" style="1" customWidth="1"/>
    <col min="15182" max="15182" width="17.140625" style="1" customWidth="1"/>
    <col min="15183" max="15183" width="13.140625" style="1" customWidth="1"/>
    <col min="15184" max="15184" width="14.140625" style="1" customWidth="1"/>
    <col min="15185" max="15185" width="13.140625" style="1" customWidth="1"/>
    <col min="15186" max="15187" width="12.42578125" style="1" customWidth="1"/>
    <col min="15188" max="15188" width="12.140625" style="1" customWidth="1"/>
    <col min="15189" max="15189" width="12.42578125" style="1" customWidth="1"/>
    <col min="15190" max="15190" width="12.140625" style="1" customWidth="1"/>
    <col min="15191" max="15192" width="16.140625" style="1" customWidth="1"/>
    <col min="15193" max="15193" width="16.85546875" style="1" customWidth="1"/>
    <col min="15194" max="15194" width="17.28515625" style="1" customWidth="1"/>
    <col min="15195" max="15195" width="17.42578125" style="1" customWidth="1"/>
    <col min="15196" max="15196" width="16.140625" style="1" customWidth="1"/>
    <col min="15197" max="15197" width="15.5703125" style="1" customWidth="1"/>
    <col min="15198" max="15198" width="17.85546875" style="1" customWidth="1"/>
    <col min="15199" max="15199" width="17.42578125" style="1" customWidth="1"/>
    <col min="15200" max="15200" width="17.28515625" style="1" customWidth="1"/>
    <col min="15201" max="15201" width="17" style="1" customWidth="1"/>
    <col min="15202" max="15202" width="15.5703125" style="1" customWidth="1"/>
    <col min="15203" max="15203" width="16.85546875" style="1" customWidth="1"/>
    <col min="15204" max="15204" width="16.7109375" style="1" customWidth="1"/>
    <col min="15205" max="15205" width="16.28515625" style="1" customWidth="1"/>
    <col min="15206" max="15206" width="17" style="1" customWidth="1"/>
    <col min="15207" max="15207" width="17.85546875" style="1" customWidth="1"/>
    <col min="15208" max="15208" width="17" style="1" customWidth="1"/>
    <col min="15209" max="15209" width="16.42578125" style="1" customWidth="1"/>
    <col min="15210" max="15210" width="16.140625" style="1" customWidth="1"/>
    <col min="15211" max="15313" width="9.85546875" style="1"/>
    <col min="15314" max="15314" width="20.5703125" style="1" customWidth="1"/>
    <col min="15315" max="15315" width="22.7109375" style="1" customWidth="1"/>
    <col min="15316" max="15316" width="19.140625" style="1" customWidth="1"/>
    <col min="15317" max="15318" width="17.140625" style="1" customWidth="1"/>
    <col min="15319" max="15319" width="19.5703125" style="1" customWidth="1"/>
    <col min="15320" max="15321" width="16.28515625" style="1" customWidth="1"/>
    <col min="15322" max="15322" width="12" style="1" customWidth="1"/>
    <col min="15323" max="15323" width="13.42578125" style="1" customWidth="1"/>
    <col min="15324" max="15328" width="15.42578125" style="1" customWidth="1"/>
    <col min="15329" max="15332" width="14.5703125" style="1" customWidth="1"/>
    <col min="15333" max="15333" width="15" style="1" customWidth="1"/>
    <col min="15334" max="15334" width="14.5703125" style="1" customWidth="1"/>
    <col min="15335" max="15347" width="14.140625" style="1" customWidth="1"/>
    <col min="15348" max="15348" width="17.5703125" style="1" customWidth="1"/>
    <col min="15349" max="15349" width="13.140625" style="1" customWidth="1"/>
    <col min="15350" max="15350" width="14.28515625" style="1" customWidth="1"/>
    <col min="15351" max="15354" width="13.140625" style="1" customWidth="1"/>
    <col min="15355" max="15356" width="13.85546875" style="1" customWidth="1"/>
    <col min="15357" max="15391" width="15.140625" style="1" customWidth="1"/>
    <col min="15392" max="15403" width="13.140625" style="1" customWidth="1"/>
    <col min="15404" max="15404" width="18.28515625" style="1" customWidth="1"/>
    <col min="15405" max="15405" width="15.85546875" style="1" customWidth="1"/>
    <col min="15406" max="15407" width="16.140625" style="1" customWidth="1"/>
    <col min="15408" max="15409" width="16.28515625" style="1" customWidth="1"/>
    <col min="15410" max="15410" width="17.7109375" style="1" customWidth="1"/>
    <col min="15411" max="15411" width="16.28515625" style="1" customWidth="1"/>
    <col min="15412" max="15412" width="18.42578125" style="1" customWidth="1"/>
    <col min="15413" max="15413" width="19.140625" style="1" customWidth="1"/>
    <col min="15414" max="15414" width="18.28515625" style="1" customWidth="1"/>
    <col min="15415" max="15416" width="16.7109375" style="1" customWidth="1"/>
    <col min="15417" max="15420" width="13.140625" style="1" customWidth="1"/>
    <col min="15421" max="15421" width="18.42578125" style="1" customWidth="1"/>
    <col min="15422" max="15422" width="13.140625" style="1" customWidth="1"/>
    <col min="15423" max="15423" width="14.42578125" style="1" customWidth="1"/>
    <col min="15424" max="15424" width="16.28515625" style="1" customWidth="1"/>
    <col min="15425" max="15428" width="14.42578125" style="1" customWidth="1"/>
    <col min="15429" max="15430" width="13.140625" style="1" customWidth="1"/>
    <col min="15431" max="15431" width="15.5703125" style="1" customWidth="1"/>
    <col min="15432" max="15432" width="13.140625" style="1" customWidth="1"/>
    <col min="15433" max="15434" width="14.140625" style="1" customWidth="1"/>
    <col min="15435" max="15435" width="17.7109375" style="1" customWidth="1"/>
    <col min="15436" max="15437" width="13.140625" style="1" customWidth="1"/>
    <col min="15438" max="15438" width="17.140625" style="1" customWidth="1"/>
    <col min="15439" max="15439" width="13.140625" style="1" customWidth="1"/>
    <col min="15440" max="15440" width="14.140625" style="1" customWidth="1"/>
    <col min="15441" max="15441" width="13.140625" style="1" customWidth="1"/>
    <col min="15442" max="15443" width="12.42578125" style="1" customWidth="1"/>
    <col min="15444" max="15444" width="12.140625" style="1" customWidth="1"/>
    <col min="15445" max="15445" width="12.42578125" style="1" customWidth="1"/>
    <col min="15446" max="15446" width="12.140625" style="1" customWidth="1"/>
    <col min="15447" max="15448" width="16.140625" style="1" customWidth="1"/>
    <col min="15449" max="15449" width="16.85546875" style="1" customWidth="1"/>
    <col min="15450" max="15450" width="17.28515625" style="1" customWidth="1"/>
    <col min="15451" max="15451" width="17.42578125" style="1" customWidth="1"/>
    <col min="15452" max="15452" width="16.140625" style="1" customWidth="1"/>
    <col min="15453" max="15453" width="15.5703125" style="1" customWidth="1"/>
    <col min="15454" max="15454" width="17.85546875" style="1" customWidth="1"/>
    <col min="15455" max="15455" width="17.42578125" style="1" customWidth="1"/>
    <col min="15456" max="15456" width="17.28515625" style="1" customWidth="1"/>
    <col min="15457" max="15457" width="17" style="1" customWidth="1"/>
    <col min="15458" max="15458" width="15.5703125" style="1" customWidth="1"/>
    <col min="15459" max="15459" width="16.85546875" style="1" customWidth="1"/>
    <col min="15460" max="15460" width="16.7109375" style="1" customWidth="1"/>
    <col min="15461" max="15461" width="16.28515625" style="1" customWidth="1"/>
    <col min="15462" max="15462" width="17" style="1" customWidth="1"/>
    <col min="15463" max="15463" width="17.85546875" style="1" customWidth="1"/>
    <col min="15464" max="15464" width="17" style="1" customWidth="1"/>
    <col min="15465" max="15465" width="16.42578125" style="1" customWidth="1"/>
    <col min="15466" max="15466" width="16.140625" style="1" customWidth="1"/>
    <col min="15467" max="15569" width="9.85546875" style="1"/>
    <col min="15570" max="15570" width="20.5703125" style="1" customWidth="1"/>
    <col min="15571" max="15571" width="22.7109375" style="1" customWidth="1"/>
    <col min="15572" max="15572" width="19.140625" style="1" customWidth="1"/>
    <col min="15573" max="15574" width="17.140625" style="1" customWidth="1"/>
    <col min="15575" max="15575" width="19.5703125" style="1" customWidth="1"/>
    <col min="15576" max="15577" width="16.28515625" style="1" customWidth="1"/>
    <col min="15578" max="15578" width="12" style="1" customWidth="1"/>
    <col min="15579" max="15579" width="13.42578125" style="1" customWidth="1"/>
    <col min="15580" max="15584" width="15.42578125" style="1" customWidth="1"/>
    <col min="15585" max="15588" width="14.5703125" style="1" customWidth="1"/>
    <col min="15589" max="15589" width="15" style="1" customWidth="1"/>
    <col min="15590" max="15590" width="14.5703125" style="1" customWidth="1"/>
    <col min="15591" max="15603" width="14.140625" style="1" customWidth="1"/>
    <col min="15604" max="15604" width="17.5703125" style="1" customWidth="1"/>
    <col min="15605" max="15605" width="13.140625" style="1" customWidth="1"/>
    <col min="15606" max="15606" width="14.28515625" style="1" customWidth="1"/>
    <col min="15607" max="15610" width="13.140625" style="1" customWidth="1"/>
    <col min="15611" max="15612" width="13.85546875" style="1" customWidth="1"/>
    <col min="15613" max="15647" width="15.140625" style="1" customWidth="1"/>
    <col min="15648" max="15659" width="13.140625" style="1" customWidth="1"/>
    <col min="15660" max="15660" width="18.28515625" style="1" customWidth="1"/>
    <col min="15661" max="15661" width="15.85546875" style="1" customWidth="1"/>
    <col min="15662" max="15663" width="16.140625" style="1" customWidth="1"/>
    <col min="15664" max="15665" width="16.28515625" style="1" customWidth="1"/>
    <col min="15666" max="15666" width="17.7109375" style="1" customWidth="1"/>
    <col min="15667" max="15667" width="16.28515625" style="1" customWidth="1"/>
    <col min="15668" max="15668" width="18.42578125" style="1" customWidth="1"/>
    <col min="15669" max="15669" width="19.140625" style="1" customWidth="1"/>
    <col min="15670" max="15670" width="18.28515625" style="1" customWidth="1"/>
    <col min="15671" max="15672" width="16.7109375" style="1" customWidth="1"/>
    <col min="15673" max="15676" width="13.140625" style="1" customWidth="1"/>
    <col min="15677" max="15677" width="18.42578125" style="1" customWidth="1"/>
    <col min="15678" max="15678" width="13.140625" style="1" customWidth="1"/>
    <col min="15679" max="15679" width="14.42578125" style="1" customWidth="1"/>
    <col min="15680" max="15680" width="16.28515625" style="1" customWidth="1"/>
    <col min="15681" max="15684" width="14.42578125" style="1" customWidth="1"/>
    <col min="15685" max="15686" width="13.140625" style="1" customWidth="1"/>
    <col min="15687" max="15687" width="15.5703125" style="1" customWidth="1"/>
    <col min="15688" max="15688" width="13.140625" style="1" customWidth="1"/>
    <col min="15689" max="15690" width="14.140625" style="1" customWidth="1"/>
    <col min="15691" max="15691" width="17.7109375" style="1" customWidth="1"/>
    <col min="15692" max="15693" width="13.140625" style="1" customWidth="1"/>
    <col min="15694" max="15694" width="17.140625" style="1" customWidth="1"/>
    <col min="15695" max="15695" width="13.140625" style="1" customWidth="1"/>
    <col min="15696" max="15696" width="14.140625" style="1" customWidth="1"/>
    <col min="15697" max="15697" width="13.140625" style="1" customWidth="1"/>
    <col min="15698" max="15699" width="12.42578125" style="1" customWidth="1"/>
    <col min="15700" max="15700" width="12.140625" style="1" customWidth="1"/>
    <col min="15701" max="15701" width="12.42578125" style="1" customWidth="1"/>
    <col min="15702" max="15702" width="12.140625" style="1" customWidth="1"/>
    <col min="15703" max="15704" width="16.140625" style="1" customWidth="1"/>
    <col min="15705" max="15705" width="16.85546875" style="1" customWidth="1"/>
    <col min="15706" max="15706" width="17.28515625" style="1" customWidth="1"/>
    <col min="15707" max="15707" width="17.42578125" style="1" customWidth="1"/>
    <col min="15708" max="15708" width="16.140625" style="1" customWidth="1"/>
    <col min="15709" max="15709" width="15.5703125" style="1" customWidth="1"/>
    <col min="15710" max="15710" width="17.85546875" style="1" customWidth="1"/>
    <col min="15711" max="15711" width="17.42578125" style="1" customWidth="1"/>
    <col min="15712" max="15712" width="17.28515625" style="1" customWidth="1"/>
    <col min="15713" max="15713" width="17" style="1" customWidth="1"/>
    <col min="15714" max="15714" width="15.5703125" style="1" customWidth="1"/>
    <col min="15715" max="15715" width="16.85546875" style="1" customWidth="1"/>
    <col min="15716" max="15716" width="16.7109375" style="1" customWidth="1"/>
    <col min="15717" max="15717" width="16.28515625" style="1" customWidth="1"/>
    <col min="15718" max="15718" width="17" style="1" customWidth="1"/>
    <col min="15719" max="15719" width="17.85546875" style="1" customWidth="1"/>
    <col min="15720" max="15720" width="17" style="1" customWidth="1"/>
    <col min="15721" max="15721" width="16.42578125" style="1" customWidth="1"/>
    <col min="15722" max="15722" width="16.140625" style="1" customWidth="1"/>
    <col min="15723" max="15825" width="9.85546875" style="1"/>
    <col min="15826" max="15826" width="20.5703125" style="1" customWidth="1"/>
    <col min="15827" max="15827" width="22.7109375" style="1" customWidth="1"/>
    <col min="15828" max="15828" width="19.140625" style="1" customWidth="1"/>
    <col min="15829" max="15830" width="17.140625" style="1" customWidth="1"/>
    <col min="15831" max="15831" width="19.5703125" style="1" customWidth="1"/>
    <col min="15832" max="15833" width="16.28515625" style="1" customWidth="1"/>
    <col min="15834" max="15834" width="12" style="1" customWidth="1"/>
    <col min="15835" max="15835" width="13.42578125" style="1" customWidth="1"/>
    <col min="15836" max="15840" width="15.42578125" style="1" customWidth="1"/>
    <col min="15841" max="15844" width="14.5703125" style="1" customWidth="1"/>
    <col min="15845" max="15845" width="15" style="1" customWidth="1"/>
    <col min="15846" max="15846" width="14.5703125" style="1" customWidth="1"/>
    <col min="15847" max="15859" width="14.140625" style="1" customWidth="1"/>
    <col min="15860" max="15860" width="17.5703125" style="1" customWidth="1"/>
    <col min="15861" max="15861" width="13.140625" style="1" customWidth="1"/>
    <col min="15862" max="15862" width="14.28515625" style="1" customWidth="1"/>
    <col min="15863" max="15866" width="13.140625" style="1" customWidth="1"/>
    <col min="15867" max="15868" width="13.85546875" style="1" customWidth="1"/>
    <col min="15869" max="15903" width="15.140625" style="1" customWidth="1"/>
    <col min="15904" max="15915" width="13.140625" style="1" customWidth="1"/>
    <col min="15916" max="15916" width="18.28515625" style="1" customWidth="1"/>
    <col min="15917" max="15917" width="15.85546875" style="1" customWidth="1"/>
    <col min="15918" max="15919" width="16.140625" style="1" customWidth="1"/>
    <col min="15920" max="15921" width="16.28515625" style="1" customWidth="1"/>
    <col min="15922" max="15922" width="17.7109375" style="1" customWidth="1"/>
    <col min="15923" max="15923" width="16.28515625" style="1" customWidth="1"/>
    <col min="15924" max="15924" width="18.42578125" style="1" customWidth="1"/>
    <col min="15925" max="15925" width="19.140625" style="1" customWidth="1"/>
    <col min="15926" max="15926" width="18.28515625" style="1" customWidth="1"/>
    <col min="15927" max="15928" width="16.7109375" style="1" customWidth="1"/>
    <col min="15929" max="15932" width="13.140625" style="1" customWidth="1"/>
    <col min="15933" max="15933" width="18.42578125" style="1" customWidth="1"/>
    <col min="15934" max="15934" width="13.140625" style="1" customWidth="1"/>
    <col min="15935" max="15935" width="14.42578125" style="1" customWidth="1"/>
    <col min="15936" max="15936" width="16.28515625" style="1" customWidth="1"/>
    <col min="15937" max="15940" width="14.42578125" style="1" customWidth="1"/>
    <col min="15941" max="15942" width="13.140625" style="1" customWidth="1"/>
    <col min="15943" max="15943" width="15.5703125" style="1" customWidth="1"/>
    <col min="15944" max="15944" width="13.140625" style="1" customWidth="1"/>
    <col min="15945" max="15946" width="14.140625" style="1" customWidth="1"/>
    <col min="15947" max="15947" width="17.7109375" style="1" customWidth="1"/>
    <col min="15948" max="15949" width="13.140625" style="1" customWidth="1"/>
    <col min="15950" max="15950" width="17.140625" style="1" customWidth="1"/>
    <col min="15951" max="15951" width="13.140625" style="1" customWidth="1"/>
    <col min="15952" max="15952" width="14.140625" style="1" customWidth="1"/>
    <col min="15953" max="15953" width="13.140625" style="1" customWidth="1"/>
    <col min="15954" max="15955" width="12.42578125" style="1" customWidth="1"/>
    <col min="15956" max="15956" width="12.140625" style="1" customWidth="1"/>
    <col min="15957" max="15957" width="12.42578125" style="1" customWidth="1"/>
    <col min="15958" max="15958" width="12.140625" style="1" customWidth="1"/>
    <col min="15959" max="15960" width="16.140625" style="1" customWidth="1"/>
    <col min="15961" max="15961" width="16.85546875" style="1" customWidth="1"/>
    <col min="15962" max="15962" width="17.28515625" style="1" customWidth="1"/>
    <col min="15963" max="15963" width="17.42578125" style="1" customWidth="1"/>
    <col min="15964" max="15964" width="16.140625" style="1" customWidth="1"/>
    <col min="15965" max="15965" width="15.5703125" style="1" customWidth="1"/>
    <col min="15966" max="15966" width="17.85546875" style="1" customWidth="1"/>
    <col min="15967" max="15967" width="17.42578125" style="1" customWidth="1"/>
    <col min="15968" max="15968" width="17.28515625" style="1" customWidth="1"/>
    <col min="15969" max="15969" width="17" style="1" customWidth="1"/>
    <col min="15970" max="15970" width="15.5703125" style="1" customWidth="1"/>
    <col min="15971" max="15971" width="16.85546875" style="1" customWidth="1"/>
    <col min="15972" max="15972" width="16.7109375" style="1" customWidth="1"/>
    <col min="15973" max="15973" width="16.28515625" style="1" customWidth="1"/>
    <col min="15974" max="15974" width="17" style="1" customWidth="1"/>
    <col min="15975" max="15975" width="17.85546875" style="1" customWidth="1"/>
    <col min="15976" max="15976" width="17" style="1" customWidth="1"/>
    <col min="15977" max="15977" width="16.42578125" style="1" customWidth="1"/>
    <col min="15978" max="15978" width="16.140625" style="1" customWidth="1"/>
    <col min="15979" max="16081" width="9.85546875" style="1"/>
    <col min="16082" max="16082" width="20.5703125" style="1" customWidth="1"/>
    <col min="16083" max="16083" width="22.7109375" style="1" customWidth="1"/>
    <col min="16084" max="16084" width="19.140625" style="1" customWidth="1"/>
    <col min="16085" max="16086" width="17.140625" style="1" customWidth="1"/>
    <col min="16087" max="16087" width="19.5703125" style="1" customWidth="1"/>
    <col min="16088" max="16089" width="16.28515625" style="1" customWidth="1"/>
    <col min="16090" max="16090" width="12" style="1" customWidth="1"/>
    <col min="16091" max="16091" width="13.42578125" style="1" customWidth="1"/>
    <col min="16092" max="16096" width="15.42578125" style="1" customWidth="1"/>
    <col min="16097" max="16100" width="14.5703125" style="1" customWidth="1"/>
    <col min="16101" max="16101" width="15" style="1" customWidth="1"/>
    <col min="16102" max="16102" width="14.5703125" style="1" customWidth="1"/>
    <col min="16103" max="16115" width="14.140625" style="1" customWidth="1"/>
    <col min="16116" max="16116" width="17.5703125" style="1" customWidth="1"/>
    <col min="16117" max="16117" width="13.140625" style="1" customWidth="1"/>
    <col min="16118" max="16118" width="14.28515625" style="1" customWidth="1"/>
    <col min="16119" max="16122" width="13.140625" style="1" customWidth="1"/>
    <col min="16123" max="16124" width="13.85546875" style="1" customWidth="1"/>
    <col min="16125" max="16159" width="15.140625" style="1" customWidth="1"/>
    <col min="16160" max="16171" width="13.140625" style="1" customWidth="1"/>
    <col min="16172" max="16172" width="18.28515625" style="1" customWidth="1"/>
    <col min="16173" max="16173" width="15.85546875" style="1" customWidth="1"/>
    <col min="16174" max="16175" width="16.140625" style="1" customWidth="1"/>
    <col min="16176" max="16177" width="16.28515625" style="1" customWidth="1"/>
    <col min="16178" max="16178" width="17.7109375" style="1" customWidth="1"/>
    <col min="16179" max="16179" width="16.28515625" style="1" customWidth="1"/>
    <col min="16180" max="16180" width="18.42578125" style="1" customWidth="1"/>
    <col min="16181" max="16181" width="19.140625" style="1" customWidth="1"/>
    <col min="16182" max="16182" width="18.28515625" style="1" customWidth="1"/>
    <col min="16183" max="16184" width="16.7109375" style="1" customWidth="1"/>
    <col min="16185" max="16188" width="13.140625" style="1" customWidth="1"/>
    <col min="16189" max="16189" width="18.42578125" style="1" customWidth="1"/>
    <col min="16190" max="16190" width="13.140625" style="1" customWidth="1"/>
    <col min="16191" max="16191" width="14.42578125" style="1" customWidth="1"/>
    <col min="16192" max="16192" width="16.28515625" style="1" customWidth="1"/>
    <col min="16193" max="16196" width="14.42578125" style="1" customWidth="1"/>
    <col min="16197" max="16198" width="13.140625" style="1" customWidth="1"/>
    <col min="16199" max="16199" width="15.5703125" style="1" customWidth="1"/>
    <col min="16200" max="16200" width="13.140625" style="1" customWidth="1"/>
    <col min="16201" max="16202" width="14.140625" style="1" customWidth="1"/>
    <col min="16203" max="16203" width="17.7109375" style="1" customWidth="1"/>
    <col min="16204" max="16205" width="13.140625" style="1" customWidth="1"/>
    <col min="16206" max="16206" width="17.140625" style="1" customWidth="1"/>
    <col min="16207" max="16207" width="13.140625" style="1" customWidth="1"/>
    <col min="16208" max="16208" width="14.140625" style="1" customWidth="1"/>
    <col min="16209" max="16209" width="13.140625" style="1" customWidth="1"/>
    <col min="16210" max="16211" width="12.42578125" style="1" customWidth="1"/>
    <col min="16212" max="16212" width="12.140625" style="1" customWidth="1"/>
    <col min="16213" max="16213" width="12.42578125" style="1" customWidth="1"/>
    <col min="16214" max="16214" width="12.140625" style="1" customWidth="1"/>
    <col min="16215" max="16216" width="16.140625" style="1" customWidth="1"/>
    <col min="16217" max="16217" width="16.85546875" style="1" customWidth="1"/>
    <col min="16218" max="16218" width="17.28515625" style="1" customWidth="1"/>
    <col min="16219" max="16219" width="17.42578125" style="1" customWidth="1"/>
    <col min="16220" max="16220" width="16.140625" style="1" customWidth="1"/>
    <col min="16221" max="16221" width="15.5703125" style="1" customWidth="1"/>
    <col min="16222" max="16222" width="17.85546875" style="1" customWidth="1"/>
    <col min="16223" max="16223" width="17.42578125" style="1" customWidth="1"/>
    <col min="16224" max="16224" width="17.28515625" style="1" customWidth="1"/>
    <col min="16225" max="16225" width="17" style="1" customWidth="1"/>
    <col min="16226" max="16226" width="15.5703125" style="1" customWidth="1"/>
    <col min="16227" max="16227" width="16.85546875" style="1" customWidth="1"/>
    <col min="16228" max="16228" width="16.7109375" style="1" customWidth="1"/>
    <col min="16229" max="16229" width="16.28515625" style="1" customWidth="1"/>
    <col min="16230" max="16230" width="17" style="1" customWidth="1"/>
    <col min="16231" max="16231" width="17.85546875" style="1" customWidth="1"/>
    <col min="16232" max="16232" width="17" style="1" customWidth="1"/>
    <col min="16233" max="16233" width="16.42578125" style="1" customWidth="1"/>
    <col min="16234" max="16234" width="16.140625" style="1" customWidth="1"/>
    <col min="16235" max="16384" width="9.85546875" style="1"/>
  </cols>
  <sheetData>
    <row r="1" spans="1:186" ht="51.75" customHeight="1" x14ac:dyDescent="0.25">
      <c r="A1" s="98"/>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59"/>
      <c r="AP1" s="49"/>
      <c r="AQ1" s="49"/>
      <c r="AR1" s="49"/>
      <c r="AS1" s="49"/>
      <c r="AT1" s="49"/>
      <c r="AU1" s="49"/>
      <c r="AV1" s="49"/>
      <c r="AW1" s="49"/>
      <c r="AX1" s="49"/>
      <c r="AY1" s="59"/>
      <c r="AZ1" s="5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50"/>
    </row>
    <row r="2" spans="1:186" s="3" customFormat="1" ht="17.25" customHeight="1" x14ac:dyDescent="0.2">
      <c r="A2" s="93" t="s">
        <v>0</v>
      </c>
      <c r="B2" s="94"/>
      <c r="C2" s="94"/>
      <c r="D2" s="94"/>
      <c r="E2" s="94"/>
      <c r="F2" s="9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5"/>
      <c r="AO2" s="60"/>
      <c r="AP2" s="24"/>
      <c r="AQ2" s="24"/>
      <c r="AR2" s="24"/>
      <c r="AS2" s="24"/>
      <c r="AT2" s="25"/>
      <c r="AU2" s="25"/>
      <c r="AV2" s="25"/>
      <c r="AW2" s="25"/>
      <c r="AX2" s="25"/>
      <c r="AY2" s="60"/>
      <c r="AZ2" s="60"/>
      <c r="BA2" s="25"/>
      <c r="BB2" s="25"/>
      <c r="BC2" s="25"/>
      <c r="BD2" s="24"/>
      <c r="BE2" s="24"/>
      <c r="BF2" s="24"/>
      <c r="BG2" s="24"/>
      <c r="BH2" s="24"/>
      <c r="BI2" s="26"/>
      <c r="BJ2" s="27"/>
      <c r="BK2" s="24"/>
      <c r="BL2" s="24"/>
      <c r="BM2" s="24"/>
      <c r="BN2" s="24"/>
      <c r="BO2" s="25"/>
      <c r="BP2" s="28"/>
      <c r="BQ2" s="29"/>
      <c r="BR2" s="29"/>
      <c r="BS2" s="24"/>
      <c r="BT2" s="24"/>
      <c r="BU2" s="24"/>
      <c r="BV2" s="24"/>
      <c r="BW2" s="25"/>
      <c r="BX2" s="28"/>
      <c r="BY2" s="29"/>
      <c r="BZ2" s="29"/>
      <c r="CA2" s="24"/>
      <c r="CB2" s="24"/>
      <c r="CC2" s="24"/>
      <c r="CD2" s="24"/>
      <c r="CE2" s="25"/>
      <c r="CF2" s="28"/>
      <c r="CG2" s="29"/>
      <c r="CH2" s="29"/>
      <c r="CI2" s="29"/>
      <c r="CJ2" s="30"/>
      <c r="CK2" s="24"/>
      <c r="CL2" s="24"/>
      <c r="CM2" s="26"/>
      <c r="CN2" s="24"/>
      <c r="CO2" s="24"/>
      <c r="CP2" s="26"/>
      <c r="CQ2" s="24"/>
      <c r="CR2" s="24"/>
      <c r="CS2" s="26"/>
      <c r="CT2" s="24"/>
      <c r="CU2" s="24"/>
      <c r="CV2" s="26"/>
      <c r="CW2" s="24"/>
      <c r="CX2" s="24"/>
      <c r="CY2" s="26"/>
      <c r="CZ2" s="24"/>
      <c r="DA2" s="26"/>
      <c r="DB2" s="30"/>
    </row>
    <row r="3" spans="1:186" s="3" customFormat="1" ht="15" customHeight="1" x14ac:dyDescent="0.2">
      <c r="A3" s="95" t="s">
        <v>1</v>
      </c>
      <c r="B3" s="29"/>
      <c r="C3" s="29"/>
      <c r="D3" s="29" t="s">
        <v>24</v>
      </c>
      <c r="E3" s="29"/>
      <c r="F3" s="29" t="s">
        <v>25</v>
      </c>
      <c r="G3" s="29" t="s">
        <v>40</v>
      </c>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61"/>
      <c r="AP3" s="29"/>
      <c r="AQ3" s="29"/>
      <c r="AR3" s="29"/>
      <c r="AS3" s="29"/>
      <c r="AT3" s="29"/>
      <c r="AU3" s="29"/>
      <c r="AV3" s="29"/>
      <c r="AW3" s="29"/>
      <c r="AX3" s="29"/>
      <c r="AY3" s="61"/>
      <c r="AZ3" s="61"/>
      <c r="BA3" s="29"/>
      <c r="BB3" s="29"/>
      <c r="BC3" s="29"/>
      <c r="BD3" s="29"/>
      <c r="BE3" s="29"/>
      <c r="BF3" s="29"/>
      <c r="BG3" s="29"/>
      <c r="BH3" s="29"/>
      <c r="BI3" s="29"/>
      <c r="BJ3" s="29"/>
      <c r="BK3" s="29"/>
      <c r="BL3" s="29"/>
      <c r="BM3" s="29"/>
      <c r="BN3" s="29"/>
      <c r="BO3" s="29"/>
      <c r="BP3" s="31"/>
      <c r="BQ3" s="29"/>
      <c r="BR3" s="29"/>
      <c r="BS3" s="29"/>
      <c r="BT3" s="29"/>
      <c r="BU3" s="29"/>
      <c r="BV3" s="29"/>
      <c r="BW3" s="29"/>
      <c r="BX3" s="31"/>
      <c r="BY3" s="29"/>
      <c r="BZ3" s="29"/>
      <c r="CA3" s="29"/>
      <c r="CB3" s="29"/>
      <c r="CC3" s="29"/>
      <c r="CD3" s="29"/>
      <c r="CE3" s="29"/>
      <c r="CF3" s="31"/>
      <c r="CG3" s="29"/>
      <c r="CH3" s="29"/>
      <c r="CI3" s="29"/>
      <c r="CJ3" s="32"/>
      <c r="CK3" s="29"/>
      <c r="CL3" s="29"/>
      <c r="CM3" s="29"/>
      <c r="CN3" s="29"/>
      <c r="CO3" s="29"/>
      <c r="CP3" s="29"/>
      <c r="CQ3" s="29"/>
      <c r="CR3" s="29"/>
      <c r="CS3" s="29"/>
      <c r="CT3" s="29"/>
      <c r="CU3" s="29"/>
      <c r="CV3" s="29"/>
      <c r="CW3" s="29"/>
      <c r="CX3" s="29"/>
      <c r="CY3" s="29"/>
      <c r="CZ3" s="29"/>
      <c r="DA3" s="29"/>
      <c r="DB3" s="32"/>
    </row>
    <row r="4" spans="1:186" s="3" customFormat="1" ht="18" customHeight="1" x14ac:dyDescent="0.2">
      <c r="A4" s="96" t="s">
        <v>23</v>
      </c>
      <c r="B4" s="33"/>
      <c r="C4" s="33"/>
      <c r="D4" s="33"/>
      <c r="E4" s="33"/>
      <c r="F4" s="29"/>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62"/>
      <c r="AP4" s="33"/>
      <c r="AQ4" s="33"/>
      <c r="AR4" s="33"/>
      <c r="AS4" s="33"/>
      <c r="AT4" s="33"/>
      <c r="AU4" s="33"/>
      <c r="AV4" s="33" t="s">
        <v>342</v>
      </c>
      <c r="AW4" s="33"/>
      <c r="AX4" s="33"/>
      <c r="AY4" s="62"/>
      <c r="AZ4" s="61"/>
      <c r="BA4" s="33"/>
      <c r="BB4" s="33"/>
      <c r="BC4" s="33"/>
      <c r="BD4" s="33"/>
      <c r="BE4" s="33"/>
      <c r="BF4" s="33"/>
      <c r="BG4" s="33"/>
      <c r="BH4" s="33"/>
      <c r="BI4" s="33"/>
      <c r="BJ4" s="33"/>
      <c r="BK4" s="33"/>
      <c r="BL4" s="33"/>
      <c r="BM4" s="33"/>
      <c r="BN4" s="33"/>
      <c r="BO4" s="33"/>
      <c r="BP4" s="34"/>
      <c r="BQ4" s="33"/>
      <c r="BR4" s="33"/>
      <c r="BS4" s="33"/>
      <c r="BT4" s="33"/>
      <c r="BU4" s="33"/>
      <c r="BV4" s="33"/>
      <c r="BW4" s="33"/>
      <c r="BX4" s="34"/>
      <c r="BY4" s="33"/>
      <c r="BZ4" s="33"/>
      <c r="CA4" s="33"/>
      <c r="CB4" s="33"/>
      <c r="CC4" s="33"/>
      <c r="CD4" s="33"/>
      <c r="CE4" s="33"/>
      <c r="CF4" s="34"/>
      <c r="CG4" s="33"/>
      <c r="CH4" s="33"/>
      <c r="CI4" s="33"/>
      <c r="CJ4" s="35"/>
      <c r="CK4" s="33"/>
      <c r="CL4" s="33"/>
      <c r="CM4" s="33"/>
      <c r="CN4" s="33"/>
      <c r="CO4" s="33"/>
      <c r="CP4" s="33"/>
      <c r="CQ4" s="33"/>
      <c r="CR4" s="33"/>
      <c r="CS4" s="33"/>
      <c r="CT4" s="33"/>
      <c r="CU4" s="33"/>
      <c r="CV4" s="33"/>
      <c r="CW4" s="33"/>
      <c r="CX4" s="33"/>
      <c r="CY4" s="33"/>
      <c r="CZ4" s="33"/>
      <c r="DA4" s="33"/>
      <c r="DB4" s="35"/>
    </row>
    <row r="5" spans="1:186" s="4" customFormat="1" x14ac:dyDescent="0.2">
      <c r="A5" s="91"/>
      <c r="B5" s="91"/>
      <c r="C5" s="91"/>
      <c r="D5" s="91"/>
      <c r="E5" s="91"/>
      <c r="F5" s="221" t="s">
        <v>27</v>
      </c>
      <c r="G5" s="39" t="s">
        <v>325</v>
      </c>
      <c r="H5" s="39" t="s">
        <v>325</v>
      </c>
      <c r="I5" s="39" t="s">
        <v>325</v>
      </c>
      <c r="J5" s="39" t="s">
        <v>325</v>
      </c>
      <c r="K5" s="39" t="s">
        <v>325</v>
      </c>
      <c r="L5" s="39" t="s">
        <v>325</v>
      </c>
      <c r="M5" s="39" t="s">
        <v>325</v>
      </c>
      <c r="N5" s="39" t="s">
        <v>325</v>
      </c>
      <c r="O5" s="39" t="s">
        <v>325</v>
      </c>
      <c r="P5" s="39" t="s">
        <v>325</v>
      </c>
      <c r="Q5" s="39" t="s">
        <v>325</v>
      </c>
      <c r="R5" s="39" t="s">
        <v>325</v>
      </c>
      <c r="S5" s="39" t="s">
        <v>325</v>
      </c>
      <c r="T5" s="39" t="s">
        <v>325</v>
      </c>
      <c r="U5" s="39" t="s">
        <v>325</v>
      </c>
      <c r="V5" s="223" t="s">
        <v>26</v>
      </c>
      <c r="W5" s="39" t="s">
        <v>326</v>
      </c>
      <c r="X5" s="39" t="s">
        <v>326</v>
      </c>
      <c r="Y5" s="39" t="s">
        <v>326</v>
      </c>
      <c r="Z5" s="39" t="s">
        <v>326</v>
      </c>
      <c r="AA5" s="39" t="s">
        <v>326</v>
      </c>
      <c r="AB5" s="39" t="s">
        <v>326</v>
      </c>
      <c r="AC5" s="39" t="s">
        <v>326</v>
      </c>
      <c r="AD5" s="39" t="s">
        <v>326</v>
      </c>
      <c r="AE5" s="39" t="s">
        <v>326</v>
      </c>
      <c r="AF5" s="39" t="s">
        <v>326</v>
      </c>
      <c r="AG5" s="39" t="s">
        <v>326</v>
      </c>
      <c r="AH5" s="39" t="s">
        <v>326</v>
      </c>
      <c r="AI5" s="39" t="s">
        <v>326</v>
      </c>
      <c r="AJ5" s="39" t="s">
        <v>326</v>
      </c>
      <c r="AK5" s="39" t="s">
        <v>326</v>
      </c>
      <c r="AL5" s="39" t="s">
        <v>326</v>
      </c>
      <c r="AM5" s="223" t="s">
        <v>318</v>
      </c>
      <c r="AN5" s="43" t="s">
        <v>327</v>
      </c>
      <c r="AO5" s="63" t="s">
        <v>327</v>
      </c>
      <c r="AP5" s="43" t="s">
        <v>327</v>
      </c>
      <c r="AQ5" s="43" t="s">
        <v>327</v>
      </c>
      <c r="AR5" s="43" t="s">
        <v>327</v>
      </c>
      <c r="AS5" s="43" t="s">
        <v>327</v>
      </c>
      <c r="AT5" s="39" t="s">
        <v>327</v>
      </c>
      <c r="AU5" s="39" t="s">
        <v>327</v>
      </c>
      <c r="AV5" s="223" t="s">
        <v>343</v>
      </c>
      <c r="AW5" s="43" t="s">
        <v>344</v>
      </c>
      <c r="AX5" s="63" t="s">
        <v>382</v>
      </c>
      <c r="AY5" s="63" t="s">
        <v>382</v>
      </c>
      <c r="AZ5" s="63" t="s">
        <v>343</v>
      </c>
      <c r="BA5" s="43"/>
      <c r="BB5" s="43" t="s">
        <v>319</v>
      </c>
      <c r="BC5" s="43" t="s">
        <v>319</v>
      </c>
      <c r="BD5" s="223" t="s">
        <v>320</v>
      </c>
      <c r="BE5" s="43" t="s">
        <v>320</v>
      </c>
      <c r="BF5" s="43" t="s">
        <v>320</v>
      </c>
      <c r="BG5" s="43" t="s">
        <v>320</v>
      </c>
      <c r="BH5" s="43" t="s">
        <v>320</v>
      </c>
      <c r="BI5" s="43" t="s">
        <v>320</v>
      </c>
      <c r="BJ5" s="43" t="s">
        <v>320</v>
      </c>
      <c r="BK5" s="223" t="s">
        <v>321</v>
      </c>
      <c r="BL5" s="43" t="s">
        <v>321</v>
      </c>
      <c r="BM5" s="43" t="s">
        <v>321</v>
      </c>
      <c r="BN5" s="43" t="s">
        <v>321</v>
      </c>
      <c r="BO5" s="43" t="s">
        <v>321</v>
      </c>
      <c r="BP5" s="43" t="s">
        <v>321</v>
      </c>
      <c r="BQ5" s="43" t="s">
        <v>321</v>
      </c>
      <c r="BR5" s="44" t="s">
        <v>321</v>
      </c>
      <c r="BS5" s="221" t="s">
        <v>323</v>
      </c>
      <c r="BT5" s="43" t="s">
        <v>323</v>
      </c>
      <c r="BU5" s="43" t="s">
        <v>323</v>
      </c>
      <c r="BV5" s="43" t="s">
        <v>323</v>
      </c>
      <c r="BW5" s="43" t="s">
        <v>323</v>
      </c>
      <c r="BX5" s="43" t="s">
        <v>323</v>
      </c>
      <c r="BY5" s="43" t="s">
        <v>323</v>
      </c>
      <c r="BZ5" s="44" t="s">
        <v>323</v>
      </c>
      <c r="CA5" s="221" t="s">
        <v>324</v>
      </c>
      <c r="CB5" s="43" t="s">
        <v>324</v>
      </c>
      <c r="CC5" s="43" t="s">
        <v>324</v>
      </c>
      <c r="CD5" s="43" t="s">
        <v>324</v>
      </c>
      <c r="CE5" s="43" t="s">
        <v>324</v>
      </c>
      <c r="CF5" s="43" t="s">
        <v>324</v>
      </c>
      <c r="CG5" s="43" t="s">
        <v>324</v>
      </c>
      <c r="CH5" s="44" t="s">
        <v>324</v>
      </c>
      <c r="CI5" s="41"/>
      <c r="CJ5" s="21"/>
      <c r="CK5" s="20"/>
      <c r="CL5" s="20"/>
      <c r="CM5" s="20"/>
      <c r="CN5" s="20"/>
      <c r="CO5" s="20"/>
      <c r="CP5" s="20"/>
      <c r="CQ5" s="20"/>
      <c r="CR5" s="20"/>
      <c r="CS5" s="20"/>
      <c r="CT5" s="20"/>
      <c r="CU5" s="20"/>
      <c r="CV5" s="20"/>
      <c r="CW5" s="20"/>
      <c r="CX5" s="20"/>
      <c r="CY5" s="20"/>
      <c r="CZ5" s="20"/>
      <c r="DA5" s="20"/>
      <c r="DB5" s="21"/>
    </row>
    <row r="6" spans="1:186" s="3" customFormat="1" ht="60" x14ac:dyDescent="0.2">
      <c r="A6" s="97" t="s">
        <v>57</v>
      </c>
      <c r="B6" s="97" t="s">
        <v>314</v>
      </c>
      <c r="C6" s="97" t="s">
        <v>42</v>
      </c>
      <c r="D6" s="97" t="s">
        <v>41</v>
      </c>
      <c r="E6" s="97" t="s">
        <v>4</v>
      </c>
      <c r="F6" s="222"/>
      <c r="G6" s="92" t="s">
        <v>28</v>
      </c>
      <c r="H6" s="92" t="s">
        <v>29</v>
      </c>
      <c r="I6" s="92" t="s">
        <v>30</v>
      </c>
      <c r="J6" s="92" t="s">
        <v>33</v>
      </c>
      <c r="K6" s="92" t="s">
        <v>31</v>
      </c>
      <c r="L6" s="92" t="s">
        <v>32</v>
      </c>
      <c r="M6" s="92" t="s">
        <v>2</v>
      </c>
      <c r="N6" s="36" t="s">
        <v>35</v>
      </c>
      <c r="O6" s="36" t="s">
        <v>315</v>
      </c>
      <c r="P6" s="36" t="s">
        <v>36</v>
      </c>
      <c r="Q6" s="36" t="s">
        <v>316</v>
      </c>
      <c r="R6" s="36" t="s">
        <v>37</v>
      </c>
      <c r="S6" s="92" t="s">
        <v>317</v>
      </c>
      <c r="T6" s="38" t="s">
        <v>301</v>
      </c>
      <c r="U6" s="38" t="s">
        <v>332</v>
      </c>
      <c r="V6" s="224"/>
      <c r="W6" s="92" t="s">
        <v>28</v>
      </c>
      <c r="X6" s="92" t="s">
        <v>29</v>
      </c>
      <c r="Y6" s="92" t="s">
        <v>30</v>
      </c>
      <c r="Z6" s="92" t="s">
        <v>33</v>
      </c>
      <c r="AA6" s="92" t="s">
        <v>31</v>
      </c>
      <c r="AB6" s="92" t="s">
        <v>32</v>
      </c>
      <c r="AC6" s="92" t="s">
        <v>3</v>
      </c>
      <c r="AD6" s="92" t="s">
        <v>2</v>
      </c>
      <c r="AE6" s="36" t="s">
        <v>35</v>
      </c>
      <c r="AF6" s="36" t="s">
        <v>315</v>
      </c>
      <c r="AG6" s="36" t="s">
        <v>36</v>
      </c>
      <c r="AH6" s="36" t="s">
        <v>316</v>
      </c>
      <c r="AI6" s="36" t="s">
        <v>37</v>
      </c>
      <c r="AJ6" s="92" t="s">
        <v>317</v>
      </c>
      <c r="AK6" s="38" t="s">
        <v>301</v>
      </c>
      <c r="AL6" s="38" t="s">
        <v>332</v>
      </c>
      <c r="AM6" s="224"/>
      <c r="AN6" s="36" t="s">
        <v>35</v>
      </c>
      <c r="AO6" s="36" t="s">
        <v>315</v>
      </c>
      <c r="AP6" s="36" t="s">
        <v>36</v>
      </c>
      <c r="AQ6" s="36" t="s">
        <v>316</v>
      </c>
      <c r="AR6" s="36" t="s">
        <v>37</v>
      </c>
      <c r="AS6" s="36" t="s">
        <v>317</v>
      </c>
      <c r="AT6" s="38" t="s">
        <v>301</v>
      </c>
      <c r="AU6" s="38" t="s">
        <v>332</v>
      </c>
      <c r="AV6" s="224"/>
      <c r="AW6" s="36"/>
      <c r="AX6" s="36" t="s">
        <v>35</v>
      </c>
      <c r="AY6" s="36" t="s">
        <v>315</v>
      </c>
      <c r="AZ6" s="36" t="s">
        <v>346</v>
      </c>
      <c r="BA6" s="36" t="s">
        <v>345</v>
      </c>
      <c r="BB6" s="36" t="s">
        <v>35</v>
      </c>
      <c r="BC6" s="36" t="s">
        <v>317</v>
      </c>
      <c r="BD6" s="224"/>
      <c r="BE6" s="36" t="s">
        <v>35</v>
      </c>
      <c r="BF6" s="36" t="s">
        <v>315</v>
      </c>
      <c r="BG6" s="36" t="s">
        <v>36</v>
      </c>
      <c r="BH6" s="36" t="s">
        <v>316</v>
      </c>
      <c r="BI6" s="36" t="s">
        <v>37</v>
      </c>
      <c r="BJ6" s="36" t="s">
        <v>317</v>
      </c>
      <c r="BK6" s="224"/>
      <c r="BL6" s="45" t="s">
        <v>35</v>
      </c>
      <c r="BM6" s="45" t="s">
        <v>315</v>
      </c>
      <c r="BN6" s="45" t="s">
        <v>36</v>
      </c>
      <c r="BO6" s="45" t="s">
        <v>316</v>
      </c>
      <c r="BP6" s="45" t="s">
        <v>37</v>
      </c>
      <c r="BQ6" s="45" t="s">
        <v>317</v>
      </c>
      <c r="BR6" s="40" t="s">
        <v>322</v>
      </c>
      <c r="BS6" s="222"/>
      <c r="BT6" s="45" t="s">
        <v>35</v>
      </c>
      <c r="BU6" s="45" t="s">
        <v>315</v>
      </c>
      <c r="BV6" s="45" t="s">
        <v>36</v>
      </c>
      <c r="BW6" s="45" t="s">
        <v>316</v>
      </c>
      <c r="BX6" s="45" t="s">
        <v>37</v>
      </c>
      <c r="BY6" s="45" t="s">
        <v>317</v>
      </c>
      <c r="BZ6" s="40" t="s">
        <v>322</v>
      </c>
      <c r="CA6" s="222"/>
      <c r="CB6" s="45" t="s">
        <v>35</v>
      </c>
      <c r="CC6" s="45" t="s">
        <v>315</v>
      </c>
      <c r="CD6" s="45" t="s">
        <v>36</v>
      </c>
      <c r="CE6" s="45" t="s">
        <v>316</v>
      </c>
      <c r="CF6" s="45" t="s">
        <v>37</v>
      </c>
      <c r="CG6" s="45" t="s">
        <v>317</v>
      </c>
      <c r="CH6" s="40" t="s">
        <v>322</v>
      </c>
      <c r="CI6" s="40"/>
      <c r="CJ6" s="37"/>
      <c r="CK6" s="36" t="s">
        <v>5</v>
      </c>
      <c r="CL6" s="36" t="s">
        <v>6</v>
      </c>
      <c r="CM6" s="36" t="s">
        <v>7</v>
      </c>
      <c r="CN6" s="36" t="s">
        <v>8</v>
      </c>
      <c r="CO6" s="36" t="s">
        <v>9</v>
      </c>
      <c r="CP6" s="36" t="s">
        <v>10</v>
      </c>
      <c r="CQ6" s="36" t="s">
        <v>11</v>
      </c>
      <c r="CR6" s="36" t="s">
        <v>12</v>
      </c>
      <c r="CS6" s="36" t="s">
        <v>13</v>
      </c>
      <c r="CT6" s="36" t="s">
        <v>14</v>
      </c>
      <c r="CU6" s="36" t="s">
        <v>15</v>
      </c>
      <c r="CV6" s="36" t="s">
        <v>16</v>
      </c>
      <c r="CW6" s="36" t="s">
        <v>17</v>
      </c>
      <c r="CX6" s="36" t="s">
        <v>18</v>
      </c>
      <c r="CY6" s="36" t="s">
        <v>19</v>
      </c>
      <c r="CZ6" s="36" t="s">
        <v>20</v>
      </c>
      <c r="DA6" s="36" t="s">
        <v>21</v>
      </c>
      <c r="DB6" s="36" t="s">
        <v>22</v>
      </c>
      <c r="GA6" s="53" t="s">
        <v>338</v>
      </c>
      <c r="GB6" s="3" t="s">
        <v>339</v>
      </c>
      <c r="GC6" s="3" t="s">
        <v>340</v>
      </c>
      <c r="GD6" s="3" t="s">
        <v>341</v>
      </c>
    </row>
    <row r="7" spans="1:186" s="3" customFormat="1" ht="36" customHeight="1" x14ac:dyDescent="0.2">
      <c r="A7" s="66"/>
      <c r="B7" s="66"/>
      <c r="C7" s="66"/>
      <c r="D7" s="66"/>
      <c r="E7" s="66"/>
      <c r="F7" s="67"/>
      <c r="G7" s="66"/>
      <c r="H7" s="66"/>
      <c r="I7" s="66"/>
      <c r="J7" s="66"/>
      <c r="K7" s="66"/>
      <c r="L7" s="66"/>
      <c r="M7" s="66"/>
      <c r="N7" s="68"/>
      <c r="O7" s="68"/>
      <c r="P7" s="68"/>
      <c r="Q7" s="68"/>
      <c r="R7" s="68"/>
      <c r="S7" s="66"/>
      <c r="T7" s="69"/>
      <c r="U7" s="69"/>
      <c r="V7" s="70"/>
      <c r="W7" s="66"/>
      <c r="X7" s="66"/>
      <c r="Y7" s="66"/>
      <c r="Z7" s="66"/>
      <c r="AA7" s="66"/>
      <c r="AB7" s="66"/>
      <c r="AC7" s="66"/>
      <c r="AD7" s="66"/>
      <c r="AE7" s="68"/>
      <c r="AF7" s="68"/>
      <c r="AG7" s="68"/>
      <c r="AH7" s="68"/>
      <c r="AI7" s="68"/>
      <c r="AJ7" s="66"/>
      <c r="AK7" s="69"/>
      <c r="AL7" s="69"/>
      <c r="AM7" s="70"/>
      <c r="AN7" s="68"/>
      <c r="AO7" s="68"/>
      <c r="AP7" s="68"/>
      <c r="AQ7" s="68"/>
      <c r="AR7" s="68"/>
      <c r="AS7" s="68"/>
      <c r="AT7" s="69"/>
      <c r="AU7" s="69"/>
      <c r="AV7" s="70"/>
      <c r="AW7" s="68"/>
      <c r="AX7" s="68" t="s">
        <v>415</v>
      </c>
      <c r="AY7" s="68"/>
      <c r="AZ7" s="68"/>
      <c r="BA7" s="68"/>
      <c r="BB7" s="68"/>
      <c r="BC7" s="68"/>
      <c r="BD7" s="70"/>
      <c r="BE7" s="68"/>
      <c r="BF7" s="68"/>
      <c r="BG7" s="68"/>
      <c r="BH7" s="68"/>
      <c r="BI7" s="68"/>
      <c r="BJ7" s="68"/>
      <c r="BK7" s="70"/>
      <c r="BL7" s="71"/>
      <c r="BM7" s="71"/>
      <c r="BN7" s="71"/>
      <c r="BO7" s="71"/>
      <c r="BP7" s="71"/>
      <c r="BQ7" s="71"/>
      <c r="BR7" s="71"/>
      <c r="BS7" s="67"/>
      <c r="BT7" s="71"/>
      <c r="BU7" s="71"/>
      <c r="BV7" s="71"/>
      <c r="BW7" s="71"/>
      <c r="BX7" s="71"/>
      <c r="BY7" s="71"/>
      <c r="BZ7" s="71"/>
      <c r="CA7" s="67"/>
      <c r="CB7" s="71"/>
      <c r="CC7" s="71"/>
      <c r="CD7" s="71"/>
      <c r="CE7" s="71"/>
      <c r="CF7" s="71"/>
      <c r="CG7" s="71"/>
      <c r="CH7" s="71"/>
      <c r="CI7" s="71"/>
      <c r="CJ7" s="68"/>
      <c r="CK7" s="68"/>
      <c r="CL7" s="68"/>
      <c r="CM7" s="68"/>
      <c r="CN7" s="68"/>
      <c r="CO7" s="68"/>
      <c r="CP7" s="68"/>
      <c r="CQ7" s="68"/>
      <c r="CR7" s="68"/>
      <c r="CS7" s="68"/>
      <c r="CT7" s="68"/>
      <c r="CU7" s="68"/>
      <c r="CV7" s="68"/>
      <c r="CW7" s="68"/>
      <c r="CX7" s="68"/>
      <c r="CY7" s="68"/>
      <c r="CZ7" s="68"/>
      <c r="DA7" s="68"/>
      <c r="DB7" s="68"/>
      <c r="GA7" s="53"/>
    </row>
    <row r="8" spans="1:186" x14ac:dyDescent="0.2">
      <c r="A8" s="1" t="s">
        <v>257</v>
      </c>
      <c r="B8" s="101" t="s">
        <v>81</v>
      </c>
      <c r="C8" s="101" t="s">
        <v>81</v>
      </c>
      <c r="D8" s="1">
        <v>67700708</v>
      </c>
      <c r="E8" s="1" t="s">
        <v>226</v>
      </c>
      <c r="G8" s="1" t="s">
        <v>84</v>
      </c>
      <c r="H8" s="1" t="s">
        <v>67</v>
      </c>
      <c r="I8" s="1" t="s">
        <v>244</v>
      </c>
      <c r="J8" s="1">
        <v>5.4</v>
      </c>
      <c r="K8" s="1" t="s">
        <v>242</v>
      </c>
      <c r="L8" s="1" t="s">
        <v>243</v>
      </c>
      <c r="M8" s="1">
        <v>45000000</v>
      </c>
      <c r="N8" s="1">
        <v>45196935.149999999</v>
      </c>
      <c r="O8" s="42">
        <v>1.0043763366666667</v>
      </c>
      <c r="P8" s="1">
        <v>45029955.149999999</v>
      </c>
      <c r="Q8" s="42">
        <v>1.0006656700000001</v>
      </c>
      <c r="R8" s="1">
        <v>166980</v>
      </c>
      <c r="S8" s="42">
        <v>3.7106666666666668E-3</v>
      </c>
      <c r="T8" s="1">
        <v>0.1</v>
      </c>
      <c r="U8" s="1">
        <v>-634</v>
      </c>
      <c r="W8" s="1" t="s">
        <v>79</v>
      </c>
      <c r="X8" s="1" t="s">
        <v>71</v>
      </c>
      <c r="Y8" s="1">
        <v>3.875</v>
      </c>
      <c r="AA8" s="1" t="s">
        <v>242</v>
      </c>
      <c r="AB8" s="1" t="s">
        <v>243</v>
      </c>
      <c r="AD8" s="1">
        <v>45000000</v>
      </c>
      <c r="AE8" s="1">
        <v>-46746486.009999998</v>
      </c>
      <c r="AF8" s="42">
        <v>-1.0388108002222223</v>
      </c>
      <c r="AG8" s="1">
        <v>-45278829.759999998</v>
      </c>
      <c r="AH8" s="42">
        <v>-1.0061962168888889</v>
      </c>
      <c r="AI8" s="1">
        <v>-1467656.25</v>
      </c>
      <c r="AJ8" s="42">
        <v>-3.2614583333333336E-2</v>
      </c>
      <c r="AK8" s="1">
        <v>-1.1000000000000001</v>
      </c>
      <c r="AL8" s="1">
        <v>5170</v>
      </c>
      <c r="AN8" s="48">
        <v>-1549550.86</v>
      </c>
      <c r="AO8" s="42">
        <v>-3.4434463555555558E-2</v>
      </c>
      <c r="AQ8" s="42"/>
      <c r="AS8" s="42"/>
      <c r="AT8" s="46"/>
      <c r="AU8" s="46"/>
      <c r="AX8" s="48" t="e">
        <f>+INDEX('IFT précédent'!$AO$7:$AO$82,MATCH('analyse trimestrielle'!A8,'IFT précédent'!$B$7:$B$82,0))</f>
        <v>#N/A</v>
      </c>
      <c r="AY8" s="52" t="e">
        <f>+INDEX('IFT précédent'!$AP$7:$AP$82,MATCH('analyse trimestrielle'!A8,'IFT précédent'!$B$7:$B$82,0))</f>
        <v>#N/A</v>
      </c>
      <c r="AZ8" s="58" t="e">
        <f>+AO8-AY8</f>
        <v>#N/A</v>
      </c>
      <c r="BA8" s="65" t="e">
        <f>+AN8-AX8</f>
        <v>#N/A</v>
      </c>
      <c r="BB8" s="48"/>
      <c r="BC8" s="23"/>
      <c r="BE8" s="46">
        <v>1770553.3639880198</v>
      </c>
      <c r="BF8" s="23">
        <v>7.0822134559520786E-2</v>
      </c>
      <c r="BG8" s="46">
        <v>1620665.1695435753</v>
      </c>
      <c r="BH8" s="23">
        <v>6.4826606781743012E-2</v>
      </c>
      <c r="BI8" s="46">
        <v>149888.19444444447</v>
      </c>
      <c r="BJ8" s="23">
        <v>5.9955277777777784E-3</v>
      </c>
      <c r="BL8" s="46"/>
      <c r="BM8" s="23"/>
      <c r="BN8" s="46"/>
      <c r="BO8" s="23"/>
      <c r="BP8" s="46"/>
      <c r="BQ8" s="23"/>
      <c r="BR8" s="1" t="e">
        <f>IF(ABS(BM8)&gt;$GC8,"alerte","")</f>
        <v>#NAME?</v>
      </c>
      <c r="BT8" s="46">
        <v>-7825.3639880197588</v>
      </c>
      <c r="BU8" s="23">
        <v>-3.1301455952079116E-4</v>
      </c>
      <c r="BV8" s="46">
        <v>-7825.1695435752627</v>
      </c>
      <c r="BW8" s="23">
        <v>-3.1300678174300822E-4</v>
      </c>
      <c r="BX8" s="46">
        <v>-0.19444444446708076</v>
      </c>
      <c r="BY8" s="23">
        <v>-7.7777777785989488E-9</v>
      </c>
      <c r="BZ8" s="1" t="e">
        <f>IF(ABS(BU8)&gt;$GC8,"alerte","")</f>
        <v>#NAME?</v>
      </c>
      <c r="CB8" s="46"/>
      <c r="CC8" s="23"/>
      <c r="CD8" s="46"/>
      <c r="CE8" s="23"/>
      <c r="CF8" s="46"/>
      <c r="CG8" s="23"/>
      <c r="CH8" s="1" t="e">
        <f>IF(ABS(CC8)&gt;$GC8,"alerte","")</f>
        <v>#NAME?</v>
      </c>
      <c r="CK8" s="1" t="s">
        <v>51</v>
      </c>
      <c r="CL8" s="1" t="s">
        <v>249</v>
      </c>
      <c r="CM8" s="1" t="s">
        <v>53</v>
      </c>
      <c r="CN8" s="1" t="s">
        <v>250</v>
      </c>
      <c r="CO8" s="1" t="s">
        <v>55</v>
      </c>
      <c r="CP8" s="1" t="s">
        <v>102</v>
      </c>
      <c r="CQ8" s="1" t="s">
        <v>57</v>
      </c>
      <c r="CR8" s="1" t="s">
        <v>251</v>
      </c>
      <c r="FZ8" s="1">
        <f>+AN8-N8-AE8</f>
        <v>0</v>
      </c>
      <c r="GA8" s="1">
        <f>DATEVALUE(MID(L8,4,2) &amp; "/" &amp; LEFT(L8,2) &amp; "/" &amp; RIGHT(L8,4))</f>
        <v>45705</v>
      </c>
      <c r="GB8" s="1">
        <f ca="1">+YEARFRAC(TODAY(),GA8)</f>
        <v>0.12222222222222222</v>
      </c>
      <c r="GC8" s="52" t="e">
        <v>#NAME?</v>
      </c>
      <c r="GD8" s="1" t="e">
        <v>#NAME?</v>
      </c>
    </row>
    <row r="9" spans="1:186" x14ac:dyDescent="0.2">
      <c r="A9" s="1" t="s">
        <v>269</v>
      </c>
      <c r="B9" s="101" t="s">
        <v>78</v>
      </c>
      <c r="C9" s="101" t="s">
        <v>78</v>
      </c>
      <c r="D9" s="1">
        <v>69125832</v>
      </c>
      <c r="E9" s="1" t="s">
        <v>77</v>
      </c>
      <c r="G9" s="1" t="s">
        <v>70</v>
      </c>
      <c r="H9" s="1" t="s">
        <v>71</v>
      </c>
      <c r="I9" s="1" t="s">
        <v>76</v>
      </c>
      <c r="K9" s="1" t="s">
        <v>265</v>
      </c>
      <c r="L9" s="1" t="s">
        <v>266</v>
      </c>
      <c r="M9" s="1">
        <v>10000000</v>
      </c>
      <c r="N9" s="1">
        <v>-14146482.390000001</v>
      </c>
      <c r="O9" s="42">
        <v>-1.4146482390000001</v>
      </c>
      <c r="P9" s="1">
        <v>-14039359.720000001</v>
      </c>
      <c r="Q9" s="42">
        <v>-1.403935972</v>
      </c>
      <c r="R9" s="1">
        <v>-107122.67</v>
      </c>
      <c r="S9" s="42">
        <v>-1.0712266999999999E-2</v>
      </c>
      <c r="T9" s="1">
        <v>-2.6</v>
      </c>
      <c r="U9" s="1">
        <v>3667</v>
      </c>
      <c r="W9" s="1" t="s">
        <v>79</v>
      </c>
      <c r="X9" s="1" t="s">
        <v>67</v>
      </c>
      <c r="Y9" s="1">
        <v>5.46</v>
      </c>
      <c r="AA9" s="1" t="s">
        <v>265</v>
      </c>
      <c r="AB9" s="1" t="s">
        <v>266</v>
      </c>
      <c r="AD9" s="1">
        <v>10000000</v>
      </c>
      <c r="AE9" s="1">
        <v>10907955.380000001</v>
      </c>
      <c r="AF9" s="42">
        <v>1.0907955380000001</v>
      </c>
      <c r="AG9" s="1">
        <v>10763872.050000001</v>
      </c>
      <c r="AH9" s="42">
        <v>1.0763872050000001</v>
      </c>
      <c r="AI9" s="1">
        <v>144083.32999999999</v>
      </c>
      <c r="AJ9" s="42">
        <v>1.4408332999999999E-2</v>
      </c>
      <c r="AK9" s="1">
        <v>2.52</v>
      </c>
      <c r="AL9" s="1">
        <v>-2744</v>
      </c>
      <c r="AN9" s="48">
        <v>-3238527.01</v>
      </c>
      <c r="AO9" s="42">
        <v>-0.32385270099999997</v>
      </c>
      <c r="AQ9" s="42"/>
      <c r="AS9" s="42"/>
      <c r="AT9" s="46"/>
      <c r="AU9" s="46"/>
      <c r="AW9" s="46"/>
      <c r="AX9" s="48">
        <f>+INDEX('IFT précédent'!$AO$7:$AO$82,MATCH('analyse trimestrielle'!A9,'IFT précédent'!$B$7:$B$82,0))</f>
        <v>-3543992.85</v>
      </c>
      <c r="AY9" s="52">
        <f>+INDEX('IFT précédent'!$AP$7:$AP$82,MATCH('analyse trimestrielle'!A9,'IFT précédent'!$B$7:$B$82,0))</f>
        <v>-0.35439928500000001</v>
      </c>
      <c r="AZ9" s="58">
        <f t="shared" ref="AZ9:AZ43" si="0">+AO9-AY9</f>
        <v>3.0546584000000043E-2</v>
      </c>
      <c r="BA9" s="65">
        <f t="shared" ref="BA9:BA43" si="1">+AN9-AX9</f>
        <v>305465.84000000032</v>
      </c>
      <c r="BB9" s="48"/>
      <c r="BC9" s="23"/>
      <c r="BE9" s="46">
        <v>1755716.4510209188</v>
      </c>
      <c r="BF9" s="23">
        <v>7.022865804083675E-2</v>
      </c>
      <c r="BG9" s="46">
        <v>1607256.7287986968</v>
      </c>
      <c r="BH9" s="23">
        <v>6.4290269151947868E-2</v>
      </c>
      <c r="BI9" s="46">
        <v>148459.72222222222</v>
      </c>
      <c r="BJ9" s="23">
        <v>5.9383888888888889E-3</v>
      </c>
      <c r="BL9" s="46"/>
      <c r="BM9" s="23"/>
      <c r="BN9" s="46"/>
      <c r="BO9" s="23"/>
      <c r="BP9" s="46"/>
      <c r="BQ9" s="23"/>
      <c r="BR9" s="1" t="e">
        <f t="shared" ref="BR9:BR43" si="2">IF(ABS(BM9)&gt;$GC9,"alerte","")</f>
        <v>#NAME?</v>
      </c>
      <c r="BT9" s="46">
        <v>-8892.4510209187865</v>
      </c>
      <c r="BU9" s="23">
        <v>-3.5569804083675216E-4</v>
      </c>
      <c r="BV9" s="46">
        <v>-8892.7287986967713</v>
      </c>
      <c r="BW9" s="23">
        <v>-3.5570915194786668E-4</v>
      </c>
      <c r="BX9" s="46">
        <v>0.27777777778101154</v>
      </c>
      <c r="BY9" s="23">
        <v>1.1111111111045124E-8</v>
      </c>
      <c r="BZ9" s="1" t="e">
        <f t="shared" ref="BZ9:BZ43" si="3">IF(ABS(BU9)&gt;$GC9,"alerte","")</f>
        <v>#NAME?</v>
      </c>
      <c r="CB9" s="46"/>
      <c r="CC9" s="23"/>
      <c r="CD9" s="46"/>
      <c r="CE9" s="23"/>
      <c r="CF9" s="46"/>
      <c r="CG9" s="23"/>
      <c r="CH9" s="1" t="e">
        <f t="shared" ref="CH9:CH43" si="4">IF(ABS(CC9)&gt;$GC9,"alerte","")</f>
        <v>#NAME?</v>
      </c>
      <c r="CK9" s="1" t="s">
        <v>51</v>
      </c>
      <c r="CL9" s="1" t="s">
        <v>52</v>
      </c>
      <c r="CM9" s="1" t="s">
        <v>53</v>
      </c>
      <c r="CN9" s="1" t="s">
        <v>54</v>
      </c>
      <c r="CO9" s="1" t="s">
        <v>55</v>
      </c>
      <c r="CP9" s="1" t="s">
        <v>56</v>
      </c>
      <c r="CQ9" s="1" t="s">
        <v>57</v>
      </c>
      <c r="CR9" s="1" t="s">
        <v>58</v>
      </c>
      <c r="FZ9" s="1">
        <f t="shared" ref="FZ9:FZ43" si="5">+AN9-N9-AE9</f>
        <v>0</v>
      </c>
      <c r="GA9" s="1">
        <f t="shared" ref="GA9:GA43" si="6">DATEVALUE(MID(L9,4,2) &amp; "/" &amp; LEFT(L9,2) &amp; "/" &amp; RIGHT(L9,4))</f>
        <v>46280</v>
      </c>
      <c r="GB9" s="1">
        <f t="shared" ref="GB9:GB43" ca="1" si="7">+YEARFRAC(TODAY(),GA9)</f>
        <v>1.4555555555555555</v>
      </c>
      <c r="GC9" s="52" t="e">
        <v>#NAME?</v>
      </c>
      <c r="GD9" s="1" t="e">
        <v>#NAME?</v>
      </c>
    </row>
    <row r="10" spans="1:186" x14ac:dyDescent="0.2">
      <c r="A10" s="1" t="s">
        <v>272</v>
      </c>
      <c r="B10" s="101" t="s">
        <v>78</v>
      </c>
      <c r="C10" s="101" t="s">
        <v>78</v>
      </c>
      <c r="D10" s="1">
        <v>69107271</v>
      </c>
      <c r="E10" s="1" t="s">
        <v>77</v>
      </c>
      <c r="G10" s="1" t="s">
        <v>70</v>
      </c>
      <c r="H10" s="1" t="s">
        <v>71</v>
      </c>
      <c r="I10" s="1" t="s">
        <v>76</v>
      </c>
      <c r="K10" s="1" t="s">
        <v>265</v>
      </c>
      <c r="L10" s="1" t="s">
        <v>266</v>
      </c>
      <c r="M10" s="1">
        <v>5600000</v>
      </c>
      <c r="N10" s="1">
        <v>-7922030.1399999997</v>
      </c>
      <c r="O10" s="42">
        <v>-1.4146482392857143</v>
      </c>
      <c r="P10" s="1">
        <v>-7862041.4500000002</v>
      </c>
      <c r="Q10" s="42">
        <v>-1.4039359732142858</v>
      </c>
      <c r="R10" s="1">
        <v>-59988.69</v>
      </c>
      <c r="S10" s="42">
        <v>-1.0712266071428571E-2</v>
      </c>
      <c r="T10" s="1">
        <v>-2.6</v>
      </c>
      <c r="U10" s="1">
        <v>2054</v>
      </c>
      <c r="W10" s="1" t="s">
        <v>79</v>
      </c>
      <c r="X10" s="1" t="s">
        <v>67</v>
      </c>
      <c r="Y10" s="1">
        <v>5.6449999999999996</v>
      </c>
      <c r="AA10" s="1" t="s">
        <v>265</v>
      </c>
      <c r="AB10" s="1" t="s">
        <v>266</v>
      </c>
      <c r="AD10" s="1">
        <v>5600000</v>
      </c>
      <c r="AE10" s="1">
        <v>6138259.3899999997</v>
      </c>
      <c r="AF10" s="42">
        <v>1.0961177482142856</v>
      </c>
      <c r="AG10" s="1">
        <v>6054838.8399999999</v>
      </c>
      <c r="AH10" s="42">
        <v>1.0812212214285715</v>
      </c>
      <c r="AI10" s="1">
        <v>83420.56</v>
      </c>
      <c r="AJ10" s="42">
        <v>1.489652857142857E-2</v>
      </c>
      <c r="AK10" s="1">
        <v>2.5099999999999998</v>
      </c>
      <c r="AL10" s="1">
        <v>-1541</v>
      </c>
      <c r="AN10" s="48">
        <v>-1783770.75</v>
      </c>
      <c r="AO10" s="42">
        <v>-0.31853049107142856</v>
      </c>
      <c r="AQ10" s="42"/>
      <c r="AS10" s="42"/>
      <c r="AT10" s="46"/>
      <c r="AU10" s="46"/>
      <c r="AW10" s="46"/>
      <c r="AX10" s="48" t="e">
        <f>+INDEX('IFT précédent'!$AO$7:$AO$82,MATCH('analyse trimestrielle'!A10,'IFT précédent'!$B$7:$B$82,0))</f>
        <v>#N/A</v>
      </c>
      <c r="AY10" s="52" t="e">
        <f>+INDEX('IFT précédent'!$AP$7:$AP$82,MATCH('analyse trimestrielle'!A10,'IFT précédent'!$B$7:$B$82,0))</f>
        <v>#N/A</v>
      </c>
      <c r="AZ10" s="58" t="e">
        <f t="shared" si="0"/>
        <v>#N/A</v>
      </c>
      <c r="BA10" s="65" t="e">
        <f t="shared" si="1"/>
        <v>#N/A</v>
      </c>
      <c r="BB10" s="48"/>
      <c r="BC10" s="23"/>
      <c r="BE10" s="46">
        <v>1803595.2110345289</v>
      </c>
      <c r="BF10" s="23">
        <v>7.2143808441381158E-2</v>
      </c>
      <c r="BG10" s="46">
        <v>1651270.2110345289</v>
      </c>
      <c r="BH10" s="23">
        <v>6.6050808441381156E-2</v>
      </c>
      <c r="BI10" s="46">
        <v>152325</v>
      </c>
      <c r="BJ10" s="23">
        <v>6.0930000000000003E-3</v>
      </c>
      <c r="BL10" s="46"/>
      <c r="BM10" s="23"/>
      <c r="BN10" s="46"/>
      <c r="BO10" s="23"/>
      <c r="BP10" s="46"/>
      <c r="BQ10" s="23"/>
      <c r="BR10" s="1" t="e">
        <f t="shared" si="2"/>
        <v>#NAME?</v>
      </c>
      <c r="BT10" s="46">
        <v>-7828.2110345289111</v>
      </c>
      <c r="BU10" s="23">
        <v>-3.1312844138116358E-4</v>
      </c>
      <c r="BV10" s="46">
        <v>-7828.2110345289111</v>
      </c>
      <c r="BW10" s="23">
        <v>-3.131284413811497E-4</v>
      </c>
      <c r="BX10" s="46">
        <v>0</v>
      </c>
      <c r="BY10" s="23">
        <v>0</v>
      </c>
      <c r="BZ10" s="1" t="e">
        <f t="shared" si="3"/>
        <v>#NAME?</v>
      </c>
      <c r="CB10" s="46"/>
      <c r="CC10" s="23"/>
      <c r="CD10" s="46"/>
      <c r="CE10" s="23"/>
      <c r="CF10" s="46"/>
      <c r="CG10" s="23"/>
      <c r="CH10" s="1" t="e">
        <f t="shared" si="4"/>
        <v>#NAME?</v>
      </c>
      <c r="CK10" s="1" t="s">
        <v>51</v>
      </c>
      <c r="CL10" s="1" t="s">
        <v>252</v>
      </c>
      <c r="CM10" s="1" t="s">
        <v>53</v>
      </c>
      <c r="CN10" s="1" t="s">
        <v>253</v>
      </c>
      <c r="CO10" s="1" t="s">
        <v>55</v>
      </c>
      <c r="CP10" s="1" t="s">
        <v>56</v>
      </c>
      <c r="CQ10" s="1" t="s">
        <v>57</v>
      </c>
      <c r="CR10" s="1" t="s">
        <v>254</v>
      </c>
      <c r="FZ10" s="1">
        <f t="shared" si="5"/>
        <v>0</v>
      </c>
      <c r="GA10" s="1">
        <f t="shared" si="6"/>
        <v>46280</v>
      </c>
      <c r="GB10" s="1">
        <f t="shared" ca="1" si="7"/>
        <v>1.4555555555555555</v>
      </c>
      <c r="GC10" s="52" t="e">
        <v>#NAME?</v>
      </c>
      <c r="GD10" s="1" t="e">
        <v>#NAME?</v>
      </c>
    </row>
    <row r="11" spans="1:186" x14ac:dyDescent="0.2">
      <c r="A11" s="1" t="s">
        <v>277</v>
      </c>
      <c r="B11" s="101" t="s">
        <v>78</v>
      </c>
      <c r="C11" s="101" t="s">
        <v>78</v>
      </c>
      <c r="D11" s="1">
        <v>69047849</v>
      </c>
      <c r="E11" s="1" t="s">
        <v>92</v>
      </c>
      <c r="G11" s="1" t="s">
        <v>70</v>
      </c>
      <c r="H11" s="1" t="s">
        <v>71</v>
      </c>
      <c r="I11" s="1" t="s">
        <v>76</v>
      </c>
      <c r="K11" s="1" t="s">
        <v>273</v>
      </c>
      <c r="L11" s="1" t="s">
        <v>274</v>
      </c>
      <c r="M11" s="1">
        <v>30000000</v>
      </c>
      <c r="N11" s="1">
        <v>-42216149.020000003</v>
      </c>
      <c r="O11" s="42">
        <v>-1.4072049673333333</v>
      </c>
      <c r="P11" s="1">
        <v>-41917914.810000002</v>
      </c>
      <c r="Q11" s="42">
        <v>-1.3972638270000002</v>
      </c>
      <c r="R11" s="1">
        <v>-298234.21000000002</v>
      </c>
      <c r="S11" s="42">
        <v>-9.9411403333333342E-3</v>
      </c>
      <c r="T11" s="1">
        <v>-3.4</v>
      </c>
      <c r="U11" s="1">
        <v>14534</v>
      </c>
      <c r="W11" s="1" t="s">
        <v>79</v>
      </c>
      <c r="X11" s="1" t="s">
        <v>67</v>
      </c>
      <c r="Y11" s="1">
        <v>3.2075</v>
      </c>
      <c r="AA11" s="1" t="s">
        <v>273</v>
      </c>
      <c r="AB11" s="1" t="s">
        <v>274</v>
      </c>
      <c r="AD11" s="1">
        <v>30000000</v>
      </c>
      <c r="AE11" s="1">
        <v>31191444.629999999</v>
      </c>
      <c r="AF11" s="42">
        <v>1.039714821</v>
      </c>
      <c r="AG11" s="1">
        <v>30803871.710000001</v>
      </c>
      <c r="AH11" s="42">
        <v>1.0267957236666667</v>
      </c>
      <c r="AI11" s="1">
        <v>387572.92</v>
      </c>
      <c r="AJ11" s="42">
        <v>1.2919097333333332E-2</v>
      </c>
      <c r="AK11" s="1">
        <v>3.37</v>
      </c>
      <c r="AL11" s="1">
        <v>-10513</v>
      </c>
      <c r="AN11" s="48">
        <v>-11024704.390000001</v>
      </c>
      <c r="AO11" s="42">
        <v>-0.36749014633333338</v>
      </c>
      <c r="AQ11" s="42"/>
      <c r="AS11" s="42"/>
      <c r="AT11" s="46"/>
      <c r="AU11" s="46"/>
      <c r="AW11" s="46"/>
      <c r="AX11" s="48">
        <f>+INDEX('IFT précédent'!$AO$7:$AO$82,MATCH('analyse trimestrielle'!A11,'IFT précédent'!$B$7:$B$82,0))</f>
        <v>-11282115.189999999</v>
      </c>
      <c r="AY11" s="52">
        <f>+INDEX('IFT précédent'!$AP$7:$AP$82,MATCH('analyse trimestrielle'!A11,'IFT précédent'!$B$7:$B$82,0))</f>
        <v>-0.37607050633333333</v>
      </c>
      <c r="AZ11" s="58">
        <f t="shared" si="0"/>
        <v>8.5803599999999536E-3</v>
      </c>
      <c r="BA11" s="65">
        <f t="shared" si="1"/>
        <v>257410.79999999888</v>
      </c>
      <c r="BB11" s="48"/>
      <c r="BC11" s="23"/>
      <c r="BE11" s="46">
        <v>1726092.726082664</v>
      </c>
      <c r="BF11" s="23">
        <v>6.9043709043306561E-2</v>
      </c>
      <c r="BG11" s="46">
        <v>1579817.7260826638</v>
      </c>
      <c r="BH11" s="23">
        <v>6.3192709043306552E-2</v>
      </c>
      <c r="BI11" s="46">
        <v>146275.00000000003</v>
      </c>
      <c r="BJ11" s="23">
        <v>5.8510000000000012E-3</v>
      </c>
      <c r="BL11" s="46"/>
      <c r="BM11" s="23"/>
      <c r="BN11" s="46"/>
      <c r="BO11" s="23"/>
      <c r="BP11" s="46"/>
      <c r="BQ11" s="23"/>
      <c r="BR11" s="1" t="e">
        <f t="shared" si="2"/>
        <v>#NAME?</v>
      </c>
      <c r="BT11" s="46">
        <v>-8889.7260826639831</v>
      </c>
      <c r="BU11" s="23">
        <v>-3.5558904330655616E-4</v>
      </c>
      <c r="BV11" s="46">
        <v>-8889.7260826637503</v>
      </c>
      <c r="BW11" s="23">
        <v>-3.5558904330655616E-4</v>
      </c>
      <c r="BX11" s="46">
        <v>-2.9103830456733704E-11</v>
      </c>
      <c r="BY11" s="23">
        <v>-8.6736173798840355E-19</v>
      </c>
      <c r="BZ11" s="1" t="e">
        <f t="shared" si="3"/>
        <v>#NAME?</v>
      </c>
      <c r="CB11" s="46"/>
      <c r="CC11" s="23"/>
      <c r="CD11" s="46"/>
      <c r="CE11" s="23"/>
      <c r="CF11" s="46"/>
      <c r="CG11" s="23"/>
      <c r="CH11" s="1" t="e">
        <f t="shared" si="4"/>
        <v>#NAME?</v>
      </c>
      <c r="CK11" s="1" t="s">
        <v>51</v>
      </c>
      <c r="CL11" s="1">
        <v>1.03044266716444E+17</v>
      </c>
      <c r="CM11" s="1" t="s">
        <v>53</v>
      </c>
      <c r="CN11" s="1" t="s">
        <v>60</v>
      </c>
      <c r="CO11" s="1" t="s">
        <v>55</v>
      </c>
      <c r="CP11" s="1" t="s">
        <v>61</v>
      </c>
      <c r="CQ11" s="1" t="s">
        <v>57</v>
      </c>
      <c r="CR11" s="1" t="s">
        <v>62</v>
      </c>
      <c r="FZ11" s="1">
        <f t="shared" si="5"/>
        <v>0</v>
      </c>
      <c r="GA11" s="1">
        <f t="shared" si="6"/>
        <v>46594</v>
      </c>
      <c r="GB11" s="1">
        <f t="shared" ca="1" si="7"/>
        <v>2.3194444444444446</v>
      </c>
      <c r="GC11" s="52" t="e">
        <v>#NAME?</v>
      </c>
      <c r="GD11" s="1" t="e">
        <v>#NAME?</v>
      </c>
    </row>
    <row r="12" spans="1:186" x14ac:dyDescent="0.2">
      <c r="A12" s="1" t="s">
        <v>280</v>
      </c>
      <c r="B12" s="101" t="s">
        <v>78</v>
      </c>
      <c r="C12" s="101" t="s">
        <v>78</v>
      </c>
      <c r="D12" s="1">
        <v>69129589</v>
      </c>
      <c r="E12" s="1" t="s">
        <v>92</v>
      </c>
      <c r="G12" s="1" t="s">
        <v>70</v>
      </c>
      <c r="H12" s="1" t="s">
        <v>71</v>
      </c>
      <c r="I12" s="1" t="s">
        <v>76</v>
      </c>
      <c r="K12" s="1" t="s">
        <v>265</v>
      </c>
      <c r="L12" s="1" t="s">
        <v>266</v>
      </c>
      <c r="M12" s="1">
        <v>10341000</v>
      </c>
      <c r="N12" s="1">
        <v>-14628877.439999999</v>
      </c>
      <c r="O12" s="42">
        <v>-1.4146482390484478</v>
      </c>
      <c r="P12" s="1">
        <v>-14518101.890000001</v>
      </c>
      <c r="Q12" s="42">
        <v>-1.4039359723431004</v>
      </c>
      <c r="R12" s="1">
        <v>-110775.55</v>
      </c>
      <c r="S12" s="42">
        <v>-1.0712266705347646E-2</v>
      </c>
      <c r="T12" s="1">
        <v>-2.6</v>
      </c>
      <c r="U12" s="1">
        <v>3792</v>
      </c>
      <c r="W12" s="1" t="s">
        <v>79</v>
      </c>
      <c r="X12" s="1" t="s">
        <v>67</v>
      </c>
      <c r="Y12" s="1">
        <v>5.5</v>
      </c>
      <c r="AA12" s="1" t="s">
        <v>265</v>
      </c>
      <c r="AB12" s="1" t="s">
        <v>266</v>
      </c>
      <c r="AD12" s="1">
        <v>10341000</v>
      </c>
      <c r="AE12" s="1">
        <v>11291816.550000001</v>
      </c>
      <c r="AF12" s="42">
        <v>1.0919462866260516</v>
      </c>
      <c r="AG12" s="1">
        <v>11141728.42</v>
      </c>
      <c r="AH12" s="42">
        <v>1.0774323972536506</v>
      </c>
      <c r="AI12" s="1">
        <v>150088.12</v>
      </c>
      <c r="AJ12" s="42">
        <v>1.4513888405376655E-2</v>
      </c>
      <c r="AK12" s="1">
        <v>2.5099999999999998</v>
      </c>
      <c r="AL12" s="1">
        <v>-2839</v>
      </c>
      <c r="AN12" s="48">
        <v>-3337060.89</v>
      </c>
      <c r="AO12" s="42">
        <v>-0.3227019524223963</v>
      </c>
      <c r="AQ12" s="42"/>
      <c r="AS12" s="42"/>
      <c r="AT12" s="46"/>
      <c r="AU12" s="46"/>
      <c r="AW12" s="46"/>
      <c r="AX12" s="48">
        <f>+INDEX('IFT précédent'!$AO$7:$AO$82,MATCH('analyse trimestrielle'!A12,'IFT précédent'!$B$7:$B$82,0))</f>
        <v>-3658795.2</v>
      </c>
      <c r="AY12" s="52">
        <f>+INDEX('IFT précédent'!$AP$7:$AP$82,MATCH('analyse trimestrielle'!A12,'IFT précédent'!$B$7:$B$82,0))</f>
        <v>-0.35381444734551787</v>
      </c>
      <c r="AZ12" s="58">
        <f t="shared" si="0"/>
        <v>3.111249492312157E-2</v>
      </c>
      <c r="BA12" s="65">
        <f t="shared" si="1"/>
        <v>321734.31000000006</v>
      </c>
      <c r="BB12" s="48"/>
      <c r="BC12" s="23"/>
      <c r="BE12" s="46">
        <v>-11082099.916451022</v>
      </c>
      <c r="BF12" s="23">
        <v>-0.24626888703224492</v>
      </c>
      <c r="BG12" s="46">
        <v>-10480239.916451022</v>
      </c>
      <c r="BH12" s="23">
        <v>-0.23289422036557828</v>
      </c>
      <c r="BI12" s="46">
        <v>-601860</v>
      </c>
      <c r="BJ12" s="23">
        <v>-1.3374666666666667E-2</v>
      </c>
      <c r="BL12" s="46"/>
      <c r="BM12" s="23"/>
      <c r="BN12" s="46"/>
      <c r="BO12" s="23"/>
      <c r="BP12" s="46"/>
      <c r="BQ12" s="23"/>
      <c r="BR12" s="1" t="e">
        <f t="shared" si="2"/>
        <v>#NAME?</v>
      </c>
      <c r="BT12" s="46">
        <v>1625.9164510220289</v>
      </c>
      <c r="BU12" s="23">
        <v>3.6131476689377218E-5</v>
      </c>
      <c r="BV12" s="46">
        <v>1625.9164510220289</v>
      </c>
      <c r="BW12" s="23">
        <v>3.6131476689377218E-5</v>
      </c>
      <c r="BX12" s="46">
        <v>0</v>
      </c>
      <c r="BY12" s="23">
        <v>0</v>
      </c>
      <c r="BZ12" s="1" t="e">
        <f t="shared" si="3"/>
        <v>#NAME?</v>
      </c>
      <c r="CB12" s="46"/>
      <c r="CC12" s="23"/>
      <c r="CD12" s="46"/>
      <c r="CE12" s="23"/>
      <c r="CF12" s="46"/>
      <c r="CG12" s="23"/>
      <c r="CH12" s="1" t="e">
        <f t="shared" si="4"/>
        <v>#NAME?</v>
      </c>
      <c r="CK12" s="1" t="s">
        <v>51</v>
      </c>
      <c r="CL12" s="1" t="s">
        <v>255</v>
      </c>
      <c r="CM12" s="1" t="s">
        <v>53</v>
      </c>
      <c r="CN12" s="1" t="s">
        <v>256</v>
      </c>
      <c r="CO12" s="1" t="s">
        <v>55</v>
      </c>
      <c r="CP12" s="1" t="s">
        <v>227</v>
      </c>
      <c r="CQ12" s="1" t="s">
        <v>57</v>
      </c>
      <c r="CR12" s="1" t="s">
        <v>257</v>
      </c>
      <c r="FZ12" s="1">
        <f t="shared" si="5"/>
        <v>0</v>
      </c>
      <c r="GA12" s="1">
        <f t="shared" si="6"/>
        <v>46280</v>
      </c>
      <c r="GB12" s="1">
        <f t="shared" ca="1" si="7"/>
        <v>1.4555555555555555</v>
      </c>
      <c r="GC12" s="52" t="e">
        <v>#NAME?</v>
      </c>
      <c r="GD12" s="1" t="e">
        <v>#NAME?</v>
      </c>
    </row>
    <row r="13" spans="1:186" x14ac:dyDescent="0.2">
      <c r="A13" s="1" t="s">
        <v>283</v>
      </c>
      <c r="B13" s="101" t="s">
        <v>78</v>
      </c>
      <c r="C13" s="101" t="s">
        <v>78</v>
      </c>
      <c r="D13" s="1">
        <v>69112905</v>
      </c>
      <c r="E13" s="1" t="s">
        <v>92</v>
      </c>
      <c r="G13" s="1" t="s">
        <v>70</v>
      </c>
      <c r="H13" s="1" t="s">
        <v>71</v>
      </c>
      <c r="I13" s="1" t="s">
        <v>76</v>
      </c>
      <c r="K13" s="1" t="s">
        <v>265</v>
      </c>
      <c r="L13" s="1" t="s">
        <v>266</v>
      </c>
      <c r="M13" s="1">
        <v>20000000</v>
      </c>
      <c r="N13" s="1">
        <v>-28292964.780000001</v>
      </c>
      <c r="O13" s="42">
        <v>-1.4146482390000001</v>
      </c>
      <c r="P13" s="1">
        <v>-28078719.449999999</v>
      </c>
      <c r="Q13" s="42">
        <v>-1.4039359725</v>
      </c>
      <c r="R13" s="1">
        <v>-214245.33</v>
      </c>
      <c r="S13" s="42">
        <v>-1.07122665E-2</v>
      </c>
      <c r="T13" s="1">
        <v>-2.6</v>
      </c>
      <c r="U13" s="1">
        <v>7334</v>
      </c>
      <c r="W13" s="1" t="s">
        <v>79</v>
      </c>
      <c r="X13" s="1" t="s">
        <v>67</v>
      </c>
      <c r="Y13" s="1">
        <v>5.5774999999999997</v>
      </c>
      <c r="AA13" s="1" t="s">
        <v>265</v>
      </c>
      <c r="AB13" s="1" t="s">
        <v>266</v>
      </c>
      <c r="AD13" s="1">
        <v>20000000</v>
      </c>
      <c r="AE13" s="1">
        <v>21883517.219999999</v>
      </c>
      <c r="AF13" s="42">
        <v>1.0941758609999999</v>
      </c>
      <c r="AG13" s="1">
        <v>21589149.170000002</v>
      </c>
      <c r="AH13" s="42">
        <v>1.0794574585000001</v>
      </c>
      <c r="AI13" s="1">
        <v>294368.06</v>
      </c>
      <c r="AJ13" s="42">
        <v>1.4718403E-2</v>
      </c>
      <c r="AK13" s="1">
        <v>2.5099999999999998</v>
      </c>
      <c r="AL13" s="1">
        <v>-5498</v>
      </c>
      <c r="AN13" s="48">
        <v>-6409447.5599999996</v>
      </c>
      <c r="AO13" s="42">
        <v>-0.320472378</v>
      </c>
      <c r="AQ13" s="42"/>
      <c r="AS13" s="42"/>
      <c r="AT13" s="46"/>
      <c r="AU13" s="46"/>
      <c r="AW13" s="46"/>
      <c r="AX13" s="48">
        <f>+INDEX('IFT précédent'!$AO$7:$AO$82,MATCH('analyse trimestrielle'!A13,'IFT précédent'!$B$7:$B$82,0))</f>
        <v>-7053626.4699999997</v>
      </c>
      <c r="AY13" s="52">
        <f>+INDEX('IFT précédent'!$AP$7:$AP$82,MATCH('analyse trimestrielle'!A13,'IFT précédent'!$B$7:$B$82,0))</f>
        <v>-0.35268132349999998</v>
      </c>
      <c r="AZ13" s="58">
        <f t="shared" si="0"/>
        <v>3.2208945499999975E-2</v>
      </c>
      <c r="BA13" s="65">
        <f t="shared" si="1"/>
        <v>644178.91000000015</v>
      </c>
      <c r="BB13" s="48"/>
      <c r="BC13" s="23"/>
      <c r="BE13" s="46">
        <v>9520.6999092422775</v>
      </c>
      <c r="BF13" s="23">
        <v>1.2387162944888783E-3</v>
      </c>
      <c r="BG13" s="46">
        <v>125222.27709342794</v>
      </c>
      <c r="BH13" s="23">
        <v>1.6292381500025214E-2</v>
      </c>
      <c r="BI13" s="46">
        <v>-115701.57718418566</v>
      </c>
      <c r="BJ13" s="23">
        <v>-1.5053665205536335E-2</v>
      </c>
      <c r="BL13" s="46"/>
      <c r="BM13" s="23"/>
      <c r="BN13" s="46"/>
      <c r="BO13" s="23"/>
      <c r="BP13" s="46"/>
      <c r="BQ13" s="23"/>
      <c r="BR13" s="1" t="e">
        <f t="shared" si="2"/>
        <v>#NAME?</v>
      </c>
      <c r="BT13" s="46">
        <v>-630.6999092422775</v>
      </c>
      <c r="BU13" s="23">
        <v>-8.2058909739677341E-5</v>
      </c>
      <c r="BV13" s="46">
        <v>-1668.2770934279397</v>
      </c>
      <c r="BW13" s="23">
        <v>-2.1705568278080484E-4</v>
      </c>
      <c r="BX13" s="46">
        <v>1037.5771841856622</v>
      </c>
      <c r="BY13" s="23">
        <v>1.3499677304112945E-4</v>
      </c>
      <c r="BZ13" s="1" t="e">
        <f t="shared" si="3"/>
        <v>#NAME?</v>
      </c>
      <c r="CB13" s="46"/>
      <c r="CC13" s="23"/>
      <c r="CD13" s="46"/>
      <c r="CE13" s="23"/>
      <c r="CF13" s="46"/>
      <c r="CG13" s="23"/>
      <c r="CH13" s="1" t="e">
        <f t="shared" si="4"/>
        <v>#NAME?</v>
      </c>
      <c r="CK13" s="1" t="s">
        <v>51</v>
      </c>
      <c r="CL13" s="1" t="s">
        <v>94</v>
      </c>
      <c r="CM13" s="1" t="s">
        <v>53</v>
      </c>
      <c r="CN13" s="1" t="s">
        <v>95</v>
      </c>
      <c r="CO13" s="1" t="s">
        <v>55</v>
      </c>
      <c r="CP13" s="1" t="s">
        <v>96</v>
      </c>
      <c r="CQ13" s="1" t="s">
        <v>57</v>
      </c>
      <c r="CR13" s="1" t="s">
        <v>97</v>
      </c>
      <c r="FZ13" s="1">
        <f t="shared" si="5"/>
        <v>0</v>
      </c>
      <c r="GA13" s="1">
        <f t="shared" si="6"/>
        <v>46280</v>
      </c>
      <c r="GB13" s="1">
        <f t="shared" ca="1" si="7"/>
        <v>1.4555555555555555</v>
      </c>
      <c r="GC13" s="52" t="e">
        <v>#NAME?</v>
      </c>
      <c r="GD13" s="1" t="e">
        <v>#NAME?</v>
      </c>
    </row>
    <row r="14" spans="1:186" x14ac:dyDescent="0.2">
      <c r="A14" s="1" t="s">
        <v>286</v>
      </c>
      <c r="B14" s="101" t="s">
        <v>78</v>
      </c>
      <c r="C14" s="101" t="s">
        <v>78</v>
      </c>
      <c r="D14" s="1">
        <v>69110258</v>
      </c>
      <c r="E14" s="1" t="s">
        <v>92</v>
      </c>
      <c r="G14" s="1" t="s">
        <v>70</v>
      </c>
      <c r="H14" s="1" t="s">
        <v>71</v>
      </c>
      <c r="I14" s="1" t="s">
        <v>76</v>
      </c>
      <c r="K14" s="1" t="s">
        <v>265</v>
      </c>
      <c r="L14" s="1" t="s">
        <v>266</v>
      </c>
      <c r="M14" s="1">
        <v>15500000</v>
      </c>
      <c r="N14" s="1">
        <v>-21927047.710000001</v>
      </c>
      <c r="O14" s="42">
        <v>-1.4146482393548387</v>
      </c>
      <c r="P14" s="1">
        <v>-21761007.57</v>
      </c>
      <c r="Q14" s="42">
        <v>-1.4039359722580644</v>
      </c>
      <c r="R14" s="1">
        <v>-166040.13</v>
      </c>
      <c r="S14" s="42">
        <v>-1.0712266451612903E-2</v>
      </c>
      <c r="T14" s="1">
        <v>-2.6</v>
      </c>
      <c r="U14" s="1">
        <v>5684</v>
      </c>
      <c r="W14" s="1" t="s">
        <v>79</v>
      </c>
      <c r="X14" s="1" t="s">
        <v>67</v>
      </c>
      <c r="Y14" s="1">
        <v>5.65</v>
      </c>
      <c r="AA14" s="1" t="s">
        <v>265</v>
      </c>
      <c r="AB14" s="1" t="s">
        <v>266</v>
      </c>
      <c r="AD14" s="1">
        <v>15500000</v>
      </c>
      <c r="AE14" s="1">
        <v>16992054.68</v>
      </c>
      <c r="AF14" s="42">
        <v>1.0962615922580645</v>
      </c>
      <c r="AG14" s="1">
        <v>16760953.99</v>
      </c>
      <c r="AH14" s="42">
        <v>1.0813518703225806</v>
      </c>
      <c r="AI14" s="1">
        <v>231100.69</v>
      </c>
      <c r="AJ14" s="42">
        <v>1.4909721935483872E-2</v>
      </c>
      <c r="AK14" s="1">
        <v>2.5099999999999998</v>
      </c>
      <c r="AL14" s="1">
        <v>-4266</v>
      </c>
      <c r="AN14" s="48">
        <v>-4934993.03</v>
      </c>
      <c r="AO14" s="42">
        <v>-0.31838664709677422</v>
      </c>
      <c r="AQ14" s="42"/>
      <c r="AS14" s="42"/>
      <c r="AT14" s="46"/>
      <c r="AU14" s="46"/>
      <c r="AW14" s="46"/>
      <c r="AX14" s="48">
        <f>+INDEX('IFT précédent'!$AO$7:$AO$82,MATCH('analyse trimestrielle'!A14,'IFT précédent'!$B$7:$B$82,0))</f>
        <v>-5450130.2199999997</v>
      </c>
      <c r="AY14" s="52">
        <f>+INDEX('IFT précédent'!$AP$7:$AP$82,MATCH('analyse trimestrielle'!A14,'IFT précédent'!$B$7:$B$82,0))</f>
        <v>-0.351621304516129</v>
      </c>
      <c r="AZ14" s="58">
        <f t="shared" si="0"/>
        <v>3.3234657419354774E-2</v>
      </c>
      <c r="BA14" s="65">
        <f t="shared" si="1"/>
        <v>515137.18999999948</v>
      </c>
      <c r="BB14" s="48"/>
      <c r="BC14" s="23"/>
      <c r="BE14" s="46">
        <v>-3103279.5480655385</v>
      </c>
      <c r="BF14" s="23">
        <v>-0.13245831538476566</v>
      </c>
      <c r="BG14" s="46">
        <v>-2996339.9119591154</v>
      </c>
      <c r="BH14" s="23">
        <v>-0.12789377525000836</v>
      </c>
      <c r="BI14" s="46">
        <v>-106939.63610642274</v>
      </c>
      <c r="BJ14" s="23">
        <v>-4.5645401347572901E-3</v>
      </c>
      <c r="BL14" s="46"/>
      <c r="BM14" s="23"/>
      <c r="BN14" s="46"/>
      <c r="BO14" s="23"/>
      <c r="BP14" s="46"/>
      <c r="BQ14" s="23"/>
      <c r="BR14" s="1" t="e">
        <f t="shared" si="2"/>
        <v>#NAME?</v>
      </c>
      <c r="BT14" s="46">
        <v>-92600.451934461482</v>
      </c>
      <c r="BU14" s="23">
        <v>-3.9524959569796625E-3</v>
      </c>
      <c r="BV14" s="46">
        <v>-92583.088040884584</v>
      </c>
      <c r="BW14" s="23">
        <v>-3.9517548081220988E-3</v>
      </c>
      <c r="BX14" s="46">
        <v>-17.363893577261479</v>
      </c>
      <c r="BY14" s="23">
        <v>-7.4114885756891569E-7</v>
      </c>
      <c r="BZ14" s="1" t="e">
        <f t="shared" si="3"/>
        <v>#NAME?</v>
      </c>
      <c r="CB14" s="46"/>
      <c r="CC14" s="23"/>
      <c r="CD14" s="46"/>
      <c r="CE14" s="23"/>
      <c r="CF14" s="46"/>
      <c r="CG14" s="23"/>
      <c r="CH14" s="1" t="e">
        <f t="shared" si="4"/>
        <v>#NAME?</v>
      </c>
      <c r="CK14" s="1" t="s">
        <v>51</v>
      </c>
      <c r="CL14" s="1" t="s">
        <v>100</v>
      </c>
      <c r="CM14" s="1" t="s">
        <v>53</v>
      </c>
      <c r="CN14" s="1" t="s">
        <v>101</v>
      </c>
      <c r="CO14" s="1" t="s">
        <v>55</v>
      </c>
      <c r="CP14" s="1" t="s">
        <v>102</v>
      </c>
      <c r="CQ14" s="1" t="s">
        <v>57</v>
      </c>
      <c r="CR14" s="1" t="s">
        <v>103</v>
      </c>
      <c r="FZ14" s="1">
        <f t="shared" si="5"/>
        <v>0</v>
      </c>
      <c r="GA14" s="1">
        <f t="shared" si="6"/>
        <v>46280</v>
      </c>
      <c r="GB14" s="1">
        <f t="shared" ca="1" si="7"/>
        <v>1.4555555555555555</v>
      </c>
      <c r="GC14" s="52" t="e">
        <v>#NAME?</v>
      </c>
      <c r="GD14" s="1" t="e">
        <v>#NAME?</v>
      </c>
    </row>
    <row r="15" spans="1:186" x14ac:dyDescent="0.2">
      <c r="A15" s="1" t="s">
        <v>289</v>
      </c>
      <c r="B15" s="101" t="s">
        <v>78</v>
      </c>
      <c r="C15" s="101" t="s">
        <v>78</v>
      </c>
      <c r="D15" s="1">
        <v>69024711</v>
      </c>
      <c r="E15" s="1" t="s">
        <v>157</v>
      </c>
      <c r="G15" s="1" t="s">
        <v>70</v>
      </c>
      <c r="H15" s="1" t="s">
        <v>71</v>
      </c>
      <c r="I15" s="1" t="s">
        <v>259</v>
      </c>
      <c r="K15" s="1" t="s">
        <v>260</v>
      </c>
      <c r="L15" s="1" t="s">
        <v>261</v>
      </c>
      <c r="M15" s="1">
        <v>40000000</v>
      </c>
      <c r="N15" s="1">
        <v>-70648581.159999996</v>
      </c>
      <c r="O15" s="42">
        <v>-1.766214529</v>
      </c>
      <c r="P15" s="1">
        <v>-69837809.170000002</v>
      </c>
      <c r="Q15" s="42">
        <v>-1.74594522925</v>
      </c>
      <c r="R15" s="1">
        <v>-810771.99</v>
      </c>
      <c r="S15" s="42">
        <v>-2.0269299750000001E-2</v>
      </c>
      <c r="T15" s="1">
        <v>-5.0999999999999996</v>
      </c>
      <c r="U15" s="1">
        <v>35967</v>
      </c>
      <c r="W15" s="1" t="s">
        <v>79</v>
      </c>
      <c r="X15" s="1" t="s">
        <v>67</v>
      </c>
      <c r="Y15" s="1">
        <v>3.4224999999999999</v>
      </c>
      <c r="AA15" s="1" t="s">
        <v>260</v>
      </c>
      <c r="AB15" s="1" t="s">
        <v>261</v>
      </c>
      <c r="AD15" s="1">
        <v>40000000</v>
      </c>
      <c r="AE15" s="1">
        <v>43034398.420000002</v>
      </c>
      <c r="AF15" s="42">
        <v>1.0758599605000001</v>
      </c>
      <c r="AG15" s="1">
        <v>42482995.640000001</v>
      </c>
      <c r="AH15" s="42">
        <v>1.062074891</v>
      </c>
      <c r="AI15" s="1">
        <v>551402.78</v>
      </c>
      <c r="AJ15" s="42">
        <v>1.37850695E-2</v>
      </c>
      <c r="AK15" s="1">
        <v>5.07</v>
      </c>
      <c r="AL15" s="1">
        <v>-21736</v>
      </c>
      <c r="AN15" s="48">
        <v>-27614182.739999998</v>
      </c>
      <c r="AO15" s="42">
        <v>-0.69035456849999999</v>
      </c>
      <c r="AQ15" s="42"/>
      <c r="AS15" s="42"/>
      <c r="AT15" s="46"/>
      <c r="AU15" s="46"/>
      <c r="AW15" s="46"/>
      <c r="AX15" s="48">
        <f>+INDEX('IFT précédent'!$AO$7:$AO$82,MATCH('analyse trimestrielle'!A15,'IFT précédent'!$B$7:$B$82,0))</f>
        <v>-25926340.739999998</v>
      </c>
      <c r="AY15" s="52">
        <f>+INDEX('IFT précédent'!$AP$7:$AP$82,MATCH('analyse trimestrielle'!A15,'IFT précédent'!$B$7:$B$82,0))</f>
        <v>-0.64815851849999995</v>
      </c>
      <c r="AZ15" s="58">
        <f t="shared" si="0"/>
        <v>-4.219605000000004E-2</v>
      </c>
      <c r="BA15" s="65">
        <f t="shared" si="1"/>
        <v>-1687842</v>
      </c>
      <c r="BB15" s="48"/>
      <c r="BC15" s="23"/>
      <c r="BE15" s="46">
        <v>297228.60660604731</v>
      </c>
      <c r="BF15" s="23">
        <v>3.5235602068207042E-2</v>
      </c>
      <c r="BG15" s="46">
        <v>490492.18848650303</v>
      </c>
      <c r="BH15" s="23">
        <v>5.8146447505240888E-2</v>
      </c>
      <c r="BI15" s="46">
        <v>-193263.58188045572</v>
      </c>
      <c r="BJ15" s="23">
        <v>-2.2910845437033842E-2</v>
      </c>
      <c r="BL15" s="46"/>
      <c r="BM15" s="23"/>
      <c r="BN15" s="46"/>
      <c r="BO15" s="23"/>
      <c r="BP15" s="46"/>
      <c r="BQ15" s="23"/>
      <c r="BR15" s="1" t="e">
        <f t="shared" si="2"/>
        <v>#NAME?</v>
      </c>
      <c r="BT15" s="46">
        <v>15.393393952690531</v>
      </c>
      <c r="BU15" s="23">
        <v>1.8248428709094489E-6</v>
      </c>
      <c r="BV15" s="46">
        <v>45.811513496970292</v>
      </c>
      <c r="BW15" s="23">
        <v>5.4308240318851064E-6</v>
      </c>
      <c r="BX15" s="46">
        <v>-30.418119544279762</v>
      </c>
      <c r="BY15" s="23">
        <v>-3.605981160979127E-6</v>
      </c>
      <c r="BZ15" s="1" t="e">
        <f t="shared" si="3"/>
        <v>#NAME?</v>
      </c>
      <c r="CB15" s="46"/>
      <c r="CC15" s="23"/>
      <c r="CD15" s="46"/>
      <c r="CE15" s="23"/>
      <c r="CF15" s="46"/>
      <c r="CG15" s="23"/>
      <c r="CH15" s="1" t="e">
        <f t="shared" si="4"/>
        <v>#NAME?</v>
      </c>
      <c r="CK15" s="1" t="s">
        <v>51</v>
      </c>
      <c r="CL15" s="1" t="s">
        <v>104</v>
      </c>
      <c r="CM15" s="1" t="s">
        <v>53</v>
      </c>
      <c r="CN15" s="1" t="s">
        <v>105</v>
      </c>
      <c r="CO15" s="1" t="s">
        <v>55</v>
      </c>
      <c r="CP15" s="1" t="s">
        <v>106</v>
      </c>
      <c r="CQ15" s="1" t="s">
        <v>57</v>
      </c>
      <c r="CR15" s="1" t="s">
        <v>107</v>
      </c>
      <c r="FZ15" s="1">
        <f t="shared" si="5"/>
        <v>0</v>
      </c>
      <c r="GA15" s="1">
        <f t="shared" si="6"/>
        <v>47324</v>
      </c>
      <c r="GB15" s="1">
        <f t="shared" ca="1" si="7"/>
        <v>4.3166666666666664</v>
      </c>
      <c r="GC15" s="52" t="e">
        <v>#NAME?</v>
      </c>
      <c r="GD15" s="1" t="e">
        <v>#NAME?</v>
      </c>
    </row>
    <row r="16" spans="1:186" x14ac:dyDescent="0.2">
      <c r="A16" s="1" t="s">
        <v>292</v>
      </c>
      <c r="B16" s="101" t="s">
        <v>78</v>
      </c>
      <c r="C16" s="101" t="s">
        <v>78</v>
      </c>
      <c r="D16" s="1">
        <v>67897352</v>
      </c>
      <c r="E16" s="1" t="s">
        <v>157</v>
      </c>
      <c r="G16" s="1" t="s">
        <v>70</v>
      </c>
      <c r="H16" s="1" t="s">
        <v>71</v>
      </c>
      <c r="I16" s="1" t="s">
        <v>259</v>
      </c>
      <c r="K16" s="1" t="s">
        <v>260</v>
      </c>
      <c r="L16" s="1" t="s">
        <v>261</v>
      </c>
      <c r="M16" s="1">
        <v>25000000</v>
      </c>
      <c r="N16" s="1">
        <v>-44155363.219999999</v>
      </c>
      <c r="O16" s="42">
        <v>-1.7662145288</v>
      </c>
      <c r="P16" s="1">
        <v>-43648630.729999997</v>
      </c>
      <c r="Q16" s="42">
        <v>-1.7459452291999999</v>
      </c>
      <c r="R16" s="1">
        <v>-506732.49</v>
      </c>
      <c r="S16" s="42">
        <v>-2.0269299599999999E-2</v>
      </c>
      <c r="T16" s="1">
        <v>-5.0999999999999996</v>
      </c>
      <c r="U16" s="1">
        <v>22479</v>
      </c>
      <c r="W16" s="1" t="s">
        <v>79</v>
      </c>
      <c r="X16" s="1" t="s">
        <v>67</v>
      </c>
      <c r="Y16" s="1">
        <v>5.57</v>
      </c>
      <c r="AA16" s="1" t="s">
        <v>260</v>
      </c>
      <c r="AB16" s="1" t="s">
        <v>261</v>
      </c>
      <c r="AD16" s="1">
        <v>25000000</v>
      </c>
      <c r="AE16" s="1">
        <v>29892986.629999999</v>
      </c>
      <c r="AF16" s="42">
        <v>1.1957194652000001</v>
      </c>
      <c r="AG16" s="1">
        <v>29332118.579999998</v>
      </c>
      <c r="AH16" s="42">
        <v>1.1732847432</v>
      </c>
      <c r="AI16" s="1">
        <v>560868.06000000006</v>
      </c>
      <c r="AJ16" s="42">
        <v>2.2434722400000003E-2</v>
      </c>
      <c r="AK16" s="1">
        <v>4.8600000000000003</v>
      </c>
      <c r="AL16" s="1">
        <v>-14481</v>
      </c>
      <c r="AN16" s="48">
        <v>-14262376.59</v>
      </c>
      <c r="AO16" s="42">
        <v>-0.57049506360000002</v>
      </c>
      <c r="AQ16" s="42"/>
      <c r="AS16" s="42"/>
      <c r="AT16" s="46"/>
      <c r="AU16" s="46"/>
      <c r="AW16" s="46"/>
      <c r="AX16" s="48">
        <f>+INDEX('IFT précédent'!$AO$7:$AO$82,MATCH('analyse trimestrielle'!A16,'IFT précédent'!$B$7:$B$82,0))</f>
        <v>-13653128.09</v>
      </c>
      <c r="AY16" s="52">
        <f>+INDEX('IFT précédent'!$AP$7:$AP$82,MATCH('analyse trimestrielle'!A16,'IFT précédent'!$B$7:$B$82,0))</f>
        <v>-0.54612512359999998</v>
      </c>
      <c r="AZ16" s="58">
        <f t="shared" si="0"/>
        <v>-2.4369940000000034E-2</v>
      </c>
      <c r="BA16" s="65">
        <f t="shared" si="1"/>
        <v>-609248.5</v>
      </c>
      <c r="BB16" s="48"/>
      <c r="BC16" s="23"/>
      <c r="BE16" s="46">
        <v>483517.63696404459</v>
      </c>
      <c r="BF16" s="23">
        <v>3.9938556814108732E-2</v>
      </c>
      <c r="BG16" s="46">
        <v>757730.71041901107</v>
      </c>
      <c r="BH16" s="23">
        <v>6.2588556681987262E-2</v>
      </c>
      <c r="BI16" s="46">
        <v>-274213.07345496648</v>
      </c>
      <c r="BJ16" s="23">
        <v>-2.2649999867878533E-2</v>
      </c>
      <c r="BL16" s="46"/>
      <c r="BM16" s="23"/>
      <c r="BN16" s="46"/>
      <c r="BO16" s="23"/>
      <c r="BP16" s="46"/>
      <c r="BQ16" s="23"/>
      <c r="BR16" s="1" t="e">
        <f t="shared" si="2"/>
        <v>#NAME?</v>
      </c>
      <c r="BT16" s="46">
        <v>22.363035955408122</v>
      </c>
      <c r="BU16" s="23">
        <v>1.8471867699598743E-6</v>
      </c>
      <c r="BV16" s="46">
        <v>66.289580988930538</v>
      </c>
      <c r="BW16" s="23">
        <v>5.4755193898137211E-6</v>
      </c>
      <c r="BX16" s="46">
        <v>-43.926545033522416</v>
      </c>
      <c r="BY16" s="23">
        <v>-3.6283326198469079E-6</v>
      </c>
      <c r="BZ16" s="1" t="e">
        <f t="shared" si="3"/>
        <v>#NAME?</v>
      </c>
      <c r="CB16" s="46"/>
      <c r="CC16" s="23"/>
      <c r="CD16" s="46"/>
      <c r="CE16" s="23"/>
      <c r="CF16" s="46"/>
      <c r="CG16" s="23"/>
      <c r="CH16" s="1" t="e">
        <f t="shared" si="4"/>
        <v>#NAME?</v>
      </c>
      <c r="CK16" s="1" t="s">
        <v>51</v>
      </c>
      <c r="CL16" s="1" t="s">
        <v>108</v>
      </c>
      <c r="CM16" s="1" t="s">
        <v>53</v>
      </c>
      <c r="CN16" s="1" t="s">
        <v>109</v>
      </c>
      <c r="CO16" s="1" t="s">
        <v>55</v>
      </c>
      <c r="CP16" s="1" t="s">
        <v>102</v>
      </c>
      <c r="CQ16" s="1" t="s">
        <v>57</v>
      </c>
      <c r="CR16" s="1" t="s">
        <v>110</v>
      </c>
      <c r="FZ16" s="1">
        <f t="shared" si="5"/>
        <v>0</v>
      </c>
      <c r="GA16" s="1">
        <f t="shared" si="6"/>
        <v>47324</v>
      </c>
      <c r="GB16" s="1">
        <f t="shared" ca="1" si="7"/>
        <v>4.3166666666666664</v>
      </c>
      <c r="GC16" s="52" t="e">
        <v>#NAME?</v>
      </c>
      <c r="GD16" s="1" t="e">
        <v>#NAME?</v>
      </c>
    </row>
    <row r="17" spans="1:186" x14ac:dyDescent="0.2">
      <c r="A17" s="1" t="s">
        <v>297</v>
      </c>
      <c r="B17" s="101" t="s">
        <v>78</v>
      </c>
      <c r="C17" s="101" t="s">
        <v>78</v>
      </c>
      <c r="D17" s="1">
        <v>69115068</v>
      </c>
      <c r="E17" s="1" t="s">
        <v>293</v>
      </c>
      <c r="G17" s="1" t="s">
        <v>70</v>
      </c>
      <c r="H17" s="1" t="s">
        <v>71</v>
      </c>
      <c r="I17" s="1" t="s">
        <v>76</v>
      </c>
      <c r="K17" s="1" t="s">
        <v>265</v>
      </c>
      <c r="L17" s="1" t="s">
        <v>266</v>
      </c>
      <c r="M17" s="1">
        <v>10000000</v>
      </c>
      <c r="N17" s="1">
        <v>-14146482.390000001</v>
      </c>
      <c r="O17" s="42">
        <v>-1.4146482390000001</v>
      </c>
      <c r="P17" s="1">
        <v>-14039359.720000001</v>
      </c>
      <c r="Q17" s="42">
        <v>-1.403935972</v>
      </c>
      <c r="R17" s="1">
        <v>-107122.67</v>
      </c>
      <c r="S17" s="42">
        <v>-1.0712266999999999E-2</v>
      </c>
      <c r="T17" s="1">
        <v>-2.6</v>
      </c>
      <c r="U17" s="1">
        <v>3667</v>
      </c>
      <c r="W17" s="1" t="s">
        <v>79</v>
      </c>
      <c r="X17" s="1" t="s">
        <v>67</v>
      </c>
      <c r="Y17" s="1">
        <v>5.56</v>
      </c>
      <c r="AA17" s="1" t="s">
        <v>265</v>
      </c>
      <c r="AB17" s="1" t="s">
        <v>266</v>
      </c>
      <c r="AD17" s="1">
        <v>10000000</v>
      </c>
      <c r="AE17" s="1">
        <v>10936724.09</v>
      </c>
      <c r="AF17" s="42">
        <v>1.0936724090000001</v>
      </c>
      <c r="AG17" s="1">
        <v>10790001.859999999</v>
      </c>
      <c r="AH17" s="42">
        <v>1.079000186</v>
      </c>
      <c r="AI17" s="1">
        <v>146722.22</v>
      </c>
      <c r="AJ17" s="42">
        <v>1.4672222E-2</v>
      </c>
      <c r="AK17" s="1">
        <v>2.5099999999999998</v>
      </c>
      <c r="AL17" s="1">
        <v>-2748</v>
      </c>
      <c r="AN17" s="48">
        <v>-3209758.3</v>
      </c>
      <c r="AO17" s="42">
        <v>-0.32097582999999996</v>
      </c>
      <c r="AQ17" s="42"/>
      <c r="AS17" s="42"/>
      <c r="AT17" s="46"/>
      <c r="AU17" s="46"/>
      <c r="AW17" s="46"/>
      <c r="AX17" s="48">
        <f>+INDEX('IFT précédent'!$AO$7:$AO$82,MATCH('analyse trimestrielle'!A17,'IFT précédent'!$B$7:$B$82,0))</f>
        <v>-3529371.9</v>
      </c>
      <c r="AY17" s="52">
        <f>+INDEX('IFT précédent'!$AP$7:$AP$82,MATCH('analyse trimestrielle'!A17,'IFT précédent'!$B$7:$B$82,0))</f>
        <v>-0.35293719000000001</v>
      </c>
      <c r="AZ17" s="58">
        <f t="shared" si="0"/>
        <v>3.196136000000005E-2</v>
      </c>
      <c r="BA17" s="65">
        <f t="shared" si="1"/>
        <v>319613.60000000009</v>
      </c>
      <c r="BB17" s="48"/>
      <c r="BC17" s="23"/>
      <c r="BE17" s="46">
        <v>150888.9899361229</v>
      </c>
      <c r="BF17" s="23">
        <v>2.0998717773459987E-2</v>
      </c>
      <c r="BG17" s="46">
        <v>212474.01220536095</v>
      </c>
      <c r="BH17" s="23">
        <v>2.9569300042261985E-2</v>
      </c>
      <c r="BI17" s="46">
        <v>-61585.022269238048</v>
      </c>
      <c r="BJ17" s="23">
        <v>-8.5705822688019982E-3</v>
      </c>
      <c r="BL17" s="46"/>
      <c r="BM17" s="23"/>
      <c r="BN17" s="46"/>
      <c r="BO17" s="23"/>
      <c r="BP17" s="46"/>
      <c r="BQ17" s="23"/>
      <c r="BR17" s="1" t="e">
        <f t="shared" si="2"/>
        <v>#NAME?</v>
      </c>
      <c r="BT17" s="46">
        <v>3949.0100638770964</v>
      </c>
      <c r="BU17" s="23">
        <v>5.4957056741524596E-4</v>
      </c>
      <c r="BV17" s="46">
        <v>3967.9877946390479</v>
      </c>
      <c r="BW17" s="23">
        <v>5.5221163494720976E-4</v>
      </c>
      <c r="BX17" s="46">
        <v>-18.977730761951534</v>
      </c>
      <c r="BY17" s="23">
        <v>-2.6410675319638033E-6</v>
      </c>
      <c r="BZ17" s="1" t="e">
        <f t="shared" si="3"/>
        <v>#NAME?</v>
      </c>
      <c r="CB17" s="46"/>
      <c r="CC17" s="23"/>
      <c r="CD17" s="46"/>
      <c r="CE17" s="23"/>
      <c r="CF17" s="46"/>
      <c r="CG17" s="23"/>
      <c r="CH17" s="1" t="e">
        <f t="shared" si="4"/>
        <v>#NAME?</v>
      </c>
      <c r="CK17" s="1" t="s">
        <v>51</v>
      </c>
      <c r="CL17" s="1" t="s">
        <v>113</v>
      </c>
      <c r="CM17" s="1" t="s">
        <v>53</v>
      </c>
      <c r="CN17" s="1" t="s">
        <v>114</v>
      </c>
      <c r="CO17" s="1" t="s">
        <v>55</v>
      </c>
      <c r="CP17" s="1" t="s">
        <v>102</v>
      </c>
      <c r="CQ17" s="1" t="s">
        <v>57</v>
      </c>
      <c r="CR17" s="1" t="s">
        <v>115</v>
      </c>
      <c r="FZ17" s="1">
        <f t="shared" si="5"/>
        <v>0</v>
      </c>
      <c r="GA17" s="1">
        <f t="shared" si="6"/>
        <v>46280</v>
      </c>
      <c r="GB17" s="1">
        <f t="shared" ca="1" si="7"/>
        <v>1.4555555555555555</v>
      </c>
      <c r="GC17" s="52" t="e">
        <v>#NAME?</v>
      </c>
      <c r="GD17" s="1" t="e">
        <v>#NAME?</v>
      </c>
    </row>
    <row r="18" spans="1:186" x14ac:dyDescent="0.2">
      <c r="A18" s="1" t="s">
        <v>264</v>
      </c>
      <c r="B18" s="101" t="s">
        <v>78</v>
      </c>
      <c r="C18" s="101" t="s">
        <v>78</v>
      </c>
      <c r="D18" s="1">
        <v>69012376</v>
      </c>
      <c r="E18" s="1" t="s">
        <v>77</v>
      </c>
      <c r="G18" s="1" t="s">
        <v>70</v>
      </c>
      <c r="H18" s="1" t="s">
        <v>71</v>
      </c>
      <c r="I18" s="1" t="s">
        <v>259</v>
      </c>
      <c r="K18" s="1" t="s">
        <v>260</v>
      </c>
      <c r="L18" s="1" t="s">
        <v>261</v>
      </c>
      <c r="M18" s="1">
        <v>25000000</v>
      </c>
      <c r="N18" s="1">
        <v>-44040897.979999997</v>
      </c>
      <c r="O18" s="42">
        <v>-1.7616359192</v>
      </c>
      <c r="P18" s="1">
        <v>-43533715.649999999</v>
      </c>
      <c r="Q18" s="42">
        <v>-1.741348626</v>
      </c>
      <c r="R18" s="1">
        <v>-507182.34</v>
      </c>
      <c r="S18" s="42">
        <v>-2.0287293600000002E-2</v>
      </c>
      <c r="T18" s="1">
        <v>-5.0999999999999996</v>
      </c>
      <c r="U18" s="1">
        <v>22479</v>
      </c>
      <c r="W18" s="1" t="s">
        <v>79</v>
      </c>
      <c r="X18" s="1" t="s">
        <v>67</v>
      </c>
      <c r="Y18" s="1">
        <v>3.415</v>
      </c>
      <c r="AA18" s="1" t="s">
        <v>260</v>
      </c>
      <c r="AB18" s="1" t="s">
        <v>261</v>
      </c>
      <c r="AD18" s="1">
        <v>25000000</v>
      </c>
      <c r="AE18" s="1">
        <v>26769100.550000001</v>
      </c>
      <c r="AF18" s="42">
        <v>1.0707640220000001</v>
      </c>
      <c r="AG18" s="1">
        <v>26425229.030000001</v>
      </c>
      <c r="AH18" s="42">
        <v>1.0570091612000001</v>
      </c>
      <c r="AI18" s="1">
        <v>343871.53</v>
      </c>
      <c r="AJ18" s="42">
        <v>1.3754861200000001E-2</v>
      </c>
      <c r="AK18" s="1">
        <v>5.07</v>
      </c>
      <c r="AL18" s="1">
        <v>-13582</v>
      </c>
      <c r="AN18" s="48">
        <v>-17271797.43</v>
      </c>
      <c r="AO18" s="42">
        <v>-0.69087189719999997</v>
      </c>
      <c r="AQ18" s="42"/>
      <c r="AS18" s="42"/>
      <c r="AT18" s="46"/>
      <c r="AU18" s="46"/>
      <c r="AW18" s="46"/>
      <c r="AX18" s="48">
        <f>+INDEX('IFT précédent'!$AO$7:$AO$82,MATCH('analyse trimestrielle'!A18,'IFT précédent'!$B$7:$B$82,0))</f>
        <v>-16211071.220000001</v>
      </c>
      <c r="AY18" s="52">
        <f>+INDEX('IFT précédent'!$AP$7:$AP$82,MATCH('analyse trimestrielle'!A18,'IFT précédent'!$B$7:$B$82,0))</f>
        <v>-0.64844284880000003</v>
      </c>
      <c r="AZ18" s="58">
        <f t="shared" si="0"/>
        <v>-4.2429048399999947E-2</v>
      </c>
      <c r="BA18" s="65">
        <f t="shared" si="1"/>
        <v>-1060726.209999999</v>
      </c>
      <c r="BB18" s="48"/>
      <c r="BC18" s="23"/>
      <c r="BE18" s="46">
        <v>202248.78156116302</v>
      </c>
      <c r="BF18" s="23">
        <v>2.8213708103076426E-2</v>
      </c>
      <c r="BG18" s="46">
        <v>260201.40736894691</v>
      </c>
      <c r="BH18" s="23">
        <v>3.6298100284461024E-2</v>
      </c>
      <c r="BI18" s="46">
        <v>-57952.625807783879</v>
      </c>
      <c r="BJ18" s="23">
        <v>-8.0843921813845993E-3</v>
      </c>
      <c r="BL18" s="46"/>
      <c r="BM18" s="23"/>
      <c r="BN18" s="46"/>
      <c r="BO18" s="23"/>
      <c r="BP18" s="46"/>
      <c r="BQ18" s="23"/>
      <c r="BR18" s="1" t="e">
        <f t="shared" si="2"/>
        <v>#NAME?</v>
      </c>
      <c r="BT18" s="46">
        <v>3946.2184388369787</v>
      </c>
      <c r="BU18" s="23">
        <v>5.5049753222198919E-4</v>
      </c>
      <c r="BV18" s="46">
        <v>3965.5926310530922</v>
      </c>
      <c r="BW18" s="23">
        <v>5.5320023233073473E-4</v>
      </c>
      <c r="BX18" s="46">
        <v>-19.374192216120719</v>
      </c>
      <c r="BY18" s="23">
        <v>-2.7027001087420732E-6</v>
      </c>
      <c r="BZ18" s="1" t="e">
        <f t="shared" si="3"/>
        <v>#NAME?</v>
      </c>
      <c r="CB18" s="46"/>
      <c r="CC18" s="23"/>
      <c r="CD18" s="46"/>
      <c r="CE18" s="23"/>
      <c r="CF18" s="46"/>
      <c r="CG18" s="23"/>
      <c r="CH18" s="1" t="e">
        <f t="shared" si="4"/>
        <v>#NAME?</v>
      </c>
      <c r="CK18" s="1" t="s">
        <v>51</v>
      </c>
      <c r="CL18" s="1" t="s">
        <v>116</v>
      </c>
      <c r="CM18" s="1" t="s">
        <v>53</v>
      </c>
      <c r="CN18" s="1" t="s">
        <v>117</v>
      </c>
      <c r="CO18" s="1" t="s">
        <v>55</v>
      </c>
      <c r="CP18" s="1" t="s">
        <v>96</v>
      </c>
      <c r="CQ18" s="1" t="s">
        <v>57</v>
      </c>
      <c r="CR18" s="1" t="s">
        <v>118</v>
      </c>
      <c r="FZ18" s="1">
        <f t="shared" si="5"/>
        <v>0</v>
      </c>
      <c r="GA18" s="1">
        <f t="shared" si="6"/>
        <v>47324</v>
      </c>
      <c r="GB18" s="1">
        <f t="shared" ca="1" si="7"/>
        <v>4.3166666666666664</v>
      </c>
      <c r="GC18" s="52" t="e">
        <v>#NAME?</v>
      </c>
      <c r="GD18" s="1" t="e">
        <v>#NAME?</v>
      </c>
    </row>
    <row r="19" spans="1:186" x14ac:dyDescent="0.2">
      <c r="A19" s="1" t="s">
        <v>300</v>
      </c>
      <c r="B19" s="101" t="s">
        <v>78</v>
      </c>
      <c r="C19" s="101" t="s">
        <v>78</v>
      </c>
      <c r="D19" s="1">
        <v>67897338</v>
      </c>
      <c r="E19" s="1" t="s">
        <v>63</v>
      </c>
      <c r="G19" s="1" t="s">
        <v>70</v>
      </c>
      <c r="H19" s="1" t="s">
        <v>71</v>
      </c>
      <c r="I19" s="1" t="s">
        <v>259</v>
      </c>
      <c r="K19" s="1" t="s">
        <v>260</v>
      </c>
      <c r="L19" s="1" t="s">
        <v>261</v>
      </c>
      <c r="M19" s="1">
        <v>25000000</v>
      </c>
      <c r="N19" s="1">
        <v>-44040897.979999997</v>
      </c>
      <c r="O19" s="42">
        <v>-1.7616359192</v>
      </c>
      <c r="P19" s="1">
        <v>-43533715.649999999</v>
      </c>
      <c r="Q19" s="42">
        <v>-1.741348626</v>
      </c>
      <c r="R19" s="1">
        <v>-507182.34</v>
      </c>
      <c r="S19" s="42">
        <v>-2.0287293600000002E-2</v>
      </c>
      <c r="T19" s="1">
        <v>-5.0999999999999996</v>
      </c>
      <c r="U19" s="1">
        <v>22441</v>
      </c>
      <c r="W19" s="1" t="s">
        <v>79</v>
      </c>
      <c r="X19" s="1" t="s">
        <v>67</v>
      </c>
      <c r="Y19" s="1">
        <v>5.35</v>
      </c>
      <c r="AA19" s="1" t="s">
        <v>260</v>
      </c>
      <c r="AB19" s="1" t="s">
        <v>261</v>
      </c>
      <c r="AD19" s="1">
        <v>25000000</v>
      </c>
      <c r="AE19" s="1">
        <v>29462121.68</v>
      </c>
      <c r="AF19" s="42">
        <v>1.1784848671999999</v>
      </c>
      <c r="AG19" s="1">
        <v>28923406.41</v>
      </c>
      <c r="AH19" s="42">
        <v>1.1569362564000001</v>
      </c>
      <c r="AI19" s="1">
        <v>538715.28</v>
      </c>
      <c r="AJ19" s="42">
        <v>2.1548611200000001E-2</v>
      </c>
      <c r="AK19" s="1">
        <v>4.88</v>
      </c>
      <c r="AL19" s="1">
        <v>-14389</v>
      </c>
      <c r="AN19" s="48">
        <v>-14578776.300000001</v>
      </c>
      <c r="AO19" s="42">
        <v>-0.58315105200000006</v>
      </c>
      <c r="AQ19" s="42"/>
      <c r="AS19" s="42"/>
      <c r="AT19" s="46"/>
      <c r="AU19" s="46"/>
      <c r="AW19" s="46"/>
      <c r="AX19" s="48">
        <f>+INDEX('IFT précédent'!$AO$7:$AO$82,MATCH('analyse trimestrielle'!A19,'IFT précédent'!$B$7:$B$82,0))</f>
        <v>-13917128.91</v>
      </c>
      <c r="AY19" s="52">
        <f>+INDEX('IFT précédent'!$AP$7:$AP$82,MATCH('analyse trimestrielle'!A19,'IFT précédent'!$B$7:$B$82,0))</f>
        <v>-0.55668515640000005</v>
      </c>
      <c r="AZ19" s="58">
        <f t="shared" si="0"/>
        <v>-2.6465895600000011E-2</v>
      </c>
      <c r="BA19" s="65">
        <f t="shared" si="1"/>
        <v>-661647.3900000006</v>
      </c>
      <c r="BB19" s="48"/>
      <c r="BC19" s="23"/>
      <c r="BE19" s="46">
        <v>37647.299001212232</v>
      </c>
      <c r="BF19" s="23">
        <v>3.1661378462489076E-3</v>
      </c>
      <c r="BG19" s="46">
        <v>223617.98293120106</v>
      </c>
      <c r="BH19" s="23">
        <v>1.8806272365980897E-2</v>
      </c>
      <c r="BI19" s="46">
        <v>-185970.68392998882</v>
      </c>
      <c r="BJ19" s="23">
        <v>-1.564013451973199E-2</v>
      </c>
      <c r="BL19" s="46"/>
      <c r="BM19" s="23"/>
      <c r="BN19" s="46"/>
      <c r="BO19" s="23"/>
      <c r="BP19" s="46"/>
      <c r="BQ19" s="23"/>
      <c r="BR19" s="1" t="e">
        <f t="shared" si="2"/>
        <v>#NAME?</v>
      </c>
      <c r="BT19" s="46">
        <v>-1058.2990012122318</v>
      </c>
      <c r="BU19" s="23">
        <v>-8.9002946008890933E-5</v>
      </c>
      <c r="BV19" s="46">
        <v>-2572.9829312010552</v>
      </c>
      <c r="BW19" s="23">
        <v>-2.1638786453088629E-4</v>
      </c>
      <c r="BX19" s="46">
        <v>1514.6839299888234</v>
      </c>
      <c r="BY19" s="23">
        <v>1.2738491852199579E-4</v>
      </c>
      <c r="BZ19" s="1" t="e">
        <f t="shared" si="3"/>
        <v>#NAME?</v>
      </c>
      <c r="CB19" s="46"/>
      <c r="CC19" s="23"/>
      <c r="CD19" s="46"/>
      <c r="CE19" s="23"/>
      <c r="CF19" s="46"/>
      <c r="CG19" s="23"/>
      <c r="CH19" s="1" t="e">
        <f t="shared" si="4"/>
        <v>#NAME?</v>
      </c>
      <c r="CK19" s="1" t="s">
        <v>51</v>
      </c>
      <c r="CL19" s="1" t="s">
        <v>119</v>
      </c>
      <c r="CM19" s="1" t="s">
        <v>53</v>
      </c>
      <c r="CN19" s="1" t="s">
        <v>120</v>
      </c>
      <c r="CO19" s="1" t="s">
        <v>55</v>
      </c>
      <c r="CP19" s="1" t="s">
        <v>102</v>
      </c>
      <c r="CQ19" s="1" t="s">
        <v>57</v>
      </c>
      <c r="CR19" s="1" t="s">
        <v>121</v>
      </c>
      <c r="FZ19" s="1">
        <f t="shared" si="5"/>
        <v>0</v>
      </c>
      <c r="GA19" s="1">
        <f t="shared" si="6"/>
        <v>47324</v>
      </c>
      <c r="GB19" s="1">
        <f t="shared" ca="1" si="7"/>
        <v>4.3166666666666664</v>
      </c>
      <c r="GC19" s="52" t="e">
        <v>#NAME?</v>
      </c>
      <c r="GD19" s="1" t="e">
        <v>#NAME?</v>
      </c>
    </row>
    <row r="20" spans="1:186" x14ac:dyDescent="0.2">
      <c r="A20" s="1" t="s">
        <v>180</v>
      </c>
      <c r="B20" s="101" t="s">
        <v>173</v>
      </c>
      <c r="C20" s="101" t="s">
        <v>173</v>
      </c>
      <c r="D20" s="1">
        <v>70589501</v>
      </c>
      <c r="E20" s="1" t="s">
        <v>63</v>
      </c>
      <c r="G20" s="1" t="s">
        <v>174</v>
      </c>
      <c r="H20" s="1" t="s">
        <v>67</v>
      </c>
      <c r="I20" s="1" t="s">
        <v>430</v>
      </c>
      <c r="J20" s="1">
        <v>88.25</v>
      </c>
      <c r="K20" s="1" t="s">
        <v>175</v>
      </c>
      <c r="L20" s="1" t="s">
        <v>176</v>
      </c>
      <c r="M20" s="1">
        <v>152000000</v>
      </c>
      <c r="N20" s="1">
        <v>161774946.03999999</v>
      </c>
      <c r="O20" s="42">
        <v>1.0643088555263158</v>
      </c>
      <c r="P20" s="1">
        <v>160754213.25999999</v>
      </c>
      <c r="Q20" s="42">
        <v>1.0575935082894736</v>
      </c>
      <c r="R20" s="1">
        <v>1020732.78</v>
      </c>
      <c r="S20" s="42">
        <v>6.7153472368421058E-3</v>
      </c>
      <c r="T20" s="1">
        <v>0.1</v>
      </c>
      <c r="U20" s="1">
        <v>-1971</v>
      </c>
      <c r="W20" s="1" t="s">
        <v>79</v>
      </c>
      <c r="X20" s="1" t="s">
        <v>71</v>
      </c>
      <c r="Y20" s="1">
        <v>5.5</v>
      </c>
      <c r="AA20" s="1" t="s">
        <v>175</v>
      </c>
      <c r="AB20" s="1" t="s">
        <v>176</v>
      </c>
      <c r="AD20" s="1">
        <v>152000000</v>
      </c>
      <c r="AE20" s="1">
        <v>-181405048.78</v>
      </c>
      <c r="AF20" s="42">
        <v>-1.1934542682894738</v>
      </c>
      <c r="AG20" s="1">
        <v>-175947826.56</v>
      </c>
      <c r="AH20" s="42">
        <v>-1.1575514905263158</v>
      </c>
      <c r="AI20" s="1">
        <v>-5457222.2199999997</v>
      </c>
      <c r="AJ20" s="42">
        <v>-3.5902777763157895E-2</v>
      </c>
      <c r="AK20" s="1">
        <v>-4.5999999999999996</v>
      </c>
      <c r="AL20" s="1">
        <v>83860</v>
      </c>
      <c r="AN20" s="48">
        <v>-19630102.739999998</v>
      </c>
      <c r="AO20" s="42">
        <v>-0.12914541276315789</v>
      </c>
      <c r="AQ20" s="42"/>
      <c r="AS20" s="42"/>
      <c r="AT20" s="46"/>
      <c r="AU20" s="46"/>
      <c r="AV20" s="46">
        <f>+AN20-AW20</f>
        <v>-1207893.049999997</v>
      </c>
      <c r="AW20" s="46">
        <f>+AX20-1513000</f>
        <v>-18422209.690000001</v>
      </c>
      <c r="AX20" s="48">
        <f>+INDEX('IFT précédent'!$AO$7:$AO$82,MATCH('analyse trimestrielle'!A20,'IFT précédent'!$B$7:$B$82,0))</f>
        <v>-16909209.690000001</v>
      </c>
      <c r="AY20" s="52">
        <f>+INDEX('IFT précédent'!$AP$7:$AP$82,MATCH('analyse trimestrielle'!A20,'IFT précédent'!$B$7:$B$82,0))</f>
        <v>-0.11124480059210527</v>
      </c>
      <c r="AZ20" s="58">
        <f t="shared" si="0"/>
        <v>-1.7900612171052613E-2</v>
      </c>
      <c r="BA20" s="65">
        <f t="shared" si="1"/>
        <v>-2720893.049999997</v>
      </c>
      <c r="BB20" s="48"/>
      <c r="BC20" s="23"/>
      <c r="BE20" s="46">
        <v>404766.25745443697</v>
      </c>
      <c r="BF20" s="23">
        <v>3.3789887160713225E-2</v>
      </c>
      <c r="BG20" s="46">
        <v>456239.74144596234</v>
      </c>
      <c r="BH20" s="23">
        <v>3.808689360285275E-2</v>
      </c>
      <c r="BI20" s="46">
        <v>-51473.483991525383</v>
      </c>
      <c r="BJ20" s="23">
        <v>-4.2970064421395254E-3</v>
      </c>
      <c r="BL20" s="46"/>
      <c r="BM20" s="23"/>
      <c r="BN20" s="46"/>
      <c r="BO20" s="23"/>
      <c r="BP20" s="46"/>
      <c r="BQ20" s="23"/>
      <c r="BR20" s="1" t="e">
        <f t="shared" si="2"/>
        <v>#NAME?</v>
      </c>
      <c r="BT20" s="46">
        <v>-2321.2574544369709</v>
      </c>
      <c r="BU20" s="23">
        <v>-1.9377857222997036E-4</v>
      </c>
      <c r="BV20" s="46">
        <v>-2305.7414459623396</v>
      </c>
      <c r="BW20" s="23">
        <v>-1.9248329584295454E-4</v>
      </c>
      <c r="BX20" s="46">
        <v>-15.516008474616683</v>
      </c>
      <c r="BY20" s="23">
        <v>-1.2952763870166875E-6</v>
      </c>
      <c r="BZ20" s="1" t="e">
        <f t="shared" si="3"/>
        <v>#NAME?</v>
      </c>
      <c r="CB20" s="46"/>
      <c r="CC20" s="23"/>
      <c r="CD20" s="46"/>
      <c r="CE20" s="23"/>
      <c r="CF20" s="46"/>
      <c r="CG20" s="23"/>
      <c r="CH20" s="1" t="e">
        <f t="shared" si="4"/>
        <v>#NAME?</v>
      </c>
      <c r="CK20" s="1" t="s">
        <v>51</v>
      </c>
      <c r="CL20" s="1" t="s">
        <v>124</v>
      </c>
      <c r="CM20" s="1" t="s">
        <v>53</v>
      </c>
      <c r="CN20" s="1" t="s">
        <v>125</v>
      </c>
      <c r="CO20" s="1" t="s">
        <v>55</v>
      </c>
      <c r="CP20" s="1" t="s">
        <v>102</v>
      </c>
      <c r="CQ20" s="1" t="s">
        <v>57</v>
      </c>
      <c r="CR20" s="1" t="s">
        <v>126</v>
      </c>
      <c r="FZ20" s="1">
        <f t="shared" si="5"/>
        <v>0</v>
      </c>
      <c r="GA20" s="1">
        <f t="shared" si="6"/>
        <v>47233</v>
      </c>
      <c r="GB20" s="1">
        <f t="shared" ca="1" si="7"/>
        <v>4.0666666666666664</v>
      </c>
      <c r="GC20" s="52" t="e">
        <v>#NAME?</v>
      </c>
      <c r="GD20" s="1" t="e">
        <v>#NAME?</v>
      </c>
    </row>
    <row r="21" spans="1:186" x14ac:dyDescent="0.2">
      <c r="A21" s="1" t="s">
        <v>185</v>
      </c>
      <c r="B21" s="101" t="s">
        <v>173</v>
      </c>
      <c r="C21" s="101" t="s">
        <v>173</v>
      </c>
      <c r="D21" s="1">
        <v>70589503</v>
      </c>
      <c r="E21" s="1" t="s">
        <v>63</v>
      </c>
      <c r="G21" s="1" t="s">
        <v>174</v>
      </c>
      <c r="H21" s="1" t="s">
        <v>67</v>
      </c>
      <c r="I21" s="1" t="s">
        <v>430</v>
      </c>
      <c r="J21" s="1">
        <v>161.30000000000001</v>
      </c>
      <c r="K21" s="1" t="s">
        <v>181</v>
      </c>
      <c r="L21" s="1" t="s">
        <v>182</v>
      </c>
      <c r="M21" s="1">
        <v>138118808</v>
      </c>
      <c r="N21" s="1">
        <v>142309208.37</v>
      </c>
      <c r="O21" s="42">
        <v>1.0303391003055862</v>
      </c>
      <c r="P21" s="1">
        <v>141227546.27000001</v>
      </c>
      <c r="Q21" s="42">
        <v>1.0225077114045178</v>
      </c>
      <c r="R21" s="1">
        <v>1081662.1000000001</v>
      </c>
      <c r="S21" s="42">
        <v>7.8313889010684194E-3</v>
      </c>
      <c r="T21" s="1">
        <v>0</v>
      </c>
      <c r="U21" s="1">
        <v>-264</v>
      </c>
      <c r="W21" s="1" t="s">
        <v>79</v>
      </c>
      <c r="X21" s="1" t="s">
        <v>71</v>
      </c>
      <c r="Y21" s="1">
        <v>6</v>
      </c>
      <c r="AA21" s="1" t="s">
        <v>181</v>
      </c>
      <c r="AB21" s="1" t="s">
        <v>182</v>
      </c>
      <c r="AD21" s="1">
        <v>138118808</v>
      </c>
      <c r="AE21" s="1">
        <v>-147072182.09999999</v>
      </c>
      <c r="AF21" s="42">
        <v>-1.0648237139434333</v>
      </c>
      <c r="AG21" s="1">
        <v>-145806093.03</v>
      </c>
      <c r="AH21" s="42">
        <v>-1.0556570473009006</v>
      </c>
      <c r="AI21" s="1">
        <v>-1266089.07</v>
      </c>
      <c r="AJ21" s="42">
        <v>-9.1666666425328554E-3</v>
      </c>
      <c r="AK21" s="1">
        <v>-1.8</v>
      </c>
      <c r="AL21" s="1">
        <v>26088</v>
      </c>
      <c r="AN21" s="48">
        <v>-4762973.7300000004</v>
      </c>
      <c r="AO21" s="42">
        <v>-3.448461363784721E-2</v>
      </c>
      <c r="AQ21" s="42"/>
      <c r="AS21" s="42"/>
      <c r="AT21" s="46"/>
      <c r="AU21" s="46"/>
      <c r="AV21" s="1">
        <f>+AV20/M20</f>
        <v>-7.9466648026315593E-3</v>
      </c>
      <c r="AW21" s="46"/>
      <c r="AX21" s="48">
        <f>+INDEX('IFT précédent'!$AO$7:$AO$82,MATCH('analyse trimestrielle'!A21,'IFT précédent'!$B$7:$B$82,0))</f>
        <v>-3853060.62</v>
      </c>
      <c r="AY21" s="52">
        <f>+INDEX('IFT précédent'!$AP$7:$AP$82,MATCH('analyse trimestrielle'!A21,'IFT précédent'!$B$7:$B$82,0))</f>
        <v>-2.7896712082832339E-2</v>
      </c>
      <c r="AZ21" s="58">
        <f t="shared" si="0"/>
        <v>-6.587901555014871E-3</v>
      </c>
      <c r="BA21" s="65">
        <f t="shared" si="1"/>
        <v>-909913.11000000034</v>
      </c>
      <c r="BB21" s="48"/>
      <c r="BC21" s="23"/>
      <c r="BE21" s="46">
        <v>-10567.097018486937</v>
      </c>
      <c r="BF21" s="23">
        <v>-1.2881291260962717E-3</v>
      </c>
      <c r="BG21" s="46">
        <v>61635.499121000496</v>
      </c>
      <c r="BH21" s="23">
        <v>7.5133673401827144E-3</v>
      </c>
      <c r="BI21" s="46">
        <v>-72202.596139487432</v>
      </c>
      <c r="BJ21" s="23">
        <v>-8.8014964662789866E-3</v>
      </c>
      <c r="BL21" s="46"/>
      <c r="BM21" s="23"/>
      <c r="BN21" s="46"/>
      <c r="BO21" s="23"/>
      <c r="BP21" s="46"/>
      <c r="BQ21" s="23"/>
      <c r="BR21" s="1" t="e">
        <f t="shared" si="2"/>
        <v>#NAME?</v>
      </c>
      <c r="BT21" s="46">
        <v>4656.0970184869366</v>
      </c>
      <c r="BU21" s="23">
        <v>5.675782263520673E-4</v>
      </c>
      <c r="BV21" s="46">
        <v>4678.5008789995045</v>
      </c>
      <c r="BW21" s="23">
        <v>5.7030925694758015E-4</v>
      </c>
      <c r="BX21" s="46">
        <v>-22.403860512567917</v>
      </c>
      <c r="BY21" s="23">
        <v>-2.7310305955128428E-6</v>
      </c>
      <c r="BZ21" s="1" t="e">
        <f t="shared" si="3"/>
        <v>#NAME?</v>
      </c>
      <c r="CB21" s="46"/>
      <c r="CC21" s="23"/>
      <c r="CD21" s="46"/>
      <c r="CE21" s="23"/>
      <c r="CF21" s="46"/>
      <c r="CG21" s="23"/>
      <c r="CH21" s="1" t="e">
        <f t="shared" si="4"/>
        <v>#NAME?</v>
      </c>
      <c r="CK21" s="1" t="s">
        <v>51</v>
      </c>
      <c r="CL21" s="1" t="s">
        <v>128</v>
      </c>
      <c r="CM21" s="1" t="s">
        <v>53</v>
      </c>
      <c r="CN21" s="1" t="s">
        <v>129</v>
      </c>
      <c r="CO21" s="1" t="s">
        <v>55</v>
      </c>
      <c r="CP21" s="1" t="s">
        <v>102</v>
      </c>
      <c r="CQ21" s="1" t="s">
        <v>57</v>
      </c>
      <c r="CR21" s="1" t="s">
        <v>130</v>
      </c>
      <c r="FZ21" s="1">
        <f t="shared" si="5"/>
        <v>0</v>
      </c>
      <c r="GA21" s="1">
        <f t="shared" si="6"/>
        <v>45955</v>
      </c>
      <c r="GB21" s="1">
        <f t="shared" ca="1" si="7"/>
        <v>0.56666666666666665</v>
      </c>
      <c r="GC21" s="52" t="e">
        <v>#NAME?</v>
      </c>
      <c r="GD21" s="1" t="e">
        <v>#NAME?</v>
      </c>
    </row>
    <row r="22" spans="1:186" x14ac:dyDescent="0.2">
      <c r="A22" s="1" t="s">
        <v>214</v>
      </c>
      <c r="B22" s="101" t="s">
        <v>173</v>
      </c>
      <c r="C22" s="101" t="s">
        <v>173</v>
      </c>
      <c r="D22" s="1">
        <v>70600138</v>
      </c>
      <c r="E22" s="1" t="s">
        <v>75</v>
      </c>
      <c r="G22" s="1" t="s">
        <v>174</v>
      </c>
      <c r="H22" s="1" t="s">
        <v>67</v>
      </c>
      <c r="I22" s="1" t="s">
        <v>430</v>
      </c>
      <c r="J22" s="1">
        <v>109</v>
      </c>
      <c r="K22" s="1" t="s">
        <v>210</v>
      </c>
      <c r="L22" s="1" t="s">
        <v>211</v>
      </c>
      <c r="M22" s="1">
        <v>116200000</v>
      </c>
      <c r="N22" s="1">
        <v>123286704.97</v>
      </c>
      <c r="O22" s="42">
        <v>1.0609871339931154</v>
      </c>
      <c r="P22" s="1">
        <v>122113653.06</v>
      </c>
      <c r="Q22" s="42">
        <v>1.0508920228915664</v>
      </c>
      <c r="R22" s="1">
        <v>1173051.9099999999</v>
      </c>
      <c r="S22" s="42">
        <v>1.0095111101549053E-2</v>
      </c>
      <c r="T22" s="1">
        <v>0</v>
      </c>
      <c r="U22" s="1">
        <v>-169</v>
      </c>
      <c r="W22" s="1" t="s">
        <v>79</v>
      </c>
      <c r="X22" s="1" t="s">
        <v>71</v>
      </c>
      <c r="Y22" s="1">
        <v>5.5</v>
      </c>
      <c r="AA22" s="1" t="s">
        <v>210</v>
      </c>
      <c r="AB22" s="1" t="s">
        <v>211</v>
      </c>
      <c r="AD22" s="1">
        <v>116200000</v>
      </c>
      <c r="AE22" s="1">
        <v>-135440056.66</v>
      </c>
      <c r="AF22" s="42">
        <v>-1.1655770796901892</v>
      </c>
      <c r="AG22" s="1">
        <v>-130788828.88</v>
      </c>
      <c r="AH22" s="42">
        <v>-1.1255493018932874</v>
      </c>
      <c r="AI22" s="1">
        <v>-4651227.78</v>
      </c>
      <c r="AJ22" s="42">
        <v>-4.0027777796901892E-2</v>
      </c>
      <c r="AK22" s="1">
        <v>-3.8</v>
      </c>
      <c r="AL22" s="1">
        <v>50944</v>
      </c>
      <c r="AN22" s="48">
        <v>-12153351.689999999</v>
      </c>
      <c r="AO22" s="42">
        <v>-0.104589945697074</v>
      </c>
      <c r="AQ22" s="42"/>
      <c r="AS22" s="42"/>
      <c r="AT22" s="46"/>
      <c r="AU22" s="46"/>
      <c r="AW22" s="46"/>
      <c r="AX22" s="48">
        <f>+INDEX('IFT précédent'!$AO$7:$AO$82,MATCH('analyse trimestrielle'!A22,'IFT précédent'!$B$7:$B$82,0))</f>
        <v>-10610884.439999999</v>
      </c>
      <c r="AY22" s="52">
        <f>+INDEX('IFT précédent'!$AP$7:$AP$82,MATCH('analyse trimestrielle'!A22,'IFT précédent'!$B$7:$B$82,0))</f>
        <v>-9.13157008605852E-2</v>
      </c>
      <c r="AZ22" s="58">
        <f t="shared" si="0"/>
        <v>-1.3274244836488799E-2</v>
      </c>
      <c r="BA22" s="65">
        <f t="shared" si="1"/>
        <v>-1542467.25</v>
      </c>
      <c r="BB22" s="48"/>
      <c r="BC22" s="23"/>
      <c r="BE22" s="46">
        <v>158537.75640357146</v>
      </c>
      <c r="BF22" s="23">
        <v>2.3746691088064768E-2</v>
      </c>
      <c r="BG22" s="46">
        <v>317594.270203411</v>
      </c>
      <c r="BH22" s="23">
        <v>4.7571084623283313E-2</v>
      </c>
      <c r="BI22" s="46">
        <v>-159056.51379983954</v>
      </c>
      <c r="BJ22" s="23">
        <v>-2.3824393535218546E-2</v>
      </c>
      <c r="BL22" s="46"/>
      <c r="BM22" s="23"/>
      <c r="BN22" s="46"/>
      <c r="BO22" s="23"/>
      <c r="BP22" s="46"/>
      <c r="BQ22" s="23"/>
      <c r="BR22" s="1" t="e">
        <f t="shared" si="2"/>
        <v>#NAME?</v>
      </c>
      <c r="BT22" s="46">
        <v>10.243596428539604</v>
      </c>
      <c r="BU22" s="23">
        <v>1.5343444081557245E-6</v>
      </c>
      <c r="BV22" s="46">
        <v>34.729796589002945</v>
      </c>
      <c r="BW22" s="23">
        <v>5.2020273899333613E-6</v>
      </c>
      <c r="BX22" s="46">
        <v>-24.486200160463341</v>
      </c>
      <c r="BY22" s="23">
        <v>-3.6676829817811063E-6</v>
      </c>
      <c r="BZ22" s="1" t="e">
        <f t="shared" si="3"/>
        <v>#NAME?</v>
      </c>
      <c r="CB22" s="46"/>
      <c r="CC22" s="23"/>
      <c r="CD22" s="46"/>
      <c r="CE22" s="23"/>
      <c r="CF22" s="46"/>
      <c r="CG22" s="23"/>
      <c r="CH22" s="1" t="e">
        <f t="shared" si="4"/>
        <v>#NAME?</v>
      </c>
      <c r="CK22" s="1" t="s">
        <v>51</v>
      </c>
      <c r="CL22" s="1" t="s">
        <v>131</v>
      </c>
      <c r="CM22" s="1" t="s">
        <v>53</v>
      </c>
      <c r="CN22" s="1" t="s">
        <v>132</v>
      </c>
      <c r="CO22" s="1" t="s">
        <v>55</v>
      </c>
      <c r="CP22" s="1" t="s">
        <v>102</v>
      </c>
      <c r="CQ22" s="1" t="s">
        <v>57</v>
      </c>
      <c r="CR22" s="1" t="s">
        <v>133</v>
      </c>
      <c r="FZ22" s="1">
        <f t="shared" si="5"/>
        <v>0</v>
      </c>
      <c r="GA22" s="1">
        <f t="shared" si="6"/>
        <v>46840</v>
      </c>
      <c r="GB22" s="1">
        <f t="shared" ca="1" si="7"/>
        <v>2.9916666666666667</v>
      </c>
      <c r="GC22" s="52" t="e">
        <v>#NAME?</v>
      </c>
      <c r="GD22" s="1" t="e">
        <v>#NAME?</v>
      </c>
    </row>
    <row r="23" spans="1:186" x14ac:dyDescent="0.2">
      <c r="A23" s="1" t="s">
        <v>219</v>
      </c>
      <c r="B23" s="101" t="s">
        <v>173</v>
      </c>
      <c r="C23" s="101" t="s">
        <v>173</v>
      </c>
      <c r="D23" s="1">
        <v>70600140</v>
      </c>
      <c r="E23" s="1" t="s">
        <v>75</v>
      </c>
      <c r="G23" s="1" t="s">
        <v>174</v>
      </c>
      <c r="H23" s="1" t="s">
        <v>67</v>
      </c>
      <c r="I23" s="1" t="s">
        <v>430</v>
      </c>
      <c r="J23" s="1">
        <v>299.5</v>
      </c>
      <c r="K23" s="1" t="s">
        <v>215</v>
      </c>
      <c r="L23" s="1" t="s">
        <v>216</v>
      </c>
      <c r="M23" s="1">
        <v>50000000</v>
      </c>
      <c r="N23" s="1">
        <v>52970420.990000002</v>
      </c>
      <c r="O23" s="42">
        <v>1.0594084198</v>
      </c>
      <c r="P23" s="1">
        <v>52465876.539999999</v>
      </c>
      <c r="Q23" s="42">
        <v>1.0493175308</v>
      </c>
      <c r="R23" s="1">
        <v>504544.44</v>
      </c>
      <c r="S23" s="42">
        <v>1.00908888E-2</v>
      </c>
      <c r="T23" s="1">
        <v>0.3</v>
      </c>
      <c r="U23" s="1">
        <v>-1611</v>
      </c>
      <c r="W23" s="1" t="s">
        <v>79</v>
      </c>
      <c r="X23" s="1" t="s">
        <v>71</v>
      </c>
      <c r="Y23" s="1">
        <v>6</v>
      </c>
      <c r="AA23" s="1" t="s">
        <v>215</v>
      </c>
      <c r="AB23" s="1" t="s">
        <v>216</v>
      </c>
      <c r="AD23" s="1">
        <v>50000000</v>
      </c>
      <c r="AE23" s="1">
        <v>-53249295.390000001</v>
      </c>
      <c r="AF23" s="42">
        <v>-1.0649859077999999</v>
      </c>
      <c r="AG23" s="1">
        <v>-52780802.240000002</v>
      </c>
      <c r="AH23" s="42">
        <v>-1.0556160448</v>
      </c>
      <c r="AI23" s="1">
        <v>-468493.15</v>
      </c>
      <c r="AJ23" s="42">
        <v>-9.3698630000000008E-3</v>
      </c>
      <c r="AK23" s="1">
        <v>-1.8</v>
      </c>
      <c r="AL23" s="1">
        <v>9444</v>
      </c>
      <c r="AN23" s="48">
        <v>-278874.40000000002</v>
      </c>
      <c r="AO23" s="42">
        <v>-5.5774880000000002E-3</v>
      </c>
      <c r="AQ23" s="42"/>
      <c r="AS23" s="42"/>
      <c r="AT23" s="46"/>
      <c r="AU23" s="46"/>
      <c r="AW23" s="46"/>
      <c r="AX23" s="48">
        <f>+INDEX('IFT précédent'!$AO$7:$AO$82,MATCH('analyse trimestrielle'!A23,'IFT précédent'!$B$7:$B$82,0))</f>
        <v>-198293.5</v>
      </c>
      <c r="AY23" s="52">
        <f>+INDEX('IFT précédent'!$AP$7:$AP$82,MATCH('analyse trimestrielle'!A23,'IFT précédent'!$B$7:$B$82,0))</f>
        <v>-3.9658699999999998E-3</v>
      </c>
      <c r="AZ23" s="58">
        <f t="shared" si="0"/>
        <v>-1.6116180000000004E-3</v>
      </c>
      <c r="BA23" s="65">
        <f t="shared" si="1"/>
        <v>-80580.900000000023</v>
      </c>
      <c r="BB23" s="48"/>
      <c r="BC23" s="23"/>
      <c r="BE23" s="46">
        <v>79479.786730023974</v>
      </c>
      <c r="BF23" s="23">
        <v>9.6772317649074079E-3</v>
      </c>
      <c r="BG23" s="46">
        <v>269564.92957470188</v>
      </c>
      <c r="BH23" s="23">
        <v>3.2821455699753442E-2</v>
      </c>
      <c r="BI23" s="46">
        <v>-190085.1428446779</v>
      </c>
      <c r="BJ23" s="23">
        <v>-2.3144223934846036E-2</v>
      </c>
      <c r="BL23" s="46"/>
      <c r="BM23" s="23"/>
      <c r="BN23" s="46"/>
      <c r="BO23" s="23"/>
      <c r="BP23" s="46"/>
      <c r="BQ23" s="23"/>
      <c r="BR23" s="1" t="e">
        <f t="shared" si="2"/>
        <v>#NAME?</v>
      </c>
      <c r="BT23" s="46">
        <v>11.213269976025913</v>
      </c>
      <c r="BU23" s="23">
        <v>1.3652957168742985E-6</v>
      </c>
      <c r="BV23" s="46">
        <v>42.070425298123155</v>
      </c>
      <c r="BW23" s="23">
        <v>5.122374792491946E-6</v>
      </c>
      <c r="BX23" s="46">
        <v>-30.857155322097242</v>
      </c>
      <c r="BY23" s="23">
        <v>-3.7570790756141781E-6</v>
      </c>
      <c r="BZ23" s="1" t="e">
        <f t="shared" si="3"/>
        <v>#NAME?</v>
      </c>
      <c r="CB23" s="46"/>
      <c r="CC23" s="23"/>
      <c r="CD23" s="46"/>
      <c r="CE23" s="23"/>
      <c r="CF23" s="46"/>
      <c r="CG23" s="23"/>
      <c r="CH23" s="1" t="e">
        <f t="shared" si="4"/>
        <v>#NAME?</v>
      </c>
      <c r="CK23" s="1" t="s">
        <v>51</v>
      </c>
      <c r="CL23" s="1" t="s">
        <v>134</v>
      </c>
      <c r="CM23" s="1" t="s">
        <v>53</v>
      </c>
      <c r="CN23" s="1" t="s">
        <v>135</v>
      </c>
      <c r="CO23" s="1" t="s">
        <v>55</v>
      </c>
      <c r="CP23" s="1" t="s">
        <v>96</v>
      </c>
      <c r="CQ23" s="1" t="s">
        <v>57</v>
      </c>
      <c r="CR23" s="1" t="s">
        <v>136</v>
      </c>
      <c r="FZ23" s="1">
        <f t="shared" si="5"/>
        <v>0</v>
      </c>
      <c r="GA23" s="1">
        <f t="shared" si="6"/>
        <v>45954</v>
      </c>
      <c r="GB23" s="1">
        <f t="shared" ca="1" si="7"/>
        <v>0.56388888888888888</v>
      </c>
      <c r="GC23" s="52" t="e">
        <v>#NAME?</v>
      </c>
      <c r="GD23" s="1" t="e">
        <v>#NAME?</v>
      </c>
    </row>
    <row r="24" spans="1:186" x14ac:dyDescent="0.2">
      <c r="A24" s="1" t="s">
        <v>225</v>
      </c>
      <c r="B24" s="101" t="s">
        <v>173</v>
      </c>
      <c r="C24" s="101" t="s">
        <v>173</v>
      </c>
      <c r="D24" s="1">
        <v>70607235</v>
      </c>
      <c r="E24" s="1" t="s">
        <v>220</v>
      </c>
      <c r="G24" s="1" t="s">
        <v>174</v>
      </c>
      <c r="H24" s="1" t="s">
        <v>67</v>
      </c>
      <c r="I24" s="1" t="s">
        <v>430</v>
      </c>
      <c r="J24" s="1">
        <v>141.6</v>
      </c>
      <c r="K24" s="1" t="s">
        <v>221</v>
      </c>
      <c r="L24" s="1" t="s">
        <v>222</v>
      </c>
      <c r="M24" s="1">
        <v>104000000</v>
      </c>
      <c r="N24" s="1">
        <v>113029332.12</v>
      </c>
      <c r="O24" s="42">
        <v>1.0868205011538461</v>
      </c>
      <c r="P24" s="1">
        <v>112337443.23999999</v>
      </c>
      <c r="Q24" s="42">
        <v>1.0801677234615383</v>
      </c>
      <c r="R24" s="1">
        <v>691888.89</v>
      </c>
      <c r="S24" s="42">
        <v>6.6527777884615386E-3</v>
      </c>
      <c r="T24" s="1">
        <v>0.2</v>
      </c>
      <c r="U24" s="1">
        <v>-2420</v>
      </c>
      <c r="W24" s="1" t="s">
        <v>79</v>
      </c>
      <c r="X24" s="1" t="s">
        <v>71</v>
      </c>
      <c r="Y24" s="1">
        <v>6</v>
      </c>
      <c r="AA24" s="1" t="s">
        <v>221</v>
      </c>
      <c r="AB24" s="1" t="s">
        <v>222</v>
      </c>
      <c r="AD24" s="1">
        <v>104000000</v>
      </c>
      <c r="AE24" s="1">
        <v>-127701848.97</v>
      </c>
      <c r="AF24" s="42">
        <v>-1.2279023939423077</v>
      </c>
      <c r="AG24" s="1">
        <v>-122155182.3</v>
      </c>
      <c r="AH24" s="42">
        <v>-1.174569060576923</v>
      </c>
      <c r="AI24" s="1">
        <v>-5546666.6699999999</v>
      </c>
      <c r="AJ24" s="42">
        <v>-5.3333333365384615E-2</v>
      </c>
      <c r="AK24" s="1">
        <v>-4.4000000000000004</v>
      </c>
      <c r="AL24" s="1">
        <v>55556</v>
      </c>
      <c r="AN24" s="48">
        <v>-14672516.84</v>
      </c>
      <c r="AO24" s="42">
        <v>-0.1410818926923077</v>
      </c>
      <c r="AQ24" s="42"/>
      <c r="AS24" s="42"/>
      <c r="AT24" s="46"/>
      <c r="AU24" s="46"/>
      <c r="AW24" s="46"/>
      <c r="AX24" s="48">
        <f>+INDEX('IFT précédent'!$AO$7:$AO$82,MATCH('analyse trimestrielle'!A24,'IFT précédent'!$B$7:$B$82,0))</f>
        <v>-6731067.7000000002</v>
      </c>
      <c r="AY24" s="52">
        <f>+INDEX('IFT précédent'!$AP$7:$AP$82,MATCH('analyse trimestrielle'!A24,'IFT précédent'!$B$7:$B$82,0))</f>
        <v>-6.472180480769231E-2</v>
      </c>
      <c r="AZ24" s="58">
        <f t="shared" si="0"/>
        <v>-7.6360087884615388E-2</v>
      </c>
      <c r="BA24" s="65">
        <f t="shared" si="1"/>
        <v>-7941449.1399999997</v>
      </c>
      <c r="BB24" s="48"/>
      <c r="BC24" s="23"/>
      <c r="BE24" s="46">
        <v>101547.83408470103</v>
      </c>
      <c r="BF24" s="23">
        <v>1.0847847376496847E-2</v>
      </c>
      <c r="BG24" s="46">
        <v>178463.56431536371</v>
      </c>
      <c r="BH24" s="23">
        <v>1.9064370258689345E-2</v>
      </c>
      <c r="BI24" s="46">
        <v>-76915.730230662681</v>
      </c>
      <c r="BJ24" s="23">
        <v>-8.2165228821924983E-3</v>
      </c>
      <c r="BL24" s="46"/>
      <c r="BM24" s="23"/>
      <c r="BN24" s="46"/>
      <c r="BO24" s="23"/>
      <c r="BP24" s="46"/>
      <c r="BQ24" s="23"/>
      <c r="BR24" s="1" t="e">
        <f t="shared" si="2"/>
        <v>#NAME?</v>
      </c>
      <c r="BT24" s="46">
        <v>-30413.834084701026</v>
      </c>
      <c r="BU24" s="23">
        <v>-3.2489578262175868E-3</v>
      </c>
      <c r="BV24" s="46">
        <v>-29670.564315363707</v>
      </c>
      <c r="BW24" s="23">
        <v>-3.1695580331052089E-3</v>
      </c>
      <c r="BX24" s="46">
        <v>-743.2697693373193</v>
      </c>
      <c r="BY24" s="23">
        <v>-7.9399793112376951E-5</v>
      </c>
      <c r="BZ24" s="1" t="e">
        <f t="shared" si="3"/>
        <v>#NAME?</v>
      </c>
      <c r="CB24" s="46"/>
      <c r="CC24" s="23"/>
      <c r="CD24" s="46"/>
      <c r="CE24" s="23"/>
      <c r="CF24" s="46"/>
      <c r="CG24" s="23"/>
      <c r="CH24" s="1" t="e">
        <f t="shared" si="4"/>
        <v>#NAME?</v>
      </c>
      <c r="CK24" s="1" t="s">
        <v>51</v>
      </c>
      <c r="CL24" s="1" t="s">
        <v>137</v>
      </c>
      <c r="CM24" s="1" t="s">
        <v>53</v>
      </c>
      <c r="CN24" s="1" t="s">
        <v>138</v>
      </c>
      <c r="CO24" s="1" t="s">
        <v>55</v>
      </c>
      <c r="CP24" s="1" t="s">
        <v>102</v>
      </c>
      <c r="CQ24" s="1" t="s">
        <v>57</v>
      </c>
      <c r="CR24" s="1" t="s">
        <v>139</v>
      </c>
      <c r="FZ24" s="1">
        <f t="shared" si="5"/>
        <v>9.9999904632568359E-3</v>
      </c>
      <c r="GA24" s="1">
        <f t="shared" si="6"/>
        <v>47149</v>
      </c>
      <c r="GB24" s="1">
        <f t="shared" ca="1" si="7"/>
        <v>3.8333333333333335</v>
      </c>
      <c r="GC24" s="52" t="e">
        <v>#NAME?</v>
      </c>
      <c r="GD24" s="1" t="e">
        <v>#NAME?</v>
      </c>
    </row>
    <row r="25" spans="1:186" x14ac:dyDescent="0.2">
      <c r="A25" s="1" t="s">
        <v>231</v>
      </c>
      <c r="B25" s="101" t="s">
        <v>173</v>
      </c>
      <c r="C25" s="101" t="s">
        <v>173</v>
      </c>
      <c r="D25" s="1">
        <v>70614781</v>
      </c>
      <c r="E25" s="1" t="s">
        <v>228</v>
      </c>
      <c r="G25" s="1" t="s">
        <v>174</v>
      </c>
      <c r="H25" s="1" t="s">
        <v>67</v>
      </c>
      <c r="I25" s="1" t="s">
        <v>430</v>
      </c>
      <c r="J25" s="1">
        <v>98.25</v>
      </c>
      <c r="K25" s="1" t="s">
        <v>230</v>
      </c>
      <c r="L25" s="1" t="s">
        <v>99</v>
      </c>
      <c r="M25" s="1">
        <v>100000000</v>
      </c>
      <c r="N25" s="1">
        <v>100829668.48999999</v>
      </c>
      <c r="O25" s="42">
        <v>1.0082966848999999</v>
      </c>
      <c r="P25" s="1">
        <v>100068690.70999999</v>
      </c>
      <c r="Q25" s="42">
        <v>1.0006869071</v>
      </c>
      <c r="R25" s="1">
        <v>760977.78</v>
      </c>
      <c r="S25" s="42">
        <v>7.6097778000000001E-3</v>
      </c>
      <c r="T25" s="1">
        <v>0.3</v>
      </c>
      <c r="U25" s="1">
        <v>-3238</v>
      </c>
      <c r="W25" s="1" t="s">
        <v>79</v>
      </c>
      <c r="X25" s="1" t="s">
        <v>71</v>
      </c>
      <c r="Y25" s="1">
        <v>4.125</v>
      </c>
      <c r="AA25" s="1" t="s">
        <v>230</v>
      </c>
      <c r="AB25" s="1" t="s">
        <v>99</v>
      </c>
      <c r="AD25" s="1">
        <v>100000000</v>
      </c>
      <c r="AE25" s="1">
        <v>-102786560.33</v>
      </c>
      <c r="AF25" s="42">
        <v>-1.0278656033</v>
      </c>
      <c r="AG25" s="1">
        <v>-99995121.980000004</v>
      </c>
      <c r="AH25" s="42">
        <v>-0.99995121980000001</v>
      </c>
      <c r="AI25" s="1">
        <v>-2791438.36</v>
      </c>
      <c r="AJ25" s="42">
        <v>-2.7914383599999999E-2</v>
      </c>
      <c r="AK25" s="1">
        <v>-0.3</v>
      </c>
      <c r="AL25" s="1">
        <v>3300</v>
      </c>
      <c r="AN25" s="48">
        <v>-1956891.85</v>
      </c>
      <c r="AO25" s="42">
        <v>-1.9568918500000001E-2</v>
      </c>
      <c r="AQ25" s="42"/>
      <c r="AS25" s="42"/>
      <c r="AT25" s="46"/>
      <c r="AU25" s="46"/>
      <c r="AW25" s="46"/>
      <c r="AX25" s="48" t="e">
        <f>+INDEX('IFT précédent'!$AO$7:$AO$82,MATCH('analyse trimestrielle'!A25,'IFT précédent'!$B$7:$B$82,0))</f>
        <v>#N/A</v>
      </c>
      <c r="AY25" s="52" t="e">
        <f>+INDEX('IFT précédent'!$AP$7:$AP$82,MATCH('analyse trimestrielle'!A25,'IFT précédent'!$B$7:$B$82,0))</f>
        <v>#N/A</v>
      </c>
      <c r="AZ25" s="58" t="e">
        <f t="shared" si="0"/>
        <v>#N/A</v>
      </c>
      <c r="BA25" s="65" t="e">
        <f>+AN25-AX25</f>
        <v>#N/A</v>
      </c>
      <c r="BB25" s="48"/>
      <c r="BC25" s="23"/>
      <c r="BE25" s="46">
        <v>102075.16780574307</v>
      </c>
      <c r="BF25" s="23">
        <v>1.7285408944652116E-2</v>
      </c>
      <c r="BG25" s="46">
        <v>233919.09837149445</v>
      </c>
      <c r="BH25" s="23">
        <v>3.9611860183374537E-2</v>
      </c>
      <c r="BI25" s="46">
        <v>-131843.93056575139</v>
      </c>
      <c r="BJ25" s="23">
        <v>-2.2326451238722424E-2</v>
      </c>
      <c r="BL25" s="46"/>
      <c r="BM25" s="23"/>
      <c r="BN25" s="46"/>
      <c r="BO25" s="23"/>
      <c r="BP25" s="46"/>
      <c r="BQ25" s="23"/>
      <c r="BR25" s="1" t="e">
        <f t="shared" si="2"/>
        <v>#NAME?</v>
      </c>
      <c r="BT25" s="46">
        <v>8.8321942569309613</v>
      </c>
      <c r="BU25" s="23">
        <v>1.4956437779274634E-6</v>
      </c>
      <c r="BV25" s="46">
        <v>-149.09837149444502</v>
      </c>
      <c r="BW25" s="23">
        <v>-2.5248318270394698E-5</v>
      </c>
      <c r="BX25" s="46">
        <v>157.93056575139053</v>
      </c>
      <c r="BY25" s="23">
        <v>2.6743962048325631E-5</v>
      </c>
      <c r="BZ25" s="1" t="e">
        <f t="shared" si="3"/>
        <v>#NAME?</v>
      </c>
      <c r="CB25" s="46"/>
      <c r="CC25" s="23"/>
      <c r="CD25" s="46"/>
      <c r="CE25" s="23"/>
      <c r="CF25" s="46"/>
      <c r="CG25" s="23"/>
      <c r="CH25" s="1" t="e">
        <f t="shared" si="4"/>
        <v>#NAME?</v>
      </c>
      <c r="CK25" s="1" t="s">
        <v>51</v>
      </c>
      <c r="CL25" s="1" t="s">
        <v>140</v>
      </c>
      <c r="CM25" s="1" t="s">
        <v>53</v>
      </c>
      <c r="CN25" s="1" t="s">
        <v>141</v>
      </c>
      <c r="CO25" s="1" t="s">
        <v>55</v>
      </c>
      <c r="CP25" s="1" t="s">
        <v>96</v>
      </c>
      <c r="CQ25" s="1" t="s">
        <v>57</v>
      </c>
      <c r="CR25" s="1" t="s">
        <v>142</v>
      </c>
      <c r="FZ25" s="1">
        <f t="shared" si="5"/>
        <v>-9.9999904632568359E-3</v>
      </c>
      <c r="GA25" s="1">
        <f t="shared" si="6"/>
        <v>45397</v>
      </c>
      <c r="GB25" s="1">
        <f t="shared" ca="1" si="7"/>
        <v>0.96111111111111114</v>
      </c>
      <c r="GC25" s="52" t="e">
        <v>#NAME?</v>
      </c>
      <c r="GD25" s="1" t="e">
        <v>#NAME?</v>
      </c>
    </row>
    <row r="26" spans="1:186" x14ac:dyDescent="0.2">
      <c r="A26" s="1" t="s">
        <v>235</v>
      </c>
      <c r="B26" s="101" t="s">
        <v>173</v>
      </c>
      <c r="C26" s="101" t="s">
        <v>173</v>
      </c>
      <c r="D26" s="1">
        <v>70618160</v>
      </c>
      <c r="E26" s="1" t="s">
        <v>228</v>
      </c>
      <c r="G26" s="1" t="s">
        <v>174</v>
      </c>
      <c r="H26" s="1" t="s">
        <v>67</v>
      </c>
      <c r="I26" s="1" t="s">
        <v>430</v>
      </c>
      <c r="J26" s="1">
        <v>303.3</v>
      </c>
      <c r="K26" s="1" t="s">
        <v>232</v>
      </c>
      <c r="L26" s="1" t="s">
        <v>216</v>
      </c>
      <c r="M26" s="1">
        <v>50000000</v>
      </c>
      <c r="N26" s="1">
        <v>53007147.729999997</v>
      </c>
      <c r="O26" s="42">
        <v>1.0601429545999999</v>
      </c>
      <c r="P26" s="1">
        <v>52499647.729999997</v>
      </c>
      <c r="Q26" s="42">
        <v>1.0499929546</v>
      </c>
      <c r="R26" s="1">
        <v>507500</v>
      </c>
      <c r="S26" s="42">
        <v>1.0149999999999999E-2</v>
      </c>
      <c r="T26" s="1">
        <v>0.3</v>
      </c>
      <c r="U26" s="1">
        <v>-1615</v>
      </c>
      <c r="W26" s="1" t="s">
        <v>79</v>
      </c>
      <c r="X26" s="1" t="s">
        <v>71</v>
      </c>
      <c r="Y26" s="1">
        <v>6</v>
      </c>
      <c r="AA26" s="1" t="s">
        <v>232</v>
      </c>
      <c r="AB26" s="1" t="s">
        <v>216</v>
      </c>
      <c r="AD26" s="1">
        <v>50000000</v>
      </c>
      <c r="AE26" s="1">
        <v>-53249295.390000001</v>
      </c>
      <c r="AF26" s="42">
        <v>-1.0649859077999999</v>
      </c>
      <c r="AG26" s="1">
        <v>-52780802.240000002</v>
      </c>
      <c r="AH26" s="42">
        <v>-1.0556160448</v>
      </c>
      <c r="AI26" s="1">
        <v>-468493.15</v>
      </c>
      <c r="AJ26" s="42">
        <v>-9.3698630000000008E-3</v>
      </c>
      <c r="AK26" s="1">
        <v>-1.8</v>
      </c>
      <c r="AL26" s="1">
        <v>9444</v>
      </c>
      <c r="AN26" s="48">
        <v>-242147.66</v>
      </c>
      <c r="AO26" s="42">
        <v>-4.8429531999999997E-3</v>
      </c>
      <c r="AQ26" s="42"/>
      <c r="AS26" s="42"/>
      <c r="AT26" s="46"/>
      <c r="AU26" s="46"/>
      <c r="AW26" s="46"/>
      <c r="AX26" s="48">
        <f>+INDEX('IFT précédent'!$AO$7:$AO$82,MATCH('analyse trimestrielle'!A26,'IFT précédent'!$B$7:$B$82,0))</f>
        <v>-179446.45</v>
      </c>
      <c r="AY26" s="52">
        <f>+INDEX('IFT précédent'!$AP$7:$AP$82,MATCH('analyse trimestrielle'!A26,'IFT précédent'!$B$7:$B$82,0))</f>
        <v>-3.5889290000000003E-3</v>
      </c>
      <c r="AZ26" s="58">
        <f t="shared" si="0"/>
        <v>-1.2540241999999995E-3</v>
      </c>
      <c r="BA26" s="65">
        <f t="shared" si="1"/>
        <v>-62701.209999999992</v>
      </c>
      <c r="BB26" s="48"/>
      <c r="BC26" s="23"/>
      <c r="BE26" s="46">
        <v>-551895.06035941036</v>
      </c>
      <c r="BF26" s="23">
        <v>-3.1346919753292048E-2</v>
      </c>
      <c r="BG26" s="46">
        <v>-274518.31122822518</v>
      </c>
      <c r="BH26" s="23">
        <v>-1.5592282103913736E-2</v>
      </c>
      <c r="BI26" s="46">
        <v>-277376.74913118535</v>
      </c>
      <c r="BJ26" s="23">
        <v>-1.5754637649378317E-2</v>
      </c>
      <c r="BL26" s="46"/>
      <c r="BM26" s="23"/>
      <c r="BN26" s="46"/>
      <c r="BO26" s="23"/>
      <c r="BP26" s="46"/>
      <c r="BQ26" s="23"/>
      <c r="BR26" s="1" t="e">
        <f t="shared" si="2"/>
        <v>#NAME?</v>
      </c>
      <c r="BT26" s="46">
        <v>-1484.9396405896405</v>
      </c>
      <c r="BU26" s="23">
        <v>-8.4342635213528749E-5</v>
      </c>
      <c r="BV26" s="46">
        <v>-3892.6887717748177</v>
      </c>
      <c r="BW26" s="23">
        <v>-2.2109964614269208E-4</v>
      </c>
      <c r="BX26" s="46">
        <v>2407.7491311853519</v>
      </c>
      <c r="BY26" s="23">
        <v>1.367570109291668E-4</v>
      </c>
      <c r="BZ26" s="1" t="e">
        <f t="shared" si="3"/>
        <v>#NAME?</v>
      </c>
      <c r="CB26" s="46"/>
      <c r="CC26" s="23"/>
      <c r="CD26" s="46"/>
      <c r="CE26" s="23"/>
      <c r="CF26" s="46"/>
      <c r="CG26" s="23"/>
      <c r="CH26" s="1" t="e">
        <f t="shared" si="4"/>
        <v>#NAME?</v>
      </c>
      <c r="CK26" s="1" t="s">
        <v>51</v>
      </c>
      <c r="CL26" s="1" t="s">
        <v>143</v>
      </c>
      <c r="CM26" s="1" t="s">
        <v>53</v>
      </c>
      <c r="CN26" s="1" t="s">
        <v>144</v>
      </c>
      <c r="CO26" s="1" t="s">
        <v>55</v>
      </c>
      <c r="CP26" s="1" t="s">
        <v>106</v>
      </c>
      <c r="CQ26" s="1" t="s">
        <v>57</v>
      </c>
      <c r="CR26" s="1" t="s">
        <v>145</v>
      </c>
      <c r="FZ26" s="1">
        <f t="shared" si="5"/>
        <v>0</v>
      </c>
      <c r="GA26" s="1">
        <f t="shared" si="6"/>
        <v>45954</v>
      </c>
      <c r="GB26" s="1">
        <f t="shared" ca="1" si="7"/>
        <v>0.56388888888888888</v>
      </c>
      <c r="GC26" s="52" t="e">
        <v>#NAME?</v>
      </c>
      <c r="GD26" s="1" t="e">
        <v>#NAME?</v>
      </c>
    </row>
    <row r="27" spans="1:186" x14ac:dyDescent="0.2">
      <c r="A27" s="1" t="s">
        <v>239</v>
      </c>
      <c r="B27" s="101" t="s">
        <v>173</v>
      </c>
      <c r="C27" s="101" t="s">
        <v>173</v>
      </c>
      <c r="D27" s="1">
        <v>70618161</v>
      </c>
      <c r="E27" s="1" t="s">
        <v>228</v>
      </c>
      <c r="G27" s="1" t="s">
        <v>174</v>
      </c>
      <c r="H27" s="1" t="s">
        <v>67</v>
      </c>
      <c r="I27" s="1" t="s">
        <v>430</v>
      </c>
      <c r="J27" s="1">
        <v>312.5</v>
      </c>
      <c r="K27" s="1" t="s">
        <v>236</v>
      </c>
      <c r="L27" s="1" t="s">
        <v>182</v>
      </c>
      <c r="M27" s="1">
        <v>50000000</v>
      </c>
      <c r="N27" s="1">
        <v>53093236.100000001</v>
      </c>
      <c r="O27" s="42">
        <v>1.0618647219999999</v>
      </c>
      <c r="P27" s="1">
        <v>52586166.649999999</v>
      </c>
      <c r="Q27" s="42">
        <v>1.051723333</v>
      </c>
      <c r="R27" s="1">
        <v>507069.44</v>
      </c>
      <c r="S27" s="42">
        <v>1.01413888E-2</v>
      </c>
      <c r="T27" s="1">
        <v>0.3</v>
      </c>
      <c r="U27" s="1">
        <v>-1625</v>
      </c>
      <c r="W27" s="1" t="s">
        <v>79</v>
      </c>
      <c r="X27" s="1" t="s">
        <v>71</v>
      </c>
      <c r="Y27" s="1">
        <v>6</v>
      </c>
      <c r="AA27" s="1" t="s">
        <v>236</v>
      </c>
      <c r="AB27" s="1" t="s">
        <v>182</v>
      </c>
      <c r="AD27" s="1">
        <v>50000000</v>
      </c>
      <c r="AE27" s="1">
        <v>-53241238.969999999</v>
      </c>
      <c r="AF27" s="42">
        <v>-1.0648247793999999</v>
      </c>
      <c r="AG27" s="1">
        <v>-52780965</v>
      </c>
      <c r="AH27" s="42">
        <v>-1.0556193</v>
      </c>
      <c r="AI27" s="1">
        <v>-460273.97</v>
      </c>
      <c r="AJ27" s="42">
        <v>-9.2054793999999992E-3</v>
      </c>
      <c r="AK27" s="1">
        <v>-1.8</v>
      </c>
      <c r="AL27" s="1">
        <v>9444</v>
      </c>
      <c r="AN27" s="48">
        <v>-148002.87</v>
      </c>
      <c r="AO27" s="42">
        <v>-2.9600574E-3</v>
      </c>
      <c r="AQ27" s="42"/>
      <c r="AS27" s="42"/>
      <c r="AT27" s="46"/>
      <c r="AU27" s="46"/>
      <c r="AW27" s="46"/>
      <c r="AX27" s="48">
        <f>+INDEX('IFT précédent'!$AO$7:$AO$82,MATCH('analyse trimestrielle'!A27,'IFT précédent'!$B$7:$B$82,0))</f>
        <v>-137107.51999999999</v>
      </c>
      <c r="AY27" s="52">
        <f>+INDEX('IFT précédent'!$AP$7:$AP$82,MATCH('analyse trimestrielle'!A27,'IFT précédent'!$B$7:$B$82,0))</f>
        <v>-2.7421503999999998E-3</v>
      </c>
      <c r="AZ27" s="58">
        <f t="shared" si="0"/>
        <v>-2.1790700000000026E-4</v>
      </c>
      <c r="BA27" s="65">
        <f t="shared" si="1"/>
        <v>-10895.350000000006</v>
      </c>
      <c r="BB27" s="48"/>
      <c r="BC27" s="23"/>
      <c r="BE27" s="46">
        <v>199496.21209365421</v>
      </c>
      <c r="BF27" s="23">
        <v>3.380263815091792E-2</v>
      </c>
      <c r="BG27" s="46">
        <v>222146.64296099031</v>
      </c>
      <c r="BH27" s="23">
        <v>3.7640527154101149E-2</v>
      </c>
      <c r="BI27" s="46">
        <v>-22650.430867336108</v>
      </c>
      <c r="BJ27" s="23">
        <v>-3.8378890031832281E-3</v>
      </c>
      <c r="BL27" s="46"/>
      <c r="BM27" s="23"/>
      <c r="BN27" s="46"/>
      <c r="BO27" s="23"/>
      <c r="BP27" s="46"/>
      <c r="BQ27" s="23"/>
      <c r="BR27" s="1" t="e">
        <f t="shared" si="2"/>
        <v>#NAME?</v>
      </c>
      <c r="BT27" s="46">
        <v>7281.7879063457949</v>
      </c>
      <c r="BU27" s="23">
        <v>1.2338261418937818E-3</v>
      </c>
      <c r="BV27" s="46">
        <v>6808.3570390096866</v>
      </c>
      <c r="BW27" s="23">
        <v>1.1536080157946021E-3</v>
      </c>
      <c r="BX27" s="46">
        <v>474.43086733610835</v>
      </c>
      <c r="BY27" s="23">
        <v>8.0387566099049488E-5</v>
      </c>
      <c r="BZ27" s="1" t="e">
        <f t="shared" si="3"/>
        <v>#NAME?</v>
      </c>
      <c r="CB27" s="46"/>
      <c r="CC27" s="23"/>
      <c r="CD27" s="46"/>
      <c r="CE27" s="23"/>
      <c r="CF27" s="46"/>
      <c r="CG27" s="23"/>
      <c r="CH27" s="1" t="e">
        <f t="shared" si="4"/>
        <v>#NAME?</v>
      </c>
      <c r="CK27" s="1" t="s">
        <v>51</v>
      </c>
      <c r="CL27" s="1" t="s">
        <v>147</v>
      </c>
      <c r="CM27" s="1" t="s">
        <v>53</v>
      </c>
      <c r="CN27" s="1" t="s">
        <v>148</v>
      </c>
      <c r="CO27" s="1" t="s">
        <v>55</v>
      </c>
      <c r="CP27" s="1" t="s">
        <v>96</v>
      </c>
      <c r="CQ27" s="1" t="s">
        <v>57</v>
      </c>
      <c r="CR27" s="1" t="s">
        <v>149</v>
      </c>
      <c r="FZ27" s="1">
        <f t="shared" si="5"/>
        <v>0</v>
      </c>
      <c r="GA27" s="1">
        <f t="shared" si="6"/>
        <v>45955</v>
      </c>
      <c r="GB27" s="1">
        <f t="shared" ca="1" si="7"/>
        <v>0.56666666666666665</v>
      </c>
      <c r="GC27" s="52" t="e">
        <v>#NAME?</v>
      </c>
      <c r="GD27" s="1" t="e">
        <v>#NAME?</v>
      </c>
    </row>
    <row r="28" spans="1:186" x14ac:dyDescent="0.2">
      <c r="A28" s="1" t="s">
        <v>241</v>
      </c>
      <c r="B28" s="101" t="s">
        <v>173</v>
      </c>
      <c r="C28" s="101" t="s">
        <v>173</v>
      </c>
      <c r="D28" s="1">
        <v>70622593</v>
      </c>
      <c r="E28" s="1" t="s">
        <v>92</v>
      </c>
      <c r="G28" s="1" t="s">
        <v>174</v>
      </c>
      <c r="H28" s="1" t="s">
        <v>67</v>
      </c>
      <c r="I28" s="1" t="s">
        <v>430</v>
      </c>
      <c r="J28" s="1">
        <v>119.25</v>
      </c>
      <c r="K28" s="1" t="s">
        <v>240</v>
      </c>
      <c r="L28" s="1" t="s">
        <v>99</v>
      </c>
      <c r="M28" s="1">
        <v>100000000</v>
      </c>
      <c r="N28" s="1">
        <v>100932757.36</v>
      </c>
      <c r="O28" s="42">
        <v>1.0093275736</v>
      </c>
      <c r="P28" s="1">
        <v>100134446.25</v>
      </c>
      <c r="Q28" s="42">
        <v>1.0013444625000001</v>
      </c>
      <c r="R28" s="1">
        <v>798311.11</v>
      </c>
      <c r="S28" s="42">
        <v>7.9831111000000007E-3</v>
      </c>
      <c r="T28" s="1">
        <v>0.3</v>
      </c>
      <c r="U28" s="1">
        <v>-3241</v>
      </c>
      <c r="W28" s="1" t="s">
        <v>79</v>
      </c>
      <c r="X28" s="1" t="s">
        <v>71</v>
      </c>
      <c r="Y28" s="1">
        <v>4.125</v>
      </c>
      <c r="AA28" s="1" t="s">
        <v>240</v>
      </c>
      <c r="AB28" s="1" t="s">
        <v>99</v>
      </c>
      <c r="AD28" s="1">
        <v>100000000</v>
      </c>
      <c r="AE28" s="1">
        <v>-102786560.33</v>
      </c>
      <c r="AF28" s="42">
        <v>-1.0278656033</v>
      </c>
      <c r="AG28" s="1">
        <v>-99995121.980000004</v>
      </c>
      <c r="AH28" s="42">
        <v>-0.99995121980000001</v>
      </c>
      <c r="AI28" s="1">
        <v>-2791438.36</v>
      </c>
      <c r="AJ28" s="42">
        <v>-2.7914383599999999E-2</v>
      </c>
      <c r="AK28" s="1">
        <v>-0.3</v>
      </c>
      <c r="AL28" s="1">
        <v>3300</v>
      </c>
      <c r="AN28" s="48">
        <v>-1853802.97</v>
      </c>
      <c r="AO28" s="42">
        <v>-1.85380297E-2</v>
      </c>
      <c r="AQ28" s="42"/>
      <c r="AS28" s="42"/>
      <c r="AT28" s="46"/>
      <c r="AU28" s="46"/>
      <c r="AW28" s="46"/>
      <c r="AX28" s="48" t="e">
        <f>+INDEX('IFT précédent'!$AO$7:$AO$82,MATCH('analyse trimestrielle'!A28,'IFT précédent'!$B$7:$B$82,0))</f>
        <v>#N/A</v>
      </c>
      <c r="AY28" s="52" t="e">
        <f>+INDEX('IFT précédent'!$AP$7:$AP$82,MATCH('analyse trimestrielle'!A28,'IFT précédent'!$B$7:$B$82,0))</f>
        <v>#N/A</v>
      </c>
      <c r="AZ28" s="58" t="e">
        <f t="shared" si="0"/>
        <v>#N/A</v>
      </c>
      <c r="BA28" s="65" t="e">
        <f t="shared" si="1"/>
        <v>#N/A</v>
      </c>
      <c r="BB28" s="48"/>
      <c r="BC28" s="23"/>
      <c r="BE28" s="46">
        <v>-517327.31415605079</v>
      </c>
      <c r="BF28" s="23">
        <v>-2.4356040339535822E-2</v>
      </c>
      <c r="BG28" s="46">
        <v>-177668.08942149029</v>
      </c>
      <c r="BH28" s="23">
        <v>-8.3647065109203889E-3</v>
      </c>
      <c r="BI28" s="46">
        <v>-339659.22473456047</v>
      </c>
      <c r="BJ28" s="23">
        <v>-1.5991333828615433E-2</v>
      </c>
      <c r="BL28" s="46"/>
      <c r="BM28" s="23"/>
      <c r="BN28" s="46"/>
      <c r="BO28" s="23"/>
      <c r="BP28" s="46"/>
      <c r="BQ28" s="23"/>
      <c r="BR28" s="1" t="e">
        <f t="shared" si="2"/>
        <v>#NAME?</v>
      </c>
      <c r="BT28" s="46">
        <v>-1873.6858439492062</v>
      </c>
      <c r="BU28" s="23">
        <v>-8.8214108843822497E-5</v>
      </c>
      <c r="BV28" s="46">
        <v>-4671.9105785097054</v>
      </c>
      <c r="BW28" s="23">
        <v>-2.1995599188207905E-4</v>
      </c>
      <c r="BX28" s="46">
        <v>2798.2247345604701</v>
      </c>
      <c r="BY28" s="23">
        <v>1.3174188303825829E-4</v>
      </c>
      <c r="BZ28" s="1" t="e">
        <f t="shared" si="3"/>
        <v>#NAME?</v>
      </c>
      <c r="CB28" s="46"/>
      <c r="CC28" s="23"/>
      <c r="CD28" s="46"/>
      <c r="CE28" s="23"/>
      <c r="CF28" s="46"/>
      <c r="CG28" s="23"/>
      <c r="CH28" s="1" t="e">
        <f t="shared" si="4"/>
        <v>#NAME?</v>
      </c>
      <c r="CK28" s="1" t="s">
        <v>51</v>
      </c>
      <c r="CL28" s="1" t="s">
        <v>150</v>
      </c>
      <c r="CM28" s="1" t="s">
        <v>53</v>
      </c>
      <c r="CN28" s="1" t="s">
        <v>151</v>
      </c>
      <c r="CO28" s="1" t="s">
        <v>55</v>
      </c>
      <c r="CP28" s="1" t="s">
        <v>152</v>
      </c>
      <c r="CQ28" s="1" t="s">
        <v>57</v>
      </c>
      <c r="CR28" s="1" t="s">
        <v>153</v>
      </c>
      <c r="FZ28" s="1">
        <f t="shared" si="5"/>
        <v>0</v>
      </c>
      <c r="GA28" s="1">
        <f t="shared" si="6"/>
        <v>45397</v>
      </c>
      <c r="GB28" s="1">
        <f t="shared" ca="1" si="7"/>
        <v>0.96111111111111114</v>
      </c>
      <c r="GC28" s="52" t="e">
        <v>#NAME?</v>
      </c>
      <c r="GD28" s="1" t="e">
        <v>#NAME?</v>
      </c>
    </row>
    <row r="29" spans="1:186" x14ac:dyDescent="0.2">
      <c r="A29" s="1" t="s">
        <v>58</v>
      </c>
      <c r="B29" s="101" t="s">
        <v>81</v>
      </c>
      <c r="C29" s="101" t="s">
        <v>81</v>
      </c>
      <c r="D29" s="1">
        <v>71350137</v>
      </c>
      <c r="E29" s="1" t="s">
        <v>43</v>
      </c>
      <c r="G29" s="1" t="s">
        <v>84</v>
      </c>
      <c r="H29" s="1" t="s">
        <v>71</v>
      </c>
      <c r="I29" s="1" t="s">
        <v>47</v>
      </c>
      <c r="J29" s="1">
        <v>0</v>
      </c>
      <c r="K29" s="1" t="s">
        <v>48</v>
      </c>
      <c r="L29" s="1" t="s">
        <v>45</v>
      </c>
      <c r="M29" s="1">
        <v>25000000</v>
      </c>
      <c r="N29" s="1">
        <v>-25300183.48</v>
      </c>
      <c r="O29" s="42">
        <v>-1.0120073392</v>
      </c>
      <c r="P29" s="1">
        <v>-25120677.23</v>
      </c>
      <c r="Q29" s="42">
        <v>-1.0048270892</v>
      </c>
      <c r="R29" s="1">
        <v>-179506.25</v>
      </c>
      <c r="S29" s="42">
        <v>-7.18025E-3</v>
      </c>
      <c r="T29" s="1">
        <v>0.1</v>
      </c>
      <c r="W29" s="1" t="s">
        <v>79</v>
      </c>
      <c r="X29" s="1" t="s">
        <v>67</v>
      </c>
      <c r="Y29" s="1">
        <v>0.82299999999999995</v>
      </c>
      <c r="AA29" s="1" t="s">
        <v>48</v>
      </c>
      <c r="AB29" s="1" t="s">
        <v>45</v>
      </c>
      <c r="AD29" s="1">
        <v>25000000</v>
      </c>
      <c r="AE29" s="1">
        <v>23625114.780000001</v>
      </c>
      <c r="AF29" s="42">
        <v>0.94500459120000002</v>
      </c>
      <c r="AG29" s="1">
        <v>23589680.059999999</v>
      </c>
      <c r="AH29" s="42">
        <v>0.94358720239999994</v>
      </c>
      <c r="AI29" s="1">
        <v>35434.720000000001</v>
      </c>
      <c r="AJ29" s="42">
        <v>1.4173888E-3</v>
      </c>
      <c r="AK29" s="1">
        <v>-1.7000000000000001E-2</v>
      </c>
      <c r="AL29" s="1">
        <v>0</v>
      </c>
      <c r="AN29" s="48">
        <v>-1675068.7</v>
      </c>
      <c r="AO29" s="42">
        <v>-6.7002748000000001E-2</v>
      </c>
      <c r="AQ29" s="42"/>
      <c r="AS29" s="42"/>
      <c r="AT29" s="46"/>
      <c r="AU29" s="46"/>
      <c r="AW29" s="46"/>
      <c r="AX29" s="48" t="e">
        <f>+INDEX('IFT précédent'!$AO$7:$AO$82,MATCH('analyse trimestrielle'!A29,'IFT précédent'!$B$7:$B$82,0))</f>
        <v>#N/A</v>
      </c>
      <c r="AY29" s="52" t="e">
        <f>+INDEX('IFT précédent'!$AP$7:$AP$82,MATCH('analyse trimestrielle'!A29,'IFT précédent'!$B$7:$B$82,0))</f>
        <v>#N/A</v>
      </c>
      <c r="AZ29" s="58" t="e">
        <f t="shared" si="0"/>
        <v>#N/A</v>
      </c>
      <c r="BA29" s="65" t="e">
        <f t="shared" si="1"/>
        <v>#N/A</v>
      </c>
      <c r="BB29" s="48"/>
      <c r="BC29" s="23"/>
      <c r="BE29" s="46">
        <v>275853.67265913379</v>
      </c>
      <c r="BF29" s="23">
        <v>3.2431964342024784E-2</v>
      </c>
      <c r="BG29" s="46">
        <v>309058.43707734445</v>
      </c>
      <c r="BH29" s="23">
        <v>3.6335830204008206E-2</v>
      </c>
      <c r="BI29" s="46">
        <v>-33204.76441821066</v>
      </c>
      <c r="BJ29" s="23">
        <v>-3.9038658619834203E-3</v>
      </c>
      <c r="BL29" s="46"/>
      <c r="BM29" s="23"/>
      <c r="BN29" s="46"/>
      <c r="BO29" s="23"/>
      <c r="BP29" s="46"/>
      <c r="BQ29" s="23"/>
      <c r="BR29" s="1" t="e">
        <f t="shared" si="2"/>
        <v>#NAME?</v>
      </c>
      <c r="BT29" s="46">
        <v>10751.327340866206</v>
      </c>
      <c r="BU29" s="23">
        <v>1.2640276331548975E-3</v>
      </c>
      <c r="BV29" s="46">
        <v>10055.562922655547</v>
      </c>
      <c r="BW29" s="23">
        <v>1.1822269937639476E-3</v>
      </c>
      <c r="BX29" s="46">
        <v>694.76441821065964</v>
      </c>
      <c r="BY29" s="23">
        <v>8.1683069941790136E-5</v>
      </c>
      <c r="BZ29" s="1" t="e">
        <f t="shared" si="3"/>
        <v>#NAME?</v>
      </c>
      <c r="CB29" s="46"/>
      <c r="CC29" s="23"/>
      <c r="CD29" s="46"/>
      <c r="CE29" s="23"/>
      <c r="CF29" s="46"/>
      <c r="CG29" s="23"/>
      <c r="CH29" s="1" t="e">
        <f t="shared" si="4"/>
        <v>#NAME?</v>
      </c>
      <c r="CK29" s="1" t="s">
        <v>51</v>
      </c>
      <c r="CL29" s="1" t="s">
        <v>154</v>
      </c>
      <c r="CM29" s="1" t="s">
        <v>53</v>
      </c>
      <c r="CN29" s="1" t="s">
        <v>155</v>
      </c>
      <c r="CO29" s="1" t="s">
        <v>55</v>
      </c>
      <c r="CP29" s="1" t="s">
        <v>102</v>
      </c>
      <c r="CQ29" s="1" t="s">
        <v>57</v>
      </c>
      <c r="CR29" s="1" t="s">
        <v>156</v>
      </c>
      <c r="FZ29" s="1">
        <f t="shared" si="5"/>
        <v>0</v>
      </c>
      <c r="GA29" s="1">
        <f t="shared" si="6"/>
        <v>46678</v>
      </c>
      <c r="GB29" s="1">
        <f t="shared" ca="1" si="7"/>
        <v>2.5472222222222221</v>
      </c>
      <c r="GC29" s="52" t="e">
        <v>#NAME?</v>
      </c>
      <c r="GD29" s="1" t="e">
        <v>#NAME?</v>
      </c>
    </row>
    <row r="30" spans="1:186" x14ac:dyDescent="0.2">
      <c r="A30" s="1" t="s">
        <v>62</v>
      </c>
      <c r="B30" s="101" t="s">
        <v>81</v>
      </c>
      <c r="C30" s="101" t="s">
        <v>81</v>
      </c>
      <c r="D30" s="1">
        <v>71351982</v>
      </c>
      <c r="E30" s="1" t="s">
        <v>59</v>
      </c>
      <c r="G30" s="1" t="s">
        <v>84</v>
      </c>
      <c r="H30" s="1" t="s">
        <v>71</v>
      </c>
      <c r="I30" s="1" t="s">
        <v>47</v>
      </c>
      <c r="J30" s="1">
        <v>0</v>
      </c>
      <c r="K30" s="1" t="s">
        <v>48</v>
      </c>
      <c r="L30" s="1" t="s">
        <v>45</v>
      </c>
      <c r="M30" s="1">
        <v>25000000</v>
      </c>
      <c r="N30" s="1">
        <v>-25300183.48</v>
      </c>
      <c r="O30" s="42">
        <v>-1.0120073392</v>
      </c>
      <c r="P30" s="1">
        <v>-25120677.23</v>
      </c>
      <c r="Q30" s="42">
        <v>-1.0048270892</v>
      </c>
      <c r="R30" s="1">
        <v>-179506.25</v>
      </c>
      <c r="S30" s="42">
        <v>-7.18025E-3</v>
      </c>
      <c r="T30" s="1">
        <v>0.1</v>
      </c>
      <c r="W30" s="1" t="s">
        <v>79</v>
      </c>
      <c r="X30" s="1" t="s">
        <v>67</v>
      </c>
      <c r="Y30" s="1">
        <v>0.81</v>
      </c>
      <c r="AA30" s="1" t="s">
        <v>48</v>
      </c>
      <c r="AB30" s="1" t="s">
        <v>45</v>
      </c>
      <c r="AD30" s="1">
        <v>25000000</v>
      </c>
      <c r="AE30" s="1">
        <v>23612871.440000001</v>
      </c>
      <c r="AF30" s="42">
        <v>0.94451485760000009</v>
      </c>
      <c r="AG30" s="1">
        <v>23577996.440000001</v>
      </c>
      <c r="AH30" s="42">
        <v>0.94311985760000006</v>
      </c>
      <c r="AI30" s="1">
        <v>34875</v>
      </c>
      <c r="AJ30" s="42">
        <v>1.395E-3</v>
      </c>
      <c r="AK30" s="1">
        <v>-1.7000000000000001E-2</v>
      </c>
      <c r="AL30" s="1">
        <v>0</v>
      </c>
      <c r="AN30" s="48">
        <v>-1687312.03</v>
      </c>
      <c r="AO30" s="42">
        <v>-6.7492481199999996E-2</v>
      </c>
      <c r="AQ30" s="42"/>
      <c r="AS30" s="42"/>
      <c r="AT30" s="46"/>
      <c r="AU30" s="46"/>
      <c r="AW30" s="46"/>
      <c r="AX30" s="48" t="e">
        <f>+INDEX('IFT précédent'!$AO$7:$AO$82,MATCH('analyse trimestrielle'!A30,'IFT précédent'!$B$7:$B$82,0))</f>
        <v>#N/A</v>
      </c>
      <c r="AY30" s="52" t="e">
        <f>+INDEX('IFT précédent'!$AP$7:$AP$82,MATCH('analyse trimestrielle'!A30,'IFT précédent'!$B$7:$B$82,0))</f>
        <v>#N/A</v>
      </c>
      <c r="AZ30" s="58" t="e">
        <f t="shared" si="0"/>
        <v>#N/A</v>
      </c>
      <c r="BA30" s="65" t="e">
        <f t="shared" si="1"/>
        <v>#N/A</v>
      </c>
      <c r="BB30" s="48"/>
      <c r="BC30" s="23"/>
      <c r="BE30" s="46">
        <v>-1547442.4360536251</v>
      </c>
      <c r="BF30" s="23">
        <v>-0.14156232654543929</v>
      </c>
      <c r="BG30" s="46">
        <v>-1521056.5768314437</v>
      </c>
      <c r="BH30" s="23">
        <v>-0.13914850905383794</v>
      </c>
      <c r="BI30" s="46">
        <v>-26385.859222181374</v>
      </c>
      <c r="BJ30" s="23">
        <v>-2.4138174916013412E-3</v>
      </c>
      <c r="BL30" s="46"/>
      <c r="BM30" s="23"/>
      <c r="BN30" s="46"/>
      <c r="BO30" s="23"/>
      <c r="BP30" s="46"/>
      <c r="BQ30" s="23"/>
      <c r="BR30" s="1" t="e">
        <f t="shared" si="2"/>
        <v>#NAME?</v>
      </c>
      <c r="BT30" s="46">
        <v>-19522.563946374925</v>
      </c>
      <c r="BU30" s="23">
        <v>-1.7859530719791794E-3</v>
      </c>
      <c r="BV30" s="46">
        <v>-19409.423168556299</v>
      </c>
      <c r="BW30" s="23">
        <v>-1.7756027860092727E-3</v>
      </c>
      <c r="BX30" s="46">
        <v>-112.14077781862579</v>
      </c>
      <c r="BY30" s="23">
        <v>-1.0258804488459759E-5</v>
      </c>
      <c r="BZ30" s="1" t="e">
        <f t="shared" si="3"/>
        <v>#NAME?</v>
      </c>
      <c r="CB30" s="46"/>
      <c r="CC30" s="23"/>
      <c r="CD30" s="46"/>
      <c r="CE30" s="23"/>
      <c r="CF30" s="46"/>
      <c r="CG30" s="23"/>
      <c r="CH30" s="1" t="e">
        <f t="shared" si="4"/>
        <v>#NAME?</v>
      </c>
      <c r="CK30" s="1" t="s">
        <v>51</v>
      </c>
      <c r="CL30" s="1" t="s">
        <v>158</v>
      </c>
      <c r="CM30" s="1" t="s">
        <v>53</v>
      </c>
      <c r="CN30" s="1" t="s">
        <v>159</v>
      </c>
      <c r="CO30" s="1" t="s">
        <v>55</v>
      </c>
      <c r="CP30" s="1" t="s">
        <v>160</v>
      </c>
      <c r="CQ30" s="1" t="s">
        <v>57</v>
      </c>
      <c r="CR30" s="1" t="s">
        <v>161</v>
      </c>
      <c r="FZ30" s="1">
        <f t="shared" si="5"/>
        <v>9.9999979138374329E-3</v>
      </c>
      <c r="GA30" s="1">
        <f t="shared" si="6"/>
        <v>46678</v>
      </c>
      <c r="GB30" s="1">
        <f t="shared" ca="1" si="7"/>
        <v>2.5472222222222221</v>
      </c>
      <c r="GC30" s="52" t="e">
        <v>#NAME?</v>
      </c>
      <c r="GD30" s="1" t="e">
        <v>#NAME?</v>
      </c>
    </row>
    <row r="31" spans="1:186" x14ac:dyDescent="0.2">
      <c r="A31" s="1" t="s">
        <v>251</v>
      </c>
      <c r="B31" s="101" t="s">
        <v>81</v>
      </c>
      <c r="C31" s="101" t="s">
        <v>81</v>
      </c>
      <c r="D31" s="1">
        <v>71351981</v>
      </c>
      <c r="E31" s="1" t="s">
        <v>305</v>
      </c>
      <c r="G31" s="1" t="s">
        <v>84</v>
      </c>
      <c r="H31" s="1" t="s">
        <v>71</v>
      </c>
      <c r="I31" s="1" t="s">
        <v>47</v>
      </c>
      <c r="J31" s="1">
        <v>0</v>
      </c>
      <c r="K31" s="1" t="s">
        <v>48</v>
      </c>
      <c r="L31" s="1" t="s">
        <v>45</v>
      </c>
      <c r="M31" s="1">
        <v>25000000</v>
      </c>
      <c r="N31" s="1">
        <v>-25380894.359999999</v>
      </c>
      <c r="O31" s="42">
        <v>-1.0152357744</v>
      </c>
      <c r="P31" s="1">
        <v>-25201388.109999999</v>
      </c>
      <c r="Q31" s="42">
        <v>-1.0080555244</v>
      </c>
      <c r="R31" s="1">
        <v>-179506.25</v>
      </c>
      <c r="S31" s="42">
        <v>-7.18025E-3</v>
      </c>
      <c r="T31" s="1">
        <v>0.1</v>
      </c>
      <c r="U31" s="1">
        <v>-267</v>
      </c>
      <c r="W31" s="1" t="s">
        <v>79</v>
      </c>
      <c r="X31" s="1" t="s">
        <v>67</v>
      </c>
      <c r="Y31" s="1">
        <v>0.83150000000000002</v>
      </c>
      <c r="AA31" s="1" t="s">
        <v>48</v>
      </c>
      <c r="AB31" s="1" t="s">
        <v>45</v>
      </c>
      <c r="AD31" s="1">
        <v>25000000</v>
      </c>
      <c r="AE31" s="1">
        <v>23708744.41</v>
      </c>
      <c r="AF31" s="42">
        <v>0.94834977639999996</v>
      </c>
      <c r="AG31" s="1">
        <v>23672943.719999999</v>
      </c>
      <c r="AH31" s="42">
        <v>0.9469177487999999</v>
      </c>
      <c r="AI31" s="1">
        <v>35800.69</v>
      </c>
      <c r="AJ31" s="42">
        <v>1.4320276000000002E-3</v>
      </c>
      <c r="AK31" s="1">
        <v>3.7</v>
      </c>
      <c r="AL31" s="1">
        <v>-8799</v>
      </c>
      <c r="AN31" s="48">
        <v>-1672149.95</v>
      </c>
      <c r="AO31" s="42">
        <v>-6.6885998000000002E-2</v>
      </c>
      <c r="AQ31" s="42"/>
      <c r="AS31" s="42"/>
      <c r="AT31" s="46"/>
      <c r="AU31" s="46"/>
      <c r="AW31" s="46"/>
      <c r="AX31" s="48" t="e">
        <f>+INDEX('IFT précédent'!$AO$7:$AO$82,MATCH('analyse trimestrielle'!A31,'IFT précédent'!$B$7:$B$82,0))</f>
        <v>#N/A</v>
      </c>
      <c r="AY31" s="52" t="e">
        <f>+INDEX('IFT précédent'!$AP$7:$AP$82,MATCH('analyse trimestrielle'!A31,'IFT précédent'!$B$7:$B$82,0))</f>
        <v>#N/A</v>
      </c>
      <c r="AZ31" s="58" t="e">
        <f t="shared" si="0"/>
        <v>#N/A</v>
      </c>
      <c r="BA31" s="65" t="e">
        <f t="shared" si="1"/>
        <v>#N/A</v>
      </c>
      <c r="BB31" s="48"/>
      <c r="BC31" s="23"/>
      <c r="BE31" s="46">
        <v>539054.9492439325</v>
      </c>
      <c r="BF31" s="23">
        <v>3.0499729035773433E-2</v>
      </c>
      <c r="BG31" s="46">
        <v>669061.8229642089</v>
      </c>
      <c r="BH31" s="23">
        <v>3.7855517952687961E-2</v>
      </c>
      <c r="BI31" s="46">
        <v>-130006.87372027634</v>
      </c>
      <c r="BJ31" s="23">
        <v>-7.3557889169145281E-3</v>
      </c>
      <c r="BL31" s="46"/>
      <c r="BM31" s="23"/>
      <c r="BN31" s="46"/>
      <c r="BO31" s="23"/>
      <c r="BP31" s="46"/>
      <c r="BQ31" s="23"/>
      <c r="BR31" s="1" t="e">
        <f t="shared" si="2"/>
        <v>#NAME?</v>
      </c>
      <c r="BT31" s="46">
        <v>9903.0507560675032</v>
      </c>
      <c r="BU31" s="23">
        <v>5.6031461191703366E-4</v>
      </c>
      <c r="BV31" s="46">
        <v>9951.1770357911009</v>
      </c>
      <c r="BW31" s="23">
        <v>5.6303759682446719E-4</v>
      </c>
      <c r="BX31" s="46">
        <v>-48.126279723655898</v>
      </c>
      <c r="BY31" s="23">
        <v>-2.722984907438733E-6</v>
      </c>
      <c r="BZ31" s="1" t="e">
        <f t="shared" si="3"/>
        <v>#NAME?</v>
      </c>
      <c r="CB31" s="46"/>
      <c r="CC31" s="23"/>
      <c r="CD31" s="46"/>
      <c r="CE31" s="23"/>
      <c r="CF31" s="46"/>
      <c r="CG31" s="23"/>
      <c r="CH31" s="1" t="e">
        <f t="shared" si="4"/>
        <v>#NAME?</v>
      </c>
      <c r="CK31" s="1" t="s">
        <v>51</v>
      </c>
      <c r="CL31" s="1" t="s">
        <v>162</v>
      </c>
      <c r="CM31" s="1" t="s">
        <v>53</v>
      </c>
      <c r="CN31" s="1" t="s">
        <v>163</v>
      </c>
      <c r="CO31" s="1" t="s">
        <v>55</v>
      </c>
      <c r="CP31" s="1" t="s">
        <v>96</v>
      </c>
      <c r="CQ31" s="1" t="s">
        <v>57</v>
      </c>
      <c r="CR31" s="1" t="s">
        <v>164</v>
      </c>
      <c r="FZ31" s="1">
        <f t="shared" si="5"/>
        <v>0</v>
      </c>
      <c r="GA31" s="1">
        <f t="shared" si="6"/>
        <v>46678</v>
      </c>
      <c r="GB31" s="1">
        <f t="shared" ca="1" si="7"/>
        <v>2.5472222222222221</v>
      </c>
      <c r="GC31" s="52" t="e">
        <v>#NAME?</v>
      </c>
      <c r="GD31" s="1" t="e">
        <v>#NAME?</v>
      </c>
    </row>
    <row r="32" spans="1:186" x14ac:dyDescent="0.2">
      <c r="A32" s="1" t="s">
        <v>254</v>
      </c>
      <c r="B32" s="101" t="s">
        <v>81</v>
      </c>
      <c r="C32" s="101" t="s">
        <v>81</v>
      </c>
      <c r="D32" s="1">
        <v>71350136</v>
      </c>
      <c r="E32" s="1" t="s">
        <v>306</v>
      </c>
      <c r="G32" s="1" t="s">
        <v>84</v>
      </c>
      <c r="H32" s="1" t="s">
        <v>71</v>
      </c>
      <c r="I32" s="1" t="s">
        <v>47</v>
      </c>
      <c r="J32" s="1">
        <v>0</v>
      </c>
      <c r="K32" s="1" t="s">
        <v>48</v>
      </c>
      <c r="L32" s="1" t="s">
        <v>45</v>
      </c>
      <c r="M32" s="1">
        <v>25000000</v>
      </c>
      <c r="N32" s="1">
        <v>-25380894.359999999</v>
      </c>
      <c r="O32" s="42">
        <v>-1.0152357744</v>
      </c>
      <c r="P32" s="1">
        <v>-25201388.109999999</v>
      </c>
      <c r="Q32" s="42">
        <v>-1.0080555244</v>
      </c>
      <c r="R32" s="1">
        <v>-179506.25</v>
      </c>
      <c r="S32" s="42">
        <v>-7.18025E-3</v>
      </c>
      <c r="T32" s="1">
        <v>0.1</v>
      </c>
      <c r="U32" s="1">
        <v>-267</v>
      </c>
      <c r="W32" s="1" t="s">
        <v>79</v>
      </c>
      <c r="X32" s="1" t="s">
        <v>67</v>
      </c>
      <c r="Y32" s="1">
        <v>0.84599999999999997</v>
      </c>
      <c r="AA32" s="1" t="s">
        <v>48</v>
      </c>
      <c r="AB32" s="1" t="s">
        <v>45</v>
      </c>
      <c r="AD32" s="1">
        <v>25000000</v>
      </c>
      <c r="AE32" s="1">
        <v>23722427.300000001</v>
      </c>
      <c r="AF32" s="42">
        <v>0.94889709200000005</v>
      </c>
      <c r="AG32" s="1">
        <v>23686002.300000001</v>
      </c>
      <c r="AH32" s="42">
        <v>0.94744009200000001</v>
      </c>
      <c r="AI32" s="1">
        <v>36425</v>
      </c>
      <c r="AJ32" s="42">
        <v>1.457E-3</v>
      </c>
      <c r="AK32" s="1">
        <v>3.722</v>
      </c>
      <c r="AL32" s="1">
        <v>-8802</v>
      </c>
      <c r="AN32" s="48">
        <v>-1658467.06</v>
      </c>
      <c r="AO32" s="42">
        <v>-6.6338682400000001E-2</v>
      </c>
      <c r="AQ32" s="42"/>
      <c r="AS32" s="42"/>
      <c r="AT32" s="46"/>
      <c r="AU32" s="46"/>
      <c r="AW32" s="46"/>
      <c r="AX32" s="48" t="e">
        <f>+INDEX('IFT précédent'!$AO$7:$AO$82,MATCH('analyse trimestrielle'!A32,'IFT précédent'!$B$7:$B$82,0))</f>
        <v>#N/A</v>
      </c>
      <c r="AY32" s="52" t="e">
        <f>+INDEX('IFT précédent'!$AP$7:$AP$82,MATCH('analyse trimestrielle'!A32,'IFT précédent'!$B$7:$B$82,0))</f>
        <v>#N/A</v>
      </c>
      <c r="AZ32" s="58" t="e">
        <f t="shared" si="0"/>
        <v>#N/A</v>
      </c>
      <c r="BA32" s="65" t="e">
        <f t="shared" si="1"/>
        <v>#N/A</v>
      </c>
      <c r="BB32" s="48"/>
      <c r="BC32" s="23"/>
      <c r="BE32" s="46">
        <v>-78757.501549382316</v>
      </c>
      <c r="BF32" s="23">
        <v>-1.6873794721761915E-2</v>
      </c>
      <c r="BG32" s="46">
        <v>-3663.9419973551121</v>
      </c>
      <c r="BH32" s="23">
        <v>-7.8499957362216982E-4</v>
      </c>
      <c r="BI32" s="46">
        <v>-75093.559552027204</v>
      </c>
      <c r="BJ32" s="23">
        <v>-1.6088795148139746E-2</v>
      </c>
      <c r="BL32" s="46"/>
      <c r="BM32" s="23"/>
      <c r="BN32" s="46"/>
      <c r="BO32" s="23"/>
      <c r="BP32" s="46"/>
      <c r="BQ32" s="23"/>
      <c r="BR32" s="1" t="e">
        <f t="shared" si="2"/>
        <v>#NAME?</v>
      </c>
      <c r="BT32" s="46">
        <v>-422.49845061768428</v>
      </c>
      <c r="BU32" s="23">
        <v>-9.0520293124271567E-5</v>
      </c>
      <c r="BV32" s="46">
        <v>-1021.0580026448879</v>
      </c>
      <c r="BW32" s="23">
        <v>-2.1876167725863062E-4</v>
      </c>
      <c r="BX32" s="46">
        <v>598.55955202720361</v>
      </c>
      <c r="BY32" s="23">
        <v>1.282413841343609E-4</v>
      </c>
      <c r="BZ32" s="1" t="e">
        <f t="shared" si="3"/>
        <v>#NAME?</v>
      </c>
      <c r="CB32" s="46"/>
      <c r="CC32" s="23"/>
      <c r="CD32" s="46"/>
      <c r="CE32" s="23"/>
      <c r="CF32" s="46"/>
      <c r="CG32" s="23"/>
      <c r="CH32" s="1" t="e">
        <f t="shared" si="4"/>
        <v>#NAME?</v>
      </c>
      <c r="CK32" s="1" t="s">
        <v>51</v>
      </c>
      <c r="CL32" s="1" t="s">
        <v>165</v>
      </c>
      <c r="CM32" s="1" t="s">
        <v>53</v>
      </c>
      <c r="CN32" s="1" t="s">
        <v>166</v>
      </c>
      <c r="CO32" s="1" t="s">
        <v>55</v>
      </c>
      <c r="CP32" s="1" t="s">
        <v>102</v>
      </c>
      <c r="CQ32" s="1" t="s">
        <v>57</v>
      </c>
      <c r="CR32" s="1" t="s">
        <v>167</v>
      </c>
      <c r="FZ32" s="1">
        <f t="shared" si="5"/>
        <v>0</v>
      </c>
      <c r="GA32" s="1">
        <f t="shared" si="6"/>
        <v>46678</v>
      </c>
      <c r="GB32" s="1">
        <f t="shared" ca="1" si="7"/>
        <v>2.5472222222222221</v>
      </c>
      <c r="GC32" s="52" t="e">
        <v>#NAME?</v>
      </c>
      <c r="GD32" s="1" t="e">
        <v>#NAME?</v>
      </c>
    </row>
    <row r="33" spans="1:186" x14ac:dyDescent="0.2">
      <c r="A33" s="1" t="s">
        <v>245</v>
      </c>
      <c r="B33" s="101" t="s">
        <v>173</v>
      </c>
      <c r="C33" s="101" t="s">
        <v>173</v>
      </c>
      <c r="D33" s="1">
        <v>67700735</v>
      </c>
      <c r="E33" s="1" t="s">
        <v>172</v>
      </c>
      <c r="G33" s="1" t="s">
        <v>174</v>
      </c>
      <c r="H33" s="1" t="s">
        <v>67</v>
      </c>
      <c r="I33" s="1" t="s">
        <v>430</v>
      </c>
      <c r="J33" s="1">
        <v>-62</v>
      </c>
      <c r="K33" s="1" t="s">
        <v>242</v>
      </c>
      <c r="L33" s="1" t="s">
        <v>243</v>
      </c>
      <c r="M33" s="1">
        <v>45000000</v>
      </c>
      <c r="N33" s="1">
        <v>44433001.600000001</v>
      </c>
      <c r="O33" s="42">
        <v>0.98740003555555556</v>
      </c>
      <c r="P33" s="1">
        <v>44331650.350000001</v>
      </c>
      <c r="Q33" s="42">
        <v>0.9851477855555556</v>
      </c>
      <c r="R33" s="1">
        <v>101351.25</v>
      </c>
      <c r="S33" s="42">
        <v>2.2522499999999999E-3</v>
      </c>
      <c r="T33" s="1">
        <v>0.1</v>
      </c>
      <c r="U33" s="1">
        <v>-473</v>
      </c>
      <c r="W33" s="1" t="s">
        <v>84</v>
      </c>
      <c r="X33" s="1" t="s">
        <v>71</v>
      </c>
      <c r="Y33" s="1" t="s">
        <v>244</v>
      </c>
      <c r="Z33" s="1">
        <v>5.4</v>
      </c>
      <c r="AA33" s="1" t="s">
        <v>242</v>
      </c>
      <c r="AB33" s="1" t="s">
        <v>243</v>
      </c>
      <c r="AD33" s="1">
        <v>45000000</v>
      </c>
      <c r="AE33" s="1">
        <v>-45241186.07</v>
      </c>
      <c r="AF33" s="42">
        <v>-1.0053596904444444</v>
      </c>
      <c r="AG33" s="1">
        <v>-45074206.07</v>
      </c>
      <c r="AH33" s="42">
        <v>-1.0016490237777778</v>
      </c>
      <c r="AI33" s="1">
        <v>-166980</v>
      </c>
      <c r="AJ33" s="42">
        <v>-3.7106666666666668E-3</v>
      </c>
      <c r="AK33" s="1">
        <v>-0.1</v>
      </c>
      <c r="AL33" s="1">
        <v>634</v>
      </c>
      <c r="AN33" s="48">
        <v>-808184.47</v>
      </c>
      <c r="AO33" s="42">
        <v>-1.7959654888888888E-2</v>
      </c>
      <c r="AQ33" s="42"/>
      <c r="AS33" s="42"/>
      <c r="AT33" s="46"/>
      <c r="AU33" s="46"/>
      <c r="AW33" s="46"/>
      <c r="AX33" s="48" t="e">
        <f>+INDEX('IFT précédent'!$AO$7:$AO$82,MATCH('analyse trimestrielle'!A33,'IFT précédent'!$B$7:$B$82,0))</f>
        <v>#N/A</v>
      </c>
      <c r="AY33" s="52" t="e">
        <f>+INDEX('IFT précédent'!$AP$7:$AP$82,MATCH('analyse trimestrielle'!A33,'IFT précédent'!$B$7:$B$82,0))</f>
        <v>#N/A</v>
      </c>
      <c r="AZ33" s="58" t="e">
        <f t="shared" si="0"/>
        <v>#N/A</v>
      </c>
      <c r="BA33" s="65" t="e">
        <f t="shared" si="1"/>
        <v>#N/A</v>
      </c>
      <c r="BB33" s="48"/>
      <c r="BC33" s="23"/>
      <c r="BE33" s="46">
        <v>274221.01554813527</v>
      </c>
      <c r="BF33" s="23">
        <v>3.1450310831661096E-2</v>
      </c>
      <c r="BG33" s="46">
        <v>313244.77365649072</v>
      </c>
      <c r="BH33" s="23">
        <v>3.5925931782426257E-2</v>
      </c>
      <c r="BI33" s="46">
        <v>-39023.758108355469</v>
      </c>
      <c r="BJ33" s="23">
        <v>-4.4756209507651658E-3</v>
      </c>
      <c r="BL33" s="46"/>
      <c r="BM33" s="23"/>
      <c r="BN33" s="46"/>
      <c r="BO33" s="23"/>
      <c r="BP33" s="46"/>
      <c r="BQ33" s="23"/>
      <c r="BR33" s="1" t="e">
        <f t="shared" si="2"/>
        <v>#NAME?</v>
      </c>
      <c r="BT33" s="46">
        <v>-1690.0155481352704</v>
      </c>
      <c r="BU33" s="23">
        <v>-1.9382728268638183E-4</v>
      </c>
      <c r="BV33" s="46">
        <v>-1678.7736564907245</v>
      </c>
      <c r="BW33" s="23">
        <v>-1.9253795412835228E-4</v>
      </c>
      <c r="BX33" s="46">
        <v>-11.241891644531279</v>
      </c>
      <c r="BY33" s="23">
        <v>-1.2893285580226066E-6</v>
      </c>
      <c r="BZ33" s="1" t="e">
        <f t="shared" si="3"/>
        <v>#NAME?</v>
      </c>
      <c r="CB33" s="46"/>
      <c r="CC33" s="23"/>
      <c r="CD33" s="46"/>
      <c r="CE33" s="23"/>
      <c r="CF33" s="46"/>
      <c r="CG33" s="23"/>
      <c r="CH33" s="1" t="e">
        <f t="shared" si="4"/>
        <v>#NAME?</v>
      </c>
      <c r="CK33" s="1" t="s">
        <v>51</v>
      </c>
      <c r="CL33" s="1" t="s">
        <v>169</v>
      </c>
      <c r="CM33" s="1" t="s">
        <v>53</v>
      </c>
      <c r="CN33" s="1" t="s">
        <v>170</v>
      </c>
      <c r="CO33" s="1" t="s">
        <v>55</v>
      </c>
      <c r="CP33" s="1" t="s">
        <v>96</v>
      </c>
      <c r="CQ33" s="1" t="s">
        <v>57</v>
      </c>
      <c r="CR33" s="1" t="s">
        <v>171</v>
      </c>
      <c r="FZ33" s="1">
        <f t="shared" si="5"/>
        <v>0</v>
      </c>
      <c r="GA33" s="1">
        <f t="shared" si="6"/>
        <v>45705</v>
      </c>
      <c r="GB33" s="1">
        <f t="shared" ca="1" si="7"/>
        <v>0.12222222222222222</v>
      </c>
      <c r="GC33" s="52" t="e">
        <v>#NAME?</v>
      </c>
      <c r="GD33" s="1" t="e">
        <v>#NAME?</v>
      </c>
    </row>
    <row r="34" spans="1:186" x14ac:dyDescent="0.2">
      <c r="A34" s="1" t="s">
        <v>103</v>
      </c>
      <c r="B34" s="101" t="s">
        <v>93</v>
      </c>
      <c r="C34" s="101" t="s">
        <v>93</v>
      </c>
      <c r="D34" s="1">
        <v>69781238</v>
      </c>
      <c r="E34" s="1" t="s">
        <v>75</v>
      </c>
      <c r="G34" s="1" t="s">
        <v>79</v>
      </c>
      <c r="H34" s="1" t="s">
        <v>67</v>
      </c>
      <c r="I34" s="1">
        <v>2.0074999999999998</v>
      </c>
      <c r="K34" s="1" t="s">
        <v>98</v>
      </c>
      <c r="L34" s="1" t="s">
        <v>99</v>
      </c>
      <c r="M34" s="1">
        <v>23428348</v>
      </c>
      <c r="N34" s="1">
        <v>23362598.890000001</v>
      </c>
      <c r="O34" s="42">
        <v>0.99719360878539109</v>
      </c>
      <c r="P34" s="1">
        <v>23277679.260000002</v>
      </c>
      <c r="Q34" s="42">
        <v>0.99356895586492067</v>
      </c>
      <c r="R34" s="1">
        <v>84919.63</v>
      </c>
      <c r="S34" s="42">
        <v>3.6246529204705343E-3</v>
      </c>
      <c r="T34" s="1" t="e">
        <f>VLOOKUP($A34,'TCD Sensi SD IPA'!$B$5:$H$36,3,FALSE)</f>
        <v>#N/A</v>
      </c>
      <c r="U34" s="1" t="e">
        <f>VLOOKUP($A34,'TCD Sensi SD IPA'!$B$5:$H$36,6,FALSE)</f>
        <v>#N/A</v>
      </c>
      <c r="W34" s="1" t="s">
        <v>79</v>
      </c>
      <c r="X34" s="1" t="s">
        <v>71</v>
      </c>
      <c r="Y34" s="1">
        <v>4</v>
      </c>
      <c r="AA34" s="1" t="s">
        <v>98</v>
      </c>
      <c r="AB34" s="1" t="s">
        <v>99</v>
      </c>
      <c r="AC34" s="1" t="s">
        <v>46</v>
      </c>
      <c r="AD34" s="1">
        <v>30000000</v>
      </c>
      <c r="AE34" s="1">
        <v>-30071105.109999999</v>
      </c>
      <c r="AF34" s="42">
        <v>-1.0023701703333334</v>
      </c>
      <c r="AG34" s="1">
        <v>-29857771.77</v>
      </c>
      <c r="AH34" s="42">
        <v>-0.995259059</v>
      </c>
      <c r="AI34" s="1">
        <v>-213333.33</v>
      </c>
      <c r="AJ34" s="42">
        <v>-7.1111109999999998E-3</v>
      </c>
      <c r="AK34" s="1" t="e">
        <f>VLOOKUP($A34,'TCD Sensi SD IPA'!$B$5:$H$36,4,FALSE)</f>
        <v>#N/A</v>
      </c>
      <c r="AL34" s="1" t="e">
        <f>VLOOKUP($A34,'TCD Sensi SD IPA'!$B$5:$H$36,7,FALSE)</f>
        <v>#N/A</v>
      </c>
      <c r="AN34" s="48">
        <v>-4040786.64</v>
      </c>
      <c r="AO34" s="42">
        <v>-0.17247424530316863</v>
      </c>
      <c r="AQ34" s="42"/>
      <c r="AS34" s="42"/>
      <c r="AT34" s="46"/>
      <c r="AU34" s="46"/>
      <c r="AW34" s="46"/>
      <c r="AX34" s="48" t="e">
        <f>+INDEX('IFT précédent'!$AO$7:$AO$82,MATCH('analyse trimestrielle'!A34,'IFT précédent'!$B$7:$B$82,0))</f>
        <v>#N/A</v>
      </c>
      <c r="AY34" s="52" t="e">
        <f>+INDEX('IFT précédent'!$AP$7:$AP$82,MATCH('analyse trimestrielle'!A34,'IFT précédent'!$B$7:$B$82,0))</f>
        <v>#N/A</v>
      </c>
      <c r="AZ34" s="58" t="e">
        <f t="shared" si="0"/>
        <v>#N/A</v>
      </c>
      <c r="BA34" s="65" t="e">
        <f>+AN34-AX34</f>
        <v>#N/A</v>
      </c>
      <c r="BB34" s="48"/>
      <c r="BC34" s="23"/>
      <c r="BE34" s="46">
        <v>-57724127.47622399</v>
      </c>
      <c r="BF34" s="23">
        <v>-0.3797639965541052</v>
      </c>
      <c r="BG34" s="46">
        <v>-56777241.365112878</v>
      </c>
      <c r="BH34" s="23">
        <v>-0.37353448266521633</v>
      </c>
      <c r="BI34" s="46">
        <v>-946886.11111111112</v>
      </c>
      <c r="BJ34" s="23">
        <v>-6.2295138888888886E-3</v>
      </c>
      <c r="BL34" s="46"/>
      <c r="BM34" s="23"/>
      <c r="BN34" s="46"/>
      <c r="BO34" s="23"/>
      <c r="BP34" s="46"/>
      <c r="BQ34" s="23"/>
      <c r="BR34" s="1" t="e">
        <f t="shared" si="2"/>
        <v>#NAME?</v>
      </c>
      <c r="BT34" s="46">
        <v>79435.476223990321</v>
      </c>
      <c r="BU34" s="23">
        <v>5.2260181726310195E-4</v>
      </c>
      <c r="BV34" s="46">
        <v>76881.365112878382</v>
      </c>
      <c r="BW34" s="23">
        <v>5.0579845469000961E-4</v>
      </c>
      <c r="BX34" s="46">
        <v>2554.111111111124</v>
      </c>
      <c r="BY34" s="23">
        <v>1.6803362573099279E-5</v>
      </c>
      <c r="BZ34" s="1" t="e">
        <f t="shared" si="3"/>
        <v>#NAME?</v>
      </c>
      <c r="CB34" s="46"/>
      <c r="CC34" s="23"/>
      <c r="CD34" s="46"/>
      <c r="CE34" s="23"/>
      <c r="CF34" s="46"/>
      <c r="CG34" s="23"/>
      <c r="CH34" s="1" t="e">
        <f t="shared" si="4"/>
        <v>#NAME?</v>
      </c>
      <c r="CK34" s="1" t="s">
        <v>51</v>
      </c>
      <c r="CL34" s="1" t="s">
        <v>177</v>
      </c>
      <c r="CM34" s="1" t="s">
        <v>53</v>
      </c>
      <c r="CN34" s="1" t="s">
        <v>178</v>
      </c>
      <c r="CO34" s="1" t="s">
        <v>55</v>
      </c>
      <c r="CP34" s="1" t="s">
        <v>179</v>
      </c>
      <c r="CQ34" s="1" t="s">
        <v>57</v>
      </c>
      <c r="CR34" s="1" t="s">
        <v>180</v>
      </c>
      <c r="FZ34" s="1">
        <f t="shared" si="5"/>
        <v>2667719.5799999982</v>
      </c>
      <c r="GA34" s="1">
        <f t="shared" si="6"/>
        <v>45397</v>
      </c>
      <c r="GB34" s="1">
        <f t="shared" ca="1" si="7"/>
        <v>0.96111111111111114</v>
      </c>
      <c r="GC34" s="52" t="e">
        <v>#NAME?</v>
      </c>
      <c r="GD34" s="1" t="e">
        <v>#NAME?</v>
      </c>
    </row>
    <row r="35" spans="1:186" x14ac:dyDescent="0.2">
      <c r="A35" s="1" t="s">
        <v>115</v>
      </c>
      <c r="B35" s="101" t="s">
        <v>93</v>
      </c>
      <c r="C35" s="101" t="s">
        <v>93</v>
      </c>
      <c r="D35" s="1">
        <v>69227200</v>
      </c>
      <c r="E35" s="1" t="s">
        <v>75</v>
      </c>
      <c r="G35" s="1" t="s">
        <v>79</v>
      </c>
      <c r="H35" s="1" t="s">
        <v>67</v>
      </c>
      <c r="I35" s="1">
        <v>3.3325</v>
      </c>
      <c r="K35" s="1" t="s">
        <v>111</v>
      </c>
      <c r="L35" s="1" t="s">
        <v>112</v>
      </c>
      <c r="M35" s="1">
        <v>7185629</v>
      </c>
      <c r="N35" s="1">
        <v>7528770.9900000002</v>
      </c>
      <c r="O35" s="42">
        <v>1.0477539252304844</v>
      </c>
      <c r="P35" s="1">
        <v>7520123.7800000003</v>
      </c>
      <c r="Q35" s="42">
        <v>1.0465505218819398</v>
      </c>
      <c r="R35" s="1">
        <v>8647.2099999999991</v>
      </c>
      <c r="S35" s="42">
        <v>1.2034033485447133E-3</v>
      </c>
      <c r="T35" s="1">
        <f>VLOOKUP($A35,'TCD Sensi SD IPA'!$B$5:$H$36,3,FALSE)</f>
        <v>3.484</v>
      </c>
      <c r="U35" s="1">
        <f>VLOOKUP($A35,'TCD Sensi SD IPA'!$B$5:$H$36,6,FALSE)</f>
        <v>-2635.12</v>
      </c>
      <c r="W35" s="1" t="s">
        <v>79</v>
      </c>
      <c r="X35" s="1" t="s">
        <v>71</v>
      </c>
      <c r="Y35" s="1">
        <v>5.25</v>
      </c>
      <c r="AA35" s="1" t="s">
        <v>111</v>
      </c>
      <c r="AB35" s="1" t="s">
        <v>112</v>
      </c>
      <c r="AC35" s="1" t="s">
        <v>64</v>
      </c>
      <c r="AD35" s="1">
        <v>6000000</v>
      </c>
      <c r="AE35" s="1">
        <v>-6481812.3700000001</v>
      </c>
      <c r="AF35" s="42">
        <v>-1.0803020616666668</v>
      </c>
      <c r="AG35" s="1">
        <v>-6470437.3700000001</v>
      </c>
      <c r="AH35" s="42">
        <v>-1.0784062283333333</v>
      </c>
      <c r="AI35" s="1">
        <v>-11375</v>
      </c>
      <c r="AJ35" s="42">
        <v>-1.8958333333333334E-3</v>
      </c>
      <c r="AK35" s="1">
        <f>VLOOKUP($A35,'TCD Sensi SD IPA'!$B$5:$H$36,4,FALSE)</f>
        <v>3.2749999999999999</v>
      </c>
      <c r="AL35" s="1">
        <f>VLOOKUP($A35,'TCD Sensi SD IPA'!$B$5:$H$36,7,FALSE)</f>
        <v>2077.27</v>
      </c>
      <c r="AN35" s="48">
        <v>46591.18</v>
      </c>
      <c r="AO35" s="42">
        <v>6.4839389843255194E-3</v>
      </c>
      <c r="AQ35" s="42"/>
      <c r="AS35" s="42"/>
      <c r="AT35" s="46"/>
      <c r="AU35" s="46"/>
      <c r="AW35" s="46"/>
      <c r="AX35" s="48">
        <f>+INDEX('IFT précédent'!$AO$7:$AO$82,MATCH('analyse trimestrielle'!A35,'IFT précédent'!$B$7:$B$82,0))</f>
        <v>-39233.589999999997</v>
      </c>
      <c r="AY35" s="52">
        <f>+INDEX('IFT précédent'!$AP$7:$AP$82,MATCH('analyse trimestrielle'!A35,'IFT précédent'!$B$7:$B$82,0))</f>
        <v>-5.4600077460163886E-3</v>
      </c>
      <c r="AZ35" s="58">
        <f t="shared" si="0"/>
        <v>1.1943946730341909E-2</v>
      </c>
      <c r="BA35" s="65">
        <f t="shared" si="1"/>
        <v>85824.76999999999</v>
      </c>
      <c r="BB35" s="48"/>
      <c r="BC35" s="23"/>
      <c r="BE35" s="46">
        <v>-38077625.638490297</v>
      </c>
      <c r="BF35" s="23">
        <v>-0.27568747652738429</v>
      </c>
      <c r="BG35" s="46">
        <v>-33122287.287638076</v>
      </c>
      <c r="BH35" s="23">
        <v>-0.23981011541627317</v>
      </c>
      <c r="BI35" s="46">
        <v>-4955338.3508522222</v>
      </c>
      <c r="BJ35" s="23">
        <v>-3.587736111111111E-2</v>
      </c>
      <c r="BL35" s="46"/>
      <c r="BM35" s="23"/>
      <c r="BN35" s="46"/>
      <c r="BO35" s="23"/>
      <c r="BP35" s="46"/>
      <c r="BQ35" s="23"/>
      <c r="BR35" s="1" t="e">
        <f t="shared" si="2"/>
        <v>#NAME?</v>
      </c>
      <c r="BT35" s="46">
        <v>69889.6384902969</v>
      </c>
      <c r="BU35" s="23">
        <v>5.0601101690872508E-4</v>
      </c>
      <c r="BV35" s="46">
        <v>67568.28763807565</v>
      </c>
      <c r="BW35" s="23">
        <v>4.8920410345615339E-4</v>
      </c>
      <c r="BX35" s="46">
        <v>2321.3508522221819</v>
      </c>
      <c r="BY35" s="23">
        <v>1.6806913452523109E-5</v>
      </c>
      <c r="BZ35" s="1" t="e">
        <f t="shared" si="3"/>
        <v>#NAME?</v>
      </c>
      <c r="CB35" s="46"/>
      <c r="CC35" s="23"/>
      <c r="CD35" s="46"/>
      <c r="CE35" s="23"/>
      <c r="CF35" s="46"/>
      <c r="CG35" s="23"/>
      <c r="CH35" s="1" t="e">
        <f t="shared" si="4"/>
        <v>#NAME?</v>
      </c>
      <c r="CK35" s="1" t="s">
        <v>51</v>
      </c>
      <c r="CL35" s="1" t="s">
        <v>183</v>
      </c>
      <c r="CM35" s="1" t="s">
        <v>53</v>
      </c>
      <c r="CN35" s="1" t="s">
        <v>184</v>
      </c>
      <c r="CO35" s="1" t="s">
        <v>55</v>
      </c>
      <c r="CP35" s="1" t="s">
        <v>179</v>
      </c>
      <c r="CQ35" s="1" t="s">
        <v>57</v>
      </c>
      <c r="CR35" s="1" t="s">
        <v>185</v>
      </c>
      <c r="FZ35" s="1">
        <f t="shared" si="5"/>
        <v>-1000367.4400000004</v>
      </c>
      <c r="GA35" s="1">
        <f t="shared" si="6"/>
        <v>47094</v>
      </c>
      <c r="GB35" s="1">
        <f t="shared" ca="1" si="7"/>
        <v>3.6833333333333331</v>
      </c>
      <c r="GC35" s="52" t="e">
        <v>#NAME?</v>
      </c>
      <c r="GD35" s="1" t="e">
        <v>#NAME?</v>
      </c>
    </row>
    <row r="36" spans="1:186" x14ac:dyDescent="0.2">
      <c r="A36" s="1" t="s">
        <v>118</v>
      </c>
      <c r="B36" s="101" t="s">
        <v>93</v>
      </c>
      <c r="C36" s="101" t="s">
        <v>93</v>
      </c>
      <c r="D36" s="1">
        <v>69211698</v>
      </c>
      <c r="E36" s="1" t="s">
        <v>92</v>
      </c>
      <c r="G36" s="1" t="s">
        <v>79</v>
      </c>
      <c r="H36" s="1" t="s">
        <v>67</v>
      </c>
      <c r="I36" s="1">
        <v>3.4350000000000001</v>
      </c>
      <c r="K36" s="1" t="s">
        <v>111</v>
      </c>
      <c r="L36" s="1" t="s">
        <v>112</v>
      </c>
      <c r="M36" s="1">
        <v>7168458</v>
      </c>
      <c r="N36" s="1">
        <v>7544939.3099999996</v>
      </c>
      <c r="O36" s="42">
        <v>1.0525191484695871</v>
      </c>
      <c r="P36" s="1">
        <v>7536047.4299999997</v>
      </c>
      <c r="Q36" s="42">
        <v>1.0512787310743816</v>
      </c>
      <c r="R36" s="1">
        <v>8891.8700000000008</v>
      </c>
      <c r="S36" s="42">
        <v>1.240416000205344E-3</v>
      </c>
      <c r="T36" s="1">
        <f>VLOOKUP($A36,'TCD Sensi SD IPA'!$B$5:$H$36,3,FALSE)</f>
        <v>3.4790000000000001</v>
      </c>
      <c r="U36" s="1">
        <f>VLOOKUP($A36,'TCD Sensi SD IPA'!$B$5:$H$36,6,FALSE)</f>
        <v>-2634.87</v>
      </c>
      <c r="W36" s="1" t="s">
        <v>79</v>
      </c>
      <c r="X36" s="1" t="s">
        <v>71</v>
      </c>
      <c r="Y36" s="1">
        <v>5.25</v>
      </c>
      <c r="AA36" s="1" t="s">
        <v>111</v>
      </c>
      <c r="AB36" s="1" t="s">
        <v>112</v>
      </c>
      <c r="AC36" s="1" t="s">
        <v>64</v>
      </c>
      <c r="AD36" s="1">
        <v>6000000</v>
      </c>
      <c r="AE36" s="1">
        <v>-6481812.3700000001</v>
      </c>
      <c r="AF36" s="42">
        <v>-1.0803020616666668</v>
      </c>
      <c r="AG36" s="1">
        <v>-6470437.3700000001</v>
      </c>
      <c r="AH36" s="42">
        <v>-1.0784062283333333</v>
      </c>
      <c r="AI36" s="1">
        <v>-11375</v>
      </c>
      <c r="AJ36" s="42">
        <v>-1.8958333333333334E-3</v>
      </c>
      <c r="AK36" s="1">
        <f>VLOOKUP($A36,'TCD Sensi SD IPA'!$B$5:$H$36,4,FALSE)</f>
        <v>3.2749999999999999</v>
      </c>
      <c r="AL36" s="1">
        <f>VLOOKUP($A36,'TCD Sensi SD IPA'!$B$5:$H$36,7,FALSE)</f>
        <v>2077.27</v>
      </c>
      <c r="AN36" s="48">
        <v>62759.5</v>
      </c>
      <c r="AO36" s="42">
        <v>8.7549512042896811E-3</v>
      </c>
      <c r="AQ36" s="42"/>
      <c r="AS36" s="42"/>
      <c r="AT36" s="46"/>
      <c r="AU36" s="46"/>
      <c r="AW36" s="46"/>
      <c r="AX36" s="48">
        <f>+INDEX('IFT précédent'!$AO$7:$AO$82,MATCH('analyse trimestrielle'!A36,'IFT précédent'!$B$7:$B$82,0))</f>
        <v>-29205.759999999998</v>
      </c>
      <c r="AY36" s="52">
        <f>+INDEX('IFT précédent'!$AP$7:$AP$82,MATCH('analyse trimestrielle'!A36,'IFT précédent'!$B$7:$B$82,0))</f>
        <v>-4.0742039640882322E-3</v>
      </c>
      <c r="AZ36" s="58">
        <f t="shared" si="0"/>
        <v>1.2829155168377914E-2</v>
      </c>
      <c r="BA36" s="65">
        <f t="shared" si="1"/>
        <v>91965.26</v>
      </c>
      <c r="BB36" s="48"/>
      <c r="BC36" s="23"/>
      <c r="BE36" s="46">
        <v>-10088558.510654075</v>
      </c>
      <c r="BF36" s="23">
        <v>-8.4777802610538452E-2</v>
      </c>
      <c r="BG36" s="46">
        <v>-6276023.2884318531</v>
      </c>
      <c r="BH36" s="23">
        <v>-5.2739691499427338E-2</v>
      </c>
      <c r="BI36" s="46">
        <v>-3812535.2222222225</v>
      </c>
      <c r="BJ36" s="23">
        <v>-3.2038111111111114E-2</v>
      </c>
      <c r="BL36" s="46"/>
      <c r="BM36" s="23"/>
      <c r="BN36" s="46"/>
      <c r="BO36" s="23"/>
      <c r="BP36" s="46"/>
      <c r="BQ36" s="23"/>
      <c r="BR36" s="1" t="e">
        <f t="shared" si="2"/>
        <v>#NAME?</v>
      </c>
      <c r="BT36" s="46">
        <v>8312.5106540750712</v>
      </c>
      <c r="BU36" s="23">
        <v>6.9853030706515384E-5</v>
      </c>
      <c r="BV36" s="46">
        <v>7975.288431853056</v>
      </c>
      <c r="BW36" s="23">
        <v>6.7019230519778372E-5</v>
      </c>
      <c r="BX36" s="46">
        <v>337.22222222248092</v>
      </c>
      <c r="BY36" s="23">
        <v>2.8338001867439511E-6</v>
      </c>
      <c r="BZ36" s="1" t="e">
        <f t="shared" si="3"/>
        <v>#NAME?</v>
      </c>
      <c r="CB36" s="46"/>
      <c r="CC36" s="23"/>
      <c r="CD36" s="46"/>
      <c r="CE36" s="23"/>
      <c r="CF36" s="46"/>
      <c r="CG36" s="23"/>
      <c r="CH36" s="1" t="e">
        <f t="shared" si="4"/>
        <v>#NAME?</v>
      </c>
      <c r="CK36" s="1" t="s">
        <v>51</v>
      </c>
      <c r="CL36" s="1" t="s">
        <v>186</v>
      </c>
      <c r="CM36" s="1" t="s">
        <v>53</v>
      </c>
      <c r="CN36" s="1" t="s">
        <v>187</v>
      </c>
      <c r="CO36" s="1" t="s">
        <v>55</v>
      </c>
      <c r="CP36" s="1" t="s">
        <v>179</v>
      </c>
      <c r="CQ36" s="1" t="s">
        <v>57</v>
      </c>
      <c r="CR36" s="1" t="s">
        <v>188</v>
      </c>
      <c r="FZ36" s="1">
        <f t="shared" si="5"/>
        <v>-1000367.4399999995</v>
      </c>
      <c r="GA36" s="1">
        <f t="shared" si="6"/>
        <v>47094</v>
      </c>
      <c r="GB36" s="1">
        <f t="shared" ca="1" si="7"/>
        <v>3.6833333333333331</v>
      </c>
      <c r="GC36" s="52" t="e">
        <v>#NAME?</v>
      </c>
      <c r="GD36" s="1" t="e">
        <v>#NAME?</v>
      </c>
    </row>
    <row r="37" spans="1:186" x14ac:dyDescent="0.2">
      <c r="A37" s="1" t="s">
        <v>126</v>
      </c>
      <c r="B37" s="101" t="s">
        <v>93</v>
      </c>
      <c r="C37" s="101" t="s">
        <v>93</v>
      </c>
      <c r="D37" s="1">
        <v>69189004</v>
      </c>
      <c r="E37" s="1" t="s">
        <v>75</v>
      </c>
      <c r="G37" s="1" t="s">
        <v>79</v>
      </c>
      <c r="H37" s="1" t="s">
        <v>67</v>
      </c>
      <c r="I37" s="1">
        <v>3.4049999999999998</v>
      </c>
      <c r="K37" s="1" t="s">
        <v>122</v>
      </c>
      <c r="L37" s="1" t="s">
        <v>123</v>
      </c>
      <c r="M37" s="1">
        <v>11978917</v>
      </c>
      <c r="N37" s="1">
        <v>12633626.220000001</v>
      </c>
      <c r="O37" s="42">
        <v>1.0546551261687513</v>
      </c>
      <c r="P37" s="1">
        <v>12325448.609999999</v>
      </c>
      <c r="Q37" s="42">
        <v>1.0289284590585275</v>
      </c>
      <c r="R37" s="1">
        <v>308177.61</v>
      </c>
      <c r="S37" s="42">
        <v>2.5726667110223735E-2</v>
      </c>
      <c r="T37" s="1">
        <f>VLOOKUP($A37,'TCD Sensi SD IPA'!$B$5:$H$36,3,FALSE)</f>
        <v>1.92</v>
      </c>
      <c r="U37" s="1">
        <f>VLOOKUP($A37,'TCD Sensi SD IPA'!$B$5:$H$36,6,FALSE)</f>
        <v>-2364.9299999999998</v>
      </c>
      <c r="W37" s="1" t="s">
        <v>79</v>
      </c>
      <c r="X37" s="1" t="s">
        <v>71</v>
      </c>
      <c r="Y37" s="1">
        <v>5.375</v>
      </c>
      <c r="AA37" s="1" t="s">
        <v>122</v>
      </c>
      <c r="AB37" s="1" t="s">
        <v>123</v>
      </c>
      <c r="AC37" s="1" t="s">
        <v>64</v>
      </c>
      <c r="AD37" s="1">
        <v>10000000</v>
      </c>
      <c r="AE37" s="1">
        <v>-10881125.380000001</v>
      </c>
      <c r="AF37" s="42">
        <v>-1.0881125380000001</v>
      </c>
      <c r="AG37" s="1">
        <v>-10476159.619999999</v>
      </c>
      <c r="AH37" s="42">
        <v>-1.0476159619999998</v>
      </c>
      <c r="AI37" s="1">
        <v>-404965.75</v>
      </c>
      <c r="AJ37" s="42">
        <v>-4.0496575E-2</v>
      </c>
      <c r="AK37" s="1">
        <f>VLOOKUP($A37,'TCD Sensi SD IPA'!$B$5:$H$36,4,FALSE)</f>
        <v>1.84</v>
      </c>
      <c r="AL37" s="1">
        <f>VLOOKUP($A37,'TCD Sensi SD IPA'!$B$5:$H$36,7,FALSE)</f>
        <v>1887.26</v>
      </c>
      <c r="AN37" s="48">
        <v>73167.509999999995</v>
      </c>
      <c r="AO37" s="42">
        <v>6.1080237887949302E-3</v>
      </c>
      <c r="AQ37" s="42"/>
      <c r="AS37" s="42"/>
      <c r="AT37" s="46"/>
      <c r="AU37" s="46"/>
      <c r="AW37" s="46"/>
      <c r="AX37" s="48">
        <f>+INDEX('IFT précédent'!$AO$7:$AO$82,MATCH('analyse trimestrielle'!A37,'IFT précédent'!$B$7:$B$82,0))</f>
        <v>52671.56</v>
      </c>
      <c r="AY37" s="52">
        <f>+INDEX('IFT précédent'!$AP$7:$AP$82,MATCH('analyse trimestrielle'!A37,'IFT précédent'!$B$7:$B$82,0))</f>
        <v>4.3970218676696732E-3</v>
      </c>
      <c r="AZ37" s="58">
        <f t="shared" si="0"/>
        <v>1.711001921125257E-3</v>
      </c>
      <c r="BA37" s="65">
        <f t="shared" si="1"/>
        <v>20495.949999999997</v>
      </c>
      <c r="BB37" s="48"/>
      <c r="BC37" s="23"/>
      <c r="BE37" s="46">
        <v>-398606.06020103191</v>
      </c>
      <c r="BF37" s="23">
        <v>-6.643434336683865E-2</v>
      </c>
      <c r="BG37" s="46">
        <v>-101520.06020103191</v>
      </c>
      <c r="BH37" s="23">
        <v>-1.6920010033505319E-2</v>
      </c>
      <c r="BI37" s="46">
        <v>-297086</v>
      </c>
      <c r="BJ37" s="23">
        <v>-4.9514333333333334E-2</v>
      </c>
      <c r="BL37" s="46"/>
      <c r="BM37" s="23"/>
      <c r="BN37" s="46"/>
      <c r="BO37" s="23"/>
      <c r="BP37" s="46"/>
      <c r="BQ37" s="23"/>
      <c r="BR37" s="1" t="e">
        <f t="shared" si="2"/>
        <v>#NAME?</v>
      </c>
      <c r="BT37" s="46">
        <v>-1567.9397989680874</v>
      </c>
      <c r="BU37" s="23">
        <v>-2.6132329982801739E-4</v>
      </c>
      <c r="BV37" s="46">
        <v>-1028.9397989680874</v>
      </c>
      <c r="BW37" s="23">
        <v>-1.7148996649467979E-4</v>
      </c>
      <c r="BX37" s="46">
        <v>-539</v>
      </c>
      <c r="BY37" s="23">
        <v>-8.9833333333330656E-5</v>
      </c>
      <c r="BZ37" s="1" t="e">
        <f t="shared" si="3"/>
        <v>#NAME?</v>
      </c>
      <c r="CB37" s="46"/>
      <c r="CC37" s="23"/>
      <c r="CD37" s="46"/>
      <c r="CE37" s="23"/>
      <c r="CF37" s="46"/>
      <c r="CG37" s="23"/>
      <c r="CH37" s="1" t="e">
        <f t="shared" si="4"/>
        <v>#NAME?</v>
      </c>
      <c r="CK37" s="1" t="s">
        <v>51</v>
      </c>
      <c r="CL37" s="1" t="s">
        <v>189</v>
      </c>
      <c r="CM37" s="1" t="s">
        <v>53</v>
      </c>
      <c r="CN37" s="1" t="s">
        <v>190</v>
      </c>
      <c r="CO37" s="1" t="s">
        <v>55</v>
      </c>
      <c r="CP37" s="1" t="s">
        <v>179</v>
      </c>
      <c r="CQ37" s="1" t="s">
        <v>57</v>
      </c>
      <c r="CR37" s="1" t="s">
        <v>191</v>
      </c>
      <c r="FZ37" s="1">
        <f t="shared" si="5"/>
        <v>-1679333.33</v>
      </c>
      <c r="GA37" s="1">
        <f t="shared" si="6"/>
        <v>46464</v>
      </c>
      <c r="GB37" s="1">
        <f t="shared" ca="1" si="7"/>
        <v>1.9638888888888888</v>
      </c>
      <c r="GC37" s="52" t="e">
        <v>#NAME?</v>
      </c>
      <c r="GD37" s="1" t="e">
        <v>#NAME?</v>
      </c>
    </row>
    <row r="38" spans="1:186" x14ac:dyDescent="0.2">
      <c r="A38" s="1" t="s">
        <v>130</v>
      </c>
      <c r="B38" s="101" t="s">
        <v>93</v>
      </c>
      <c r="C38" s="101" t="s">
        <v>93</v>
      </c>
      <c r="D38" s="1">
        <v>69174181</v>
      </c>
      <c r="E38" s="1" t="s">
        <v>75</v>
      </c>
      <c r="G38" s="1" t="s">
        <v>79</v>
      </c>
      <c r="H38" s="1" t="s">
        <v>67</v>
      </c>
      <c r="I38" s="1">
        <v>3.3975</v>
      </c>
      <c r="K38" s="1" t="s">
        <v>127</v>
      </c>
      <c r="L38" s="1" t="s">
        <v>112</v>
      </c>
      <c r="M38" s="1">
        <v>8203445</v>
      </c>
      <c r="N38" s="1">
        <v>8619981.8599999994</v>
      </c>
      <c r="O38" s="42">
        <v>1.0507758460012835</v>
      </c>
      <c r="P38" s="1">
        <v>8609917.25</v>
      </c>
      <c r="Q38" s="42">
        <v>1.0495489699754188</v>
      </c>
      <c r="R38" s="1">
        <v>10064.6</v>
      </c>
      <c r="S38" s="42">
        <v>1.226874806864677E-3</v>
      </c>
      <c r="T38" s="1">
        <f>VLOOKUP($A38,'TCD Sensi SD IPA'!$B$5:$H$36,3,FALSE)</f>
        <v>3.4809999999999999</v>
      </c>
      <c r="U38" s="1">
        <f>VLOOKUP($A38,'TCD Sensi SD IPA'!$B$5:$H$36,6,FALSE)</f>
        <v>-3012.75</v>
      </c>
      <c r="W38" s="1" t="s">
        <v>79</v>
      </c>
      <c r="X38" s="1" t="s">
        <v>71</v>
      </c>
      <c r="Y38" s="1">
        <v>5.25</v>
      </c>
      <c r="AA38" s="1" t="s">
        <v>127</v>
      </c>
      <c r="AB38" s="1" t="s">
        <v>112</v>
      </c>
      <c r="AC38" s="1" t="s">
        <v>64</v>
      </c>
      <c r="AD38" s="1">
        <v>7000000</v>
      </c>
      <c r="AE38" s="1">
        <v>-7562114.4299999997</v>
      </c>
      <c r="AF38" s="42">
        <v>-1.0803020614285714</v>
      </c>
      <c r="AG38" s="1">
        <v>-7548843.5899999999</v>
      </c>
      <c r="AH38" s="42">
        <v>-1.0784062271428572</v>
      </c>
      <c r="AI38" s="1">
        <v>-13270.83</v>
      </c>
      <c r="AJ38" s="42">
        <v>-1.8958328571428572E-3</v>
      </c>
      <c r="AK38" s="1">
        <f>VLOOKUP($A38,'TCD Sensi SD IPA'!$B$5:$H$36,4,FALSE)</f>
        <v>3.2749999999999999</v>
      </c>
      <c r="AL38" s="1">
        <f>VLOOKUP($A38,'TCD Sensi SD IPA'!$B$5:$H$36,7,FALSE)</f>
        <v>2423.48</v>
      </c>
      <c r="AN38" s="48">
        <v>-109227.92</v>
      </c>
      <c r="AO38" s="42">
        <v>-1.3314884173661187E-2</v>
      </c>
      <c r="AQ38" s="42"/>
      <c r="AS38" s="42"/>
      <c r="AT38" s="46"/>
      <c r="AU38" s="46"/>
      <c r="AW38" s="46"/>
      <c r="AX38" s="48">
        <f>+INDEX('IFT précédent'!$AO$7:$AO$82,MATCH('analyse trimestrielle'!A38,'IFT précédent'!$B$7:$B$82,0))</f>
        <v>-213314.38</v>
      </c>
      <c r="AY38" s="52">
        <f>+INDEX('IFT précédent'!$AP$7:$AP$82,MATCH('analyse trimestrielle'!A38,'IFT précédent'!$B$7:$B$82,0))</f>
        <v>-2.6003024339164828E-2</v>
      </c>
      <c r="AZ38" s="58">
        <f t="shared" si="0"/>
        <v>1.2688140165503641E-2</v>
      </c>
      <c r="BA38" s="65">
        <f t="shared" si="1"/>
        <v>104086.46</v>
      </c>
      <c r="BB38" s="48"/>
      <c r="BC38" s="23"/>
      <c r="BE38" s="46">
        <v>-5682599.301068522</v>
      </c>
      <c r="BF38" s="23">
        <v>-7.5767990680913624E-2</v>
      </c>
      <c r="BG38" s="46">
        <v>-5407576.1132831341</v>
      </c>
      <c r="BH38" s="23">
        <v>-7.2101014843775124E-2</v>
      </c>
      <c r="BI38" s="46">
        <v>-275023.18778538815</v>
      </c>
      <c r="BJ38" s="23">
        <v>-3.6669758371385085E-3</v>
      </c>
      <c r="BL38" s="46"/>
      <c r="BM38" s="23"/>
      <c r="BN38" s="46"/>
      <c r="BO38" s="23"/>
      <c r="BP38" s="46"/>
      <c r="BQ38" s="23"/>
      <c r="BR38" s="1" t="e">
        <f t="shared" si="2"/>
        <v>#NAME?</v>
      </c>
      <c r="BT38" s="46">
        <v>13411.301068522036</v>
      </c>
      <c r="BU38" s="23">
        <v>1.7881734758029566E-4</v>
      </c>
      <c r="BV38" s="46">
        <v>12151.113283134066</v>
      </c>
      <c r="BW38" s="23">
        <v>1.6201484377512121E-4</v>
      </c>
      <c r="BX38" s="46">
        <v>1260.1877853881451</v>
      </c>
      <c r="BY38" s="23">
        <v>1.6802503805175319E-5</v>
      </c>
      <c r="BZ38" s="1" t="e">
        <f t="shared" si="3"/>
        <v>#NAME?</v>
      </c>
      <c r="CB38" s="46"/>
      <c r="CC38" s="23"/>
      <c r="CD38" s="46"/>
      <c r="CE38" s="23"/>
      <c r="CF38" s="46"/>
      <c r="CG38" s="23"/>
      <c r="CH38" s="1" t="e">
        <f t="shared" si="4"/>
        <v>#NAME?</v>
      </c>
      <c r="CK38" s="1" t="s">
        <v>51</v>
      </c>
      <c r="CL38" s="1" t="s">
        <v>192</v>
      </c>
      <c r="CM38" s="1" t="s">
        <v>53</v>
      </c>
      <c r="CN38" s="1" t="s">
        <v>193</v>
      </c>
      <c r="CO38" s="1" t="s">
        <v>55</v>
      </c>
      <c r="CP38" s="1" t="s">
        <v>106</v>
      </c>
      <c r="CQ38" s="1" t="s">
        <v>57</v>
      </c>
      <c r="CR38" s="1" t="s">
        <v>194</v>
      </c>
      <c r="FZ38" s="1">
        <f t="shared" si="5"/>
        <v>-1167095.3499999996</v>
      </c>
      <c r="GA38" s="1">
        <f t="shared" si="6"/>
        <v>47094</v>
      </c>
      <c r="GB38" s="1">
        <f t="shared" ca="1" si="7"/>
        <v>3.6833333333333331</v>
      </c>
      <c r="GC38" s="52" t="e">
        <v>#NAME?</v>
      </c>
      <c r="GD38" s="1" t="e">
        <v>#NAME?</v>
      </c>
    </row>
    <row r="39" spans="1:186" x14ac:dyDescent="0.2">
      <c r="A39" s="1" t="s">
        <v>139</v>
      </c>
      <c r="B39" s="101" t="s">
        <v>93</v>
      </c>
      <c r="C39" s="101" t="s">
        <v>93</v>
      </c>
      <c r="D39" s="1">
        <v>69163276</v>
      </c>
      <c r="E39" s="1" t="s">
        <v>75</v>
      </c>
      <c r="G39" s="1" t="s">
        <v>79</v>
      </c>
      <c r="H39" s="1" t="s">
        <v>67</v>
      </c>
      <c r="I39" s="1">
        <v>3.5</v>
      </c>
      <c r="K39" s="1" t="s">
        <v>111</v>
      </c>
      <c r="L39" s="1" t="s">
        <v>112</v>
      </c>
      <c r="M39" s="1">
        <v>9361105</v>
      </c>
      <c r="N39" s="1">
        <v>9881029.4700000007</v>
      </c>
      <c r="O39" s="42">
        <v>1.0555409291958588</v>
      </c>
      <c r="P39" s="1">
        <v>9869198.0800000001</v>
      </c>
      <c r="Q39" s="42">
        <v>1.0542770410117182</v>
      </c>
      <c r="R39" s="1">
        <v>11831.4</v>
      </c>
      <c r="S39" s="42">
        <v>1.2638892523906097E-3</v>
      </c>
      <c r="T39" s="1">
        <f>VLOOKUP($A39,'TCD Sensi SD IPA'!$B$5:$H$36,3,FALSE)</f>
        <v>3.476</v>
      </c>
      <c r="U39" s="1">
        <f>VLOOKUP($A39,'TCD Sensi SD IPA'!$B$5:$H$36,6,FALSE)</f>
        <v>-3445.8</v>
      </c>
      <c r="W39" s="1" t="s">
        <v>79</v>
      </c>
      <c r="X39" s="1" t="s">
        <v>71</v>
      </c>
      <c r="Y39" s="1">
        <v>5.25</v>
      </c>
      <c r="AA39" s="1" t="s">
        <v>111</v>
      </c>
      <c r="AB39" s="1" t="s">
        <v>112</v>
      </c>
      <c r="AC39" s="1" t="s">
        <v>64</v>
      </c>
      <c r="AD39" s="1">
        <v>8000000</v>
      </c>
      <c r="AE39" s="1">
        <v>-8642416.4900000002</v>
      </c>
      <c r="AF39" s="42">
        <v>-1.0803020612500001</v>
      </c>
      <c r="AG39" s="1">
        <v>-8627249.8300000001</v>
      </c>
      <c r="AH39" s="42">
        <v>-1.07840622875</v>
      </c>
      <c r="AI39" s="1">
        <v>-15166.67</v>
      </c>
      <c r="AJ39" s="42">
        <v>-1.89583375E-3</v>
      </c>
      <c r="AK39" s="1">
        <f>VLOOKUP($A39,'TCD Sensi SD IPA'!$B$5:$H$36,4,FALSE)</f>
        <v>3.2749999999999999</v>
      </c>
      <c r="AL39" s="1">
        <f>VLOOKUP($A39,'TCD Sensi SD IPA'!$B$5:$H$36,7,FALSE)</f>
        <v>2769.69</v>
      </c>
      <c r="AN39" s="48">
        <v>-95210.28</v>
      </c>
      <c r="AO39" s="42">
        <v>-1.0170837737638879E-2</v>
      </c>
      <c r="AQ39" s="42"/>
      <c r="AS39" s="42"/>
      <c r="AT39" s="46"/>
      <c r="AU39" s="46"/>
      <c r="AW39" s="46"/>
      <c r="AX39" s="48">
        <f>+INDEX('IFT précédent'!$AO$7:$AO$82,MATCH('analyse trimestrielle'!A39,'IFT précédent'!$B$7:$B$82,0))</f>
        <v>-222201.44</v>
      </c>
      <c r="AY39" s="52">
        <f>+INDEX('IFT précédent'!$AP$7:$AP$82,MATCH('analyse trimestrielle'!A39,'IFT précédent'!$B$7:$B$82,0))</f>
        <v>-2.3736667839961201E-2</v>
      </c>
      <c r="AZ39" s="58">
        <f t="shared" si="0"/>
        <v>1.3565830102322322E-2</v>
      </c>
      <c r="BA39" s="65">
        <f t="shared" si="1"/>
        <v>126991.16</v>
      </c>
      <c r="BB39" s="48"/>
      <c r="BC39" s="23"/>
      <c r="BE39" s="46">
        <v>-5940839.8311188268</v>
      </c>
      <c r="BF39" s="23">
        <v>-7.9211197748251028E-2</v>
      </c>
      <c r="BG39" s="46">
        <v>-4454008.3528083246</v>
      </c>
      <c r="BH39" s="23">
        <v>-5.9386778037444327E-2</v>
      </c>
      <c r="BI39" s="46">
        <v>-1486831.4783105024</v>
      </c>
      <c r="BJ39" s="23">
        <v>-1.9824419710806698E-2</v>
      </c>
      <c r="BL39" s="46"/>
      <c r="BM39" s="23"/>
      <c r="BN39" s="46"/>
      <c r="BO39" s="23"/>
      <c r="BP39" s="46"/>
      <c r="BQ39" s="23"/>
      <c r="BR39" s="1" t="e">
        <f t="shared" si="2"/>
        <v>#NAME?</v>
      </c>
      <c r="BT39" s="46">
        <v>12650.831118826754</v>
      </c>
      <c r="BU39" s="23">
        <v>1.6867774825102266E-4</v>
      </c>
      <c r="BV39" s="46">
        <v>11390.35280832462</v>
      </c>
      <c r="BW39" s="23">
        <v>1.5187137077766338E-4</v>
      </c>
      <c r="BX39" s="46">
        <v>1260.4783105023671</v>
      </c>
      <c r="BY39" s="23">
        <v>1.6806377473362749E-5</v>
      </c>
      <c r="BZ39" s="1" t="e">
        <f t="shared" si="3"/>
        <v>#NAME?</v>
      </c>
      <c r="CB39" s="46"/>
      <c r="CC39" s="23"/>
      <c r="CD39" s="46"/>
      <c r="CE39" s="23"/>
      <c r="CF39" s="46"/>
      <c r="CG39" s="23"/>
      <c r="CH39" s="1" t="e">
        <f t="shared" si="4"/>
        <v>#NAME?</v>
      </c>
      <c r="CK39" s="1" t="s">
        <v>51</v>
      </c>
      <c r="CL39" s="1" t="s">
        <v>195</v>
      </c>
      <c r="CM39" s="1" t="s">
        <v>53</v>
      </c>
      <c r="CN39" s="1" t="s">
        <v>196</v>
      </c>
      <c r="CO39" s="1" t="s">
        <v>55</v>
      </c>
      <c r="CP39" s="1" t="s">
        <v>102</v>
      </c>
      <c r="CQ39" s="1" t="s">
        <v>57</v>
      </c>
      <c r="CR39" s="1" t="s">
        <v>197</v>
      </c>
      <c r="FZ39" s="1">
        <f t="shared" si="5"/>
        <v>-1333823.2599999998</v>
      </c>
      <c r="GA39" s="1">
        <f t="shared" si="6"/>
        <v>47094</v>
      </c>
      <c r="GB39" s="1">
        <f t="shared" ca="1" si="7"/>
        <v>3.6833333333333331</v>
      </c>
      <c r="GC39" s="52" t="e">
        <v>#NAME?</v>
      </c>
      <c r="GD39" s="1" t="e">
        <v>#NAME?</v>
      </c>
    </row>
    <row r="40" spans="1:186" x14ac:dyDescent="0.2">
      <c r="A40" s="1" t="s">
        <v>149</v>
      </c>
      <c r="B40" s="101" t="s">
        <v>93</v>
      </c>
      <c r="C40" s="101" t="s">
        <v>93</v>
      </c>
      <c r="D40" s="1">
        <v>69063721</v>
      </c>
      <c r="E40" s="1" t="s">
        <v>92</v>
      </c>
      <c r="G40" s="1" t="s">
        <v>79</v>
      </c>
      <c r="H40" s="1" t="s">
        <v>67</v>
      </c>
      <c r="I40" s="1">
        <v>3.6524999999999999</v>
      </c>
      <c r="K40" s="1" t="s">
        <v>146</v>
      </c>
      <c r="L40" s="1" t="s">
        <v>123</v>
      </c>
      <c r="M40" s="1">
        <v>5901794</v>
      </c>
      <c r="N40" s="1">
        <v>6280138.5599999996</v>
      </c>
      <c r="O40" s="42">
        <v>1.064106703825989</v>
      </c>
      <c r="P40" s="1">
        <v>6117268.71</v>
      </c>
      <c r="Q40" s="42">
        <v>1.0365100357620072</v>
      </c>
      <c r="R40" s="1">
        <v>162869.85</v>
      </c>
      <c r="S40" s="42">
        <v>2.7596668063981901E-2</v>
      </c>
      <c r="T40" s="1">
        <f>VLOOKUP($A40,'TCD Sensi SD IPA'!$B$5:$H$36,3,FALSE)</f>
        <v>1.9179999999999999</v>
      </c>
      <c r="U40" s="1">
        <f>VLOOKUP($A40,'TCD Sensi SD IPA'!$B$5:$H$36,6,FALSE)</f>
        <v>-1169.27</v>
      </c>
      <c r="W40" s="1" t="s">
        <v>79</v>
      </c>
      <c r="X40" s="1" t="s">
        <v>71</v>
      </c>
      <c r="Y40" s="1">
        <v>5.375</v>
      </c>
      <c r="AA40" s="1" t="s">
        <v>146</v>
      </c>
      <c r="AB40" s="1" t="s">
        <v>123</v>
      </c>
      <c r="AC40" s="1" t="s">
        <v>64</v>
      </c>
      <c r="AD40" s="1">
        <v>5000000</v>
      </c>
      <c r="AE40" s="1">
        <v>-5440515.8200000003</v>
      </c>
      <c r="AF40" s="42">
        <v>-1.0881031640000001</v>
      </c>
      <c r="AG40" s="1">
        <v>-5238953.32</v>
      </c>
      <c r="AH40" s="42">
        <v>-1.0477906640000001</v>
      </c>
      <c r="AI40" s="1">
        <v>-201562.5</v>
      </c>
      <c r="AJ40" s="42">
        <v>-4.0312500000000001E-2</v>
      </c>
      <c r="AK40" s="1">
        <f>VLOOKUP($A40,'TCD Sensi SD IPA'!$B$5:$H$36,4,FALSE)</f>
        <v>1.84</v>
      </c>
      <c r="AL40" s="1">
        <f>VLOOKUP($A40,'TCD Sensi SD IPA'!$B$5:$H$36,7,FALSE)</f>
        <v>943.63</v>
      </c>
      <c r="AN40" s="48">
        <v>-36.69</v>
      </c>
      <c r="AO40" s="42">
        <v>-6.2167537531808125E-6</v>
      </c>
      <c r="AQ40" s="42"/>
      <c r="AS40" s="42"/>
      <c r="AT40" s="46"/>
      <c r="AU40" s="46"/>
      <c r="AW40" s="46"/>
      <c r="AX40" s="48">
        <f>+INDEX('IFT précédent'!$AO$7:$AO$82,MATCH('analyse trimestrielle'!A40,'IFT précédent'!$B$7:$B$82,0))</f>
        <v>-35096.81</v>
      </c>
      <c r="AY40" s="52">
        <f>+INDEX('IFT précédent'!$AP$7:$AP$82,MATCH('analyse trimestrielle'!A40,'IFT précédent'!$B$7:$B$82,0))</f>
        <v>-5.9468036329292408E-3</v>
      </c>
      <c r="AZ40" s="58">
        <f t="shared" si="0"/>
        <v>5.9405868791760604E-3</v>
      </c>
      <c r="BA40" s="65">
        <f t="shared" si="1"/>
        <v>35060.119999999995</v>
      </c>
      <c r="BB40" s="48"/>
      <c r="BC40" s="23"/>
      <c r="BE40" s="46">
        <v>-6947753.9175739633</v>
      </c>
      <c r="BF40" s="23">
        <v>-6.9477539175739636E-2</v>
      </c>
      <c r="BG40" s="46">
        <v>-6612834.1116378903</v>
      </c>
      <c r="BH40" s="23">
        <v>-6.61283411163789E-2</v>
      </c>
      <c r="BI40" s="46">
        <v>-334919.80593607307</v>
      </c>
      <c r="BJ40" s="23">
        <v>-3.3491980593607306E-3</v>
      </c>
      <c r="BL40" s="46"/>
      <c r="BM40" s="23"/>
      <c r="BN40" s="46"/>
      <c r="BO40" s="23"/>
      <c r="BP40" s="46"/>
      <c r="BQ40" s="23"/>
      <c r="BR40" s="1" t="e">
        <f t="shared" si="2"/>
        <v>#NAME?</v>
      </c>
      <c r="BT40" s="46">
        <v>17890.917573963292</v>
      </c>
      <c r="BU40" s="23">
        <v>1.7890917573963605E-4</v>
      </c>
      <c r="BV40" s="46">
        <v>16210.111637890339</v>
      </c>
      <c r="BW40" s="23">
        <v>1.6210111637890434E-4</v>
      </c>
      <c r="BX40" s="46">
        <v>1680.8059360730695</v>
      </c>
      <c r="BY40" s="23">
        <v>1.6808059360730408E-5</v>
      </c>
      <c r="BZ40" s="1" t="e">
        <f t="shared" si="3"/>
        <v>#NAME?</v>
      </c>
      <c r="CB40" s="46"/>
      <c r="CC40" s="23"/>
      <c r="CD40" s="46"/>
      <c r="CE40" s="23"/>
      <c r="CF40" s="46"/>
      <c r="CG40" s="23"/>
      <c r="CH40" s="1" t="e">
        <f t="shared" si="4"/>
        <v>#NAME?</v>
      </c>
      <c r="CK40" s="1" t="s">
        <v>51</v>
      </c>
      <c r="CL40" s="1" t="s">
        <v>198</v>
      </c>
      <c r="CM40" s="1" t="s">
        <v>53</v>
      </c>
      <c r="CN40" s="1" t="s">
        <v>199</v>
      </c>
      <c r="CO40" s="1" t="s">
        <v>55</v>
      </c>
      <c r="CP40" s="1" t="s">
        <v>102</v>
      </c>
      <c r="CQ40" s="1" t="s">
        <v>57</v>
      </c>
      <c r="CR40" s="1" t="s">
        <v>200</v>
      </c>
      <c r="FZ40" s="1">
        <f t="shared" si="5"/>
        <v>-839659.4299999997</v>
      </c>
      <c r="GA40" s="1">
        <f t="shared" si="6"/>
        <v>46464</v>
      </c>
      <c r="GB40" s="1">
        <f t="shared" ca="1" si="7"/>
        <v>1.9638888888888888</v>
      </c>
      <c r="GC40" s="52" t="e">
        <v>#NAME?</v>
      </c>
      <c r="GD40" s="1" t="e">
        <v>#NAME?</v>
      </c>
    </row>
    <row r="41" spans="1:186" x14ac:dyDescent="0.2">
      <c r="A41" s="1" t="s">
        <v>156</v>
      </c>
      <c r="B41" s="101" t="s">
        <v>93</v>
      </c>
      <c r="C41" s="101" t="s">
        <v>93</v>
      </c>
      <c r="D41" s="1">
        <v>69015063</v>
      </c>
      <c r="E41" s="1" t="s">
        <v>75</v>
      </c>
      <c r="G41" s="1" t="s">
        <v>79</v>
      </c>
      <c r="H41" s="1" t="s">
        <v>67</v>
      </c>
      <c r="I41" s="1">
        <v>3.6230000000000002</v>
      </c>
      <c r="K41" s="1" t="s">
        <v>146</v>
      </c>
      <c r="L41" s="1" t="s">
        <v>123</v>
      </c>
      <c r="M41" s="1">
        <v>8505611</v>
      </c>
      <c r="N41" s="1">
        <v>9041295.4600000009</v>
      </c>
      <c r="O41" s="42">
        <v>1.062980126883301</v>
      </c>
      <c r="P41" s="1">
        <v>8808464.7599999998</v>
      </c>
      <c r="Q41" s="42">
        <v>1.0356063497378378</v>
      </c>
      <c r="R41" s="1">
        <v>232830.71</v>
      </c>
      <c r="S41" s="42">
        <v>2.7373778321157644E-2</v>
      </c>
      <c r="T41" s="1">
        <f>VLOOKUP($A41,'TCD Sensi SD IPA'!$B$5:$H$36,3,FALSE)</f>
        <v>1.919</v>
      </c>
      <c r="U41" s="1">
        <f>VLOOKUP($A41,'TCD Sensi SD IPA'!$B$5:$H$36,6,FALSE)</f>
        <v>-1684.44</v>
      </c>
      <c r="W41" s="1" t="s">
        <v>79</v>
      </c>
      <c r="X41" s="1" t="s">
        <v>71</v>
      </c>
      <c r="Y41" s="1">
        <v>5.375</v>
      </c>
      <c r="AA41" s="1" t="s">
        <v>146</v>
      </c>
      <c r="AB41" s="1" t="s">
        <v>123</v>
      </c>
      <c r="AC41" s="1" t="s">
        <v>64</v>
      </c>
      <c r="AD41" s="1">
        <v>7200000</v>
      </c>
      <c r="AE41" s="1">
        <v>-7834342.7800000003</v>
      </c>
      <c r="AF41" s="42">
        <v>-1.0881031638888889</v>
      </c>
      <c r="AG41" s="1">
        <v>-7544092.7800000003</v>
      </c>
      <c r="AH41" s="42">
        <v>-1.047790663888889</v>
      </c>
      <c r="AI41" s="1">
        <v>-290250</v>
      </c>
      <c r="AJ41" s="42">
        <v>-4.0312500000000001E-2</v>
      </c>
      <c r="AK41" s="1">
        <f>VLOOKUP($A41,'TCD Sensi SD IPA'!$B$5:$H$36,4,FALSE)</f>
        <v>1.84</v>
      </c>
      <c r="AL41" s="1">
        <f>VLOOKUP($A41,'TCD Sensi SD IPA'!$B$5:$H$36,7,FALSE)</f>
        <v>1358.83</v>
      </c>
      <c r="AN41" s="48">
        <v>-2156.9</v>
      </c>
      <c r="AO41" s="42">
        <v>-2.5358554488325415E-4</v>
      </c>
      <c r="AQ41" s="42"/>
      <c r="AS41" s="42"/>
      <c r="AT41" s="46"/>
      <c r="AU41" s="46"/>
      <c r="AW41" s="46"/>
      <c r="AX41" s="48">
        <f>+INDEX('IFT précédent'!$AO$7:$AO$82,MATCH('analyse trimestrielle'!A41,'IFT précédent'!$B$7:$B$82,0))</f>
        <v>-48171.46</v>
      </c>
      <c r="AY41" s="52">
        <f>+INDEX('IFT précédent'!$AP$7:$AP$82,MATCH('analyse trimestrielle'!A41,'IFT précédent'!$B$7:$B$82,0))</f>
        <v>-5.6634920172107563E-3</v>
      </c>
      <c r="AZ41" s="58">
        <f t="shared" si="0"/>
        <v>5.4099064723275025E-3</v>
      </c>
      <c r="BA41" s="65">
        <f t="shared" si="1"/>
        <v>46014.559999999998</v>
      </c>
      <c r="BB41" s="48"/>
      <c r="BC41" s="23"/>
      <c r="BE41" s="46">
        <v>-3960598.0761448722</v>
      </c>
      <c r="BF41" s="23">
        <v>-7.9211961522897445E-2</v>
      </c>
      <c r="BG41" s="46">
        <v>-2704139.7428115387</v>
      </c>
      <c r="BH41" s="23">
        <v>-5.4082794856230777E-2</v>
      </c>
      <c r="BI41" s="46">
        <v>-1256458.3333333335</v>
      </c>
      <c r="BJ41" s="23">
        <v>-2.5129166666666671E-2</v>
      </c>
      <c r="BL41" s="46"/>
      <c r="BM41" s="23"/>
      <c r="BN41" s="46"/>
      <c r="BO41" s="23"/>
      <c r="BP41" s="46"/>
      <c r="BQ41" s="23"/>
      <c r="BR41" s="1" t="e">
        <f t="shared" si="2"/>
        <v>#NAME?</v>
      </c>
      <c r="BT41" s="46">
        <v>8489.0761448722333</v>
      </c>
      <c r="BU41" s="23">
        <v>1.6978152289744142E-4</v>
      </c>
      <c r="BV41" s="46">
        <v>7648.7428115387447</v>
      </c>
      <c r="BW41" s="23">
        <v>1.5297485623077395E-4</v>
      </c>
      <c r="BX41" s="46">
        <v>840.33333333348855</v>
      </c>
      <c r="BY41" s="23">
        <v>1.6806666666670939E-5</v>
      </c>
      <c r="BZ41" s="1" t="e">
        <f t="shared" si="3"/>
        <v>#NAME?</v>
      </c>
      <c r="CB41" s="46"/>
      <c r="CC41" s="23"/>
      <c r="CD41" s="46"/>
      <c r="CE41" s="23"/>
      <c r="CF41" s="46"/>
      <c r="CG41" s="23"/>
      <c r="CH41" s="1" t="e">
        <f t="shared" si="4"/>
        <v>#NAME?</v>
      </c>
      <c r="CK41" s="1" t="s">
        <v>51</v>
      </c>
      <c r="CL41" s="1" t="s">
        <v>201</v>
      </c>
      <c r="CM41" s="1" t="s">
        <v>53</v>
      </c>
      <c r="CN41" s="1" t="s">
        <v>202</v>
      </c>
      <c r="CO41" s="1" t="s">
        <v>55</v>
      </c>
      <c r="CP41" s="1" t="s">
        <v>102</v>
      </c>
      <c r="CQ41" s="1" t="s">
        <v>57</v>
      </c>
      <c r="CR41" s="1" t="s">
        <v>203</v>
      </c>
      <c r="FZ41" s="1">
        <f t="shared" si="5"/>
        <v>-1209109.580000001</v>
      </c>
      <c r="GA41" s="1">
        <f t="shared" si="6"/>
        <v>46464</v>
      </c>
      <c r="GB41" s="1">
        <f t="shared" ca="1" si="7"/>
        <v>1.9638888888888888</v>
      </c>
      <c r="GC41" s="52" t="e">
        <v>#NAME?</v>
      </c>
      <c r="GD41" s="1" t="e">
        <v>#NAME?</v>
      </c>
    </row>
    <row r="42" spans="1:186" x14ac:dyDescent="0.2">
      <c r="A42" s="1" t="s">
        <v>164</v>
      </c>
      <c r="B42" s="101" t="s">
        <v>93</v>
      </c>
      <c r="C42" s="101" t="s">
        <v>93</v>
      </c>
      <c r="D42" s="1">
        <v>69146070</v>
      </c>
      <c r="E42" s="1" t="s">
        <v>92</v>
      </c>
      <c r="G42" s="1" t="s">
        <v>79</v>
      </c>
      <c r="H42" s="1" t="s">
        <v>67</v>
      </c>
      <c r="I42" s="1">
        <v>3.64</v>
      </c>
      <c r="K42" s="1" t="s">
        <v>111</v>
      </c>
      <c r="L42" s="1" t="s">
        <v>112</v>
      </c>
      <c r="M42" s="1">
        <v>17674090</v>
      </c>
      <c r="N42" s="1">
        <v>18770758.559999999</v>
      </c>
      <c r="O42" s="42">
        <v>1.0620495063677959</v>
      </c>
      <c r="P42" s="1">
        <v>18747526.949999999</v>
      </c>
      <c r="Q42" s="42">
        <v>1.0607350618900322</v>
      </c>
      <c r="R42" s="1">
        <v>23231.61</v>
      </c>
      <c r="S42" s="42">
        <v>1.3144444777637774E-3</v>
      </c>
      <c r="T42" s="1">
        <f>VLOOKUP($A42,'TCD Sensi SD IPA'!$B$5:$H$36,3,FALSE)</f>
        <v>3.4689999999999999</v>
      </c>
      <c r="U42" s="1">
        <f>VLOOKUP($A42,'TCD Sensi SD IPA'!$B$5:$H$36,6,FALSE)</f>
        <v>-6526.16</v>
      </c>
      <c r="W42" s="1" t="s">
        <v>79</v>
      </c>
      <c r="X42" s="1" t="s">
        <v>71</v>
      </c>
      <c r="Y42" s="1">
        <v>5.25</v>
      </c>
      <c r="AA42" s="1" t="s">
        <v>111</v>
      </c>
      <c r="AB42" s="1" t="s">
        <v>112</v>
      </c>
      <c r="AC42" s="1" t="s">
        <v>64</v>
      </c>
      <c r="AD42" s="1">
        <v>15000000</v>
      </c>
      <c r="AE42" s="1">
        <v>-16204530.92</v>
      </c>
      <c r="AF42" s="42">
        <v>-1.0803020613333334</v>
      </c>
      <c r="AG42" s="1">
        <v>-16176093.42</v>
      </c>
      <c r="AH42" s="42">
        <v>-1.078406228</v>
      </c>
      <c r="AI42" s="1">
        <v>-28437.5</v>
      </c>
      <c r="AJ42" s="42">
        <v>-1.8958333333333334E-3</v>
      </c>
      <c r="AK42" s="1">
        <f>VLOOKUP($A42,'TCD Sensi SD IPA'!$B$5:$H$36,4,FALSE)</f>
        <v>3.2749999999999999</v>
      </c>
      <c r="AL42" s="1">
        <f>VLOOKUP($A42,'TCD Sensi SD IPA'!$B$5:$H$36,7,FALSE)</f>
        <v>5193.17</v>
      </c>
      <c r="AN42" s="48">
        <v>65309.03</v>
      </c>
      <c r="AO42" s="42">
        <v>3.6951848723187444E-3</v>
      </c>
      <c r="AQ42" s="42"/>
      <c r="AS42" s="42"/>
      <c r="AT42" s="46"/>
      <c r="AU42" s="46"/>
      <c r="AW42" s="46"/>
      <c r="AX42" s="48">
        <f>+INDEX('IFT précédent'!$AO$7:$AO$82,MATCH('analyse trimestrielle'!A42,'IFT précédent'!$B$7:$B$82,0))</f>
        <v>-194186.07</v>
      </c>
      <c r="AY42" s="52">
        <f>+INDEX('IFT précédent'!$AP$7:$AP$82,MATCH('analyse trimestrielle'!A42,'IFT précédent'!$B$7:$B$82,0))</f>
        <v>-1.0987047706558018E-2</v>
      </c>
      <c r="AZ42" s="58">
        <f t="shared" si="0"/>
        <v>1.4682232578876762E-2</v>
      </c>
      <c r="BA42" s="65">
        <f t="shared" si="1"/>
        <v>259495.1</v>
      </c>
      <c r="BB42" s="48"/>
      <c r="BC42" s="23"/>
      <c r="BE42" s="46">
        <v>-3935427.9426966966</v>
      </c>
      <c r="BF42" s="23">
        <v>-7.8708558853933935E-2</v>
      </c>
      <c r="BG42" s="46">
        <v>-2680497.3871411416</v>
      </c>
      <c r="BH42" s="23">
        <v>-5.3609947742822829E-2</v>
      </c>
      <c r="BI42" s="46">
        <v>-1254930.5555555555</v>
      </c>
      <c r="BJ42" s="23">
        <v>-2.509861111111111E-2</v>
      </c>
      <c r="BL42" s="46"/>
      <c r="BM42" s="23"/>
      <c r="BN42" s="46"/>
      <c r="BO42" s="23"/>
      <c r="BP42" s="46"/>
      <c r="BQ42" s="23"/>
      <c r="BR42" s="1" t="e">
        <f t="shared" si="2"/>
        <v>#NAME?</v>
      </c>
      <c r="BT42" s="46">
        <v>8489.942696696613</v>
      </c>
      <c r="BU42" s="23">
        <v>1.6979885393393623E-4</v>
      </c>
      <c r="BV42" s="46">
        <v>7649.3871411415748</v>
      </c>
      <c r="BW42" s="23">
        <v>1.5298774282283129E-4</v>
      </c>
      <c r="BX42" s="46">
        <v>840.55555555550382</v>
      </c>
      <c r="BY42" s="23">
        <v>1.6811111111108418E-5</v>
      </c>
      <c r="BZ42" s="1" t="e">
        <f t="shared" si="3"/>
        <v>#NAME?</v>
      </c>
      <c r="CB42" s="46"/>
      <c r="CC42" s="23"/>
      <c r="CD42" s="46"/>
      <c r="CE42" s="23"/>
      <c r="CF42" s="46"/>
      <c r="CG42" s="23"/>
      <c r="CH42" s="1" t="e">
        <f t="shared" si="4"/>
        <v>#NAME?</v>
      </c>
      <c r="CK42" s="1" t="s">
        <v>51</v>
      </c>
      <c r="CL42" s="1" t="s">
        <v>204</v>
      </c>
      <c r="CM42" s="1" t="s">
        <v>53</v>
      </c>
      <c r="CN42" s="1" t="s">
        <v>205</v>
      </c>
      <c r="CO42" s="1" t="s">
        <v>55</v>
      </c>
      <c r="CP42" s="1" t="s">
        <v>102</v>
      </c>
      <c r="CQ42" s="1" t="s">
        <v>57</v>
      </c>
      <c r="CR42" s="1" t="s">
        <v>206</v>
      </c>
      <c r="FZ42" s="1">
        <f t="shared" si="5"/>
        <v>-2500918.6099999975</v>
      </c>
      <c r="GA42" s="1">
        <f t="shared" si="6"/>
        <v>47094</v>
      </c>
      <c r="GB42" s="1">
        <f t="shared" ca="1" si="7"/>
        <v>3.6833333333333331</v>
      </c>
      <c r="GC42" s="52" t="e">
        <v>#NAME?</v>
      </c>
      <c r="GD42" s="1" t="e">
        <v>#NAME?</v>
      </c>
    </row>
    <row r="43" spans="1:186" x14ac:dyDescent="0.2">
      <c r="A43" s="1" t="s">
        <v>171</v>
      </c>
      <c r="B43" s="101" t="s">
        <v>93</v>
      </c>
      <c r="C43" s="101" t="s">
        <v>93</v>
      </c>
      <c r="D43" s="1">
        <v>69245196</v>
      </c>
      <c r="E43" s="1" t="s">
        <v>92</v>
      </c>
      <c r="G43" s="1" t="s">
        <v>79</v>
      </c>
      <c r="H43" s="1" t="s">
        <v>67</v>
      </c>
      <c r="I43" s="1">
        <v>3.3149999999999999</v>
      </c>
      <c r="K43" s="1" t="s">
        <v>168</v>
      </c>
      <c r="L43" s="1" t="s">
        <v>123</v>
      </c>
      <c r="M43" s="1">
        <v>8719183</v>
      </c>
      <c r="N43" s="1">
        <v>9165763.7300000004</v>
      </c>
      <c r="O43" s="42">
        <v>1.0512181852359332</v>
      </c>
      <c r="P43" s="1">
        <v>8947377.2599999998</v>
      </c>
      <c r="Q43" s="42">
        <v>1.026171518592969</v>
      </c>
      <c r="R43" s="1">
        <v>218386.47</v>
      </c>
      <c r="S43" s="42">
        <v>2.5046666642964139E-2</v>
      </c>
      <c r="T43" s="1">
        <f>VLOOKUP($A43,'TCD Sensi SD IPA'!$B$5:$H$36,3,FALSE)</f>
        <v>1.921</v>
      </c>
      <c r="U43" s="1">
        <f>VLOOKUP($A43,'TCD Sensi SD IPA'!$B$5:$H$36,6,FALSE)</f>
        <v>-1719.17</v>
      </c>
      <c r="W43" s="1" t="s">
        <v>79</v>
      </c>
      <c r="X43" s="1" t="s">
        <v>71</v>
      </c>
      <c r="Y43" s="1">
        <v>5.375</v>
      </c>
      <c r="AA43" s="1" t="s">
        <v>168</v>
      </c>
      <c r="AB43" s="1" t="s">
        <v>123</v>
      </c>
      <c r="AC43" s="1" t="s">
        <v>64</v>
      </c>
      <c r="AD43" s="1">
        <v>7250000</v>
      </c>
      <c r="AE43" s="1">
        <v>-7888815.9000000004</v>
      </c>
      <c r="AF43" s="42">
        <v>-1.0881125379310346</v>
      </c>
      <c r="AG43" s="1">
        <v>-7595215.7199999997</v>
      </c>
      <c r="AH43" s="42">
        <v>-1.0476159613793103</v>
      </c>
      <c r="AI43" s="1">
        <v>-293600.17</v>
      </c>
      <c r="AJ43" s="42">
        <v>-4.0496575172413792E-2</v>
      </c>
      <c r="AK43" s="1">
        <f>VLOOKUP($A43,'TCD Sensi SD IPA'!$B$5:$H$36,4,FALSE)</f>
        <v>1.84</v>
      </c>
      <c r="AL43" s="1">
        <f>VLOOKUP($A43,'TCD Sensi SD IPA'!$B$5:$H$36,7,FALSE)</f>
        <v>1368.26</v>
      </c>
      <c r="AN43" s="48">
        <v>59431.17</v>
      </c>
      <c r="AO43" s="42">
        <v>6.8161397690586377E-3</v>
      </c>
      <c r="AQ43" s="42"/>
      <c r="AS43" s="42"/>
      <c r="AT43" s="46"/>
      <c r="AU43" s="46"/>
      <c r="AW43" s="46"/>
      <c r="AX43" s="48">
        <f>+INDEX('IFT précédent'!$AO$7:$AO$82,MATCH('analyse trimestrielle'!A43,'IFT précédent'!$B$7:$B$82,0))</f>
        <v>58268.34</v>
      </c>
      <c r="AY43" s="52">
        <f>+INDEX('IFT précédent'!$AP$7:$AP$82,MATCH('analyse trimestrielle'!A43,'IFT précédent'!$B$7:$B$82,0))</f>
        <v>6.6827752095580508E-3</v>
      </c>
      <c r="AZ43" s="58">
        <f t="shared" si="0"/>
        <v>1.3336455950058689E-4</v>
      </c>
      <c r="BA43" s="65">
        <f t="shared" si="1"/>
        <v>1162.8300000000017</v>
      </c>
      <c r="BB43" s="48"/>
      <c r="BC43" s="23"/>
      <c r="BE43" s="46">
        <v>-10251257.316652305</v>
      </c>
      <c r="BF43" s="23">
        <v>-0.10251257316652305</v>
      </c>
      <c r="BG43" s="46">
        <v>-8626849.4970176034</v>
      </c>
      <c r="BH43" s="23">
        <v>-8.6268494970176038E-2</v>
      </c>
      <c r="BI43" s="46">
        <v>-1624407.819634703</v>
      </c>
      <c r="BJ43" s="23">
        <v>-1.6244078196347031E-2</v>
      </c>
      <c r="BL43" s="46"/>
      <c r="BM43" s="23"/>
      <c r="BN43" s="46"/>
      <c r="BO43" s="23"/>
      <c r="BP43" s="46"/>
      <c r="BQ43" s="23"/>
      <c r="BR43" s="1" t="e">
        <f t="shared" si="2"/>
        <v>#NAME?</v>
      </c>
      <c r="BT43" s="46">
        <v>19139.316652305424</v>
      </c>
      <c r="BU43" s="23">
        <v>1.9139316652305727E-4</v>
      </c>
      <c r="BV43" s="46">
        <v>17458.497017603368</v>
      </c>
      <c r="BW43" s="23">
        <v>1.7458497017604213E-4</v>
      </c>
      <c r="BX43" s="46">
        <v>1680.819634702988</v>
      </c>
      <c r="BY43" s="23">
        <v>1.6808196347032484E-5</v>
      </c>
      <c r="BZ43" s="1" t="e">
        <f t="shared" si="3"/>
        <v>#NAME?</v>
      </c>
      <c r="CB43" s="46"/>
      <c r="CC43" s="23"/>
      <c r="CD43" s="46"/>
      <c r="CE43" s="23"/>
      <c r="CF43" s="46"/>
      <c r="CG43" s="23"/>
      <c r="CH43" s="1" t="e">
        <f t="shared" si="4"/>
        <v>#NAME?</v>
      </c>
      <c r="CK43" s="1" t="s">
        <v>51</v>
      </c>
      <c r="CL43" s="1" t="s">
        <v>207</v>
      </c>
      <c r="CM43" s="1" t="s">
        <v>53</v>
      </c>
      <c r="CN43" s="1" t="s">
        <v>208</v>
      </c>
      <c r="CO43" s="1" t="s">
        <v>55</v>
      </c>
      <c r="CP43" s="1" t="s">
        <v>102</v>
      </c>
      <c r="CQ43" s="1" t="s">
        <v>57</v>
      </c>
      <c r="CR43" s="1" t="s">
        <v>209</v>
      </c>
      <c r="FZ43" s="1">
        <f t="shared" si="5"/>
        <v>-1217516.6600000001</v>
      </c>
      <c r="GA43" s="1">
        <f t="shared" si="6"/>
        <v>46464</v>
      </c>
      <c r="GB43" s="1">
        <f t="shared" ca="1" si="7"/>
        <v>1.9638888888888888</v>
      </c>
      <c r="GC43" s="52" t="e">
        <v>#NAME?</v>
      </c>
      <c r="GD43" s="1" t="e">
        <v>#NAME?</v>
      </c>
    </row>
    <row r="44" spans="1:186" ht="12.75" x14ac:dyDescent="0.2">
      <c r="A44" s="56"/>
      <c r="B44" s="120"/>
      <c r="C44" s="120"/>
      <c r="D44" s="56"/>
      <c r="E44" s="56"/>
      <c r="F44" s="56"/>
      <c r="G44" s="56"/>
      <c r="H44" s="56"/>
      <c r="I44" s="56"/>
      <c r="J44" s="56"/>
      <c r="K44" s="56"/>
      <c r="L44" s="56"/>
      <c r="M44" s="56"/>
      <c r="N44" s="56"/>
      <c r="O44" s="117"/>
      <c r="P44" s="56"/>
      <c r="Q44" s="117"/>
      <c r="R44" s="56"/>
      <c r="S44" s="117"/>
      <c r="T44" s="114"/>
      <c r="U44" s="115"/>
      <c r="V44" s="119"/>
      <c r="W44" s="56"/>
      <c r="X44" s="56"/>
      <c r="Y44" s="56"/>
      <c r="Z44" s="119"/>
      <c r="AA44" s="56"/>
      <c r="AB44" s="56"/>
      <c r="AC44" s="119"/>
      <c r="AD44" s="56"/>
      <c r="AE44" s="56"/>
      <c r="AF44" s="117"/>
      <c r="AG44" s="56"/>
      <c r="AH44" s="117"/>
      <c r="AI44" s="56"/>
      <c r="AJ44" s="117"/>
      <c r="AK44" s="114"/>
      <c r="AL44" s="115"/>
      <c r="AM44" s="119"/>
      <c r="AN44" s="118"/>
      <c r="AO44" s="117"/>
      <c r="AQ44" s="42"/>
      <c r="AS44" s="42"/>
      <c r="AT44" s="46"/>
      <c r="AU44" s="46"/>
      <c r="AW44" s="46"/>
      <c r="AX44" s="17"/>
      <c r="AY44" s="52"/>
      <c r="AZ44" s="52"/>
      <c r="BA44" s="65"/>
      <c r="BB44" s="48"/>
      <c r="BC44" s="23"/>
      <c r="BE44" s="46"/>
      <c r="BF44" s="23"/>
      <c r="BG44" s="46"/>
      <c r="BH44" s="23"/>
      <c r="BI44" s="46"/>
      <c r="BJ44" s="23"/>
      <c r="BL44" s="46"/>
      <c r="BM44" s="23"/>
      <c r="BN44" s="46"/>
      <c r="BO44" s="23"/>
      <c r="BP44" s="46"/>
      <c r="BQ44" s="23"/>
      <c r="BT44" s="46"/>
      <c r="BU44" s="23"/>
      <c r="BV44" s="46"/>
      <c r="BW44" s="23"/>
      <c r="BX44" s="46"/>
      <c r="BY44" s="23"/>
      <c r="CB44" s="46"/>
      <c r="CC44" s="23"/>
      <c r="CD44" s="46"/>
      <c r="CE44" s="23"/>
      <c r="CF44" s="46"/>
      <c r="CG44" s="23"/>
      <c r="GC44" s="52"/>
    </row>
    <row r="45" spans="1:186" ht="12.75" x14ac:dyDescent="0.2">
      <c r="A45" s="56"/>
      <c r="B45" s="120"/>
      <c r="C45" s="120"/>
      <c r="D45" s="56"/>
      <c r="E45" s="56"/>
      <c r="F45" s="56"/>
      <c r="G45" s="56"/>
      <c r="H45" s="56"/>
      <c r="I45" s="56"/>
      <c r="J45" s="56"/>
      <c r="K45" s="56"/>
      <c r="L45" s="56"/>
      <c r="M45" s="56"/>
      <c r="N45" s="56"/>
      <c r="O45" s="117"/>
      <c r="P45" s="56"/>
      <c r="Q45" s="117"/>
      <c r="R45" s="56"/>
      <c r="S45" s="117"/>
      <c r="T45" s="114"/>
      <c r="U45" s="115"/>
      <c r="V45" s="119"/>
      <c r="W45" s="56"/>
      <c r="X45" s="56"/>
      <c r="Y45" s="56"/>
      <c r="Z45" s="119"/>
      <c r="AA45" s="56"/>
      <c r="AB45" s="56"/>
      <c r="AC45" s="119"/>
      <c r="AD45" s="56"/>
      <c r="AE45" s="56"/>
      <c r="AF45" s="117"/>
      <c r="AG45" s="56"/>
      <c r="AH45" s="117"/>
      <c r="AI45" s="56"/>
      <c r="AJ45" s="117"/>
      <c r="AK45" s="114"/>
      <c r="AL45" s="115"/>
      <c r="AM45" s="119"/>
      <c r="AN45" s="118"/>
      <c r="AO45" s="117"/>
      <c r="AQ45" s="42"/>
      <c r="AS45" s="42"/>
      <c r="AT45" s="46"/>
      <c r="AU45" s="46"/>
      <c r="AW45" s="46"/>
      <c r="AX45" s="17"/>
      <c r="AY45" s="52"/>
      <c r="AZ45" s="52"/>
      <c r="BA45" s="65"/>
      <c r="BB45" s="48"/>
      <c r="BC45" s="23"/>
      <c r="BE45" s="46"/>
      <c r="BF45" s="23"/>
      <c r="BG45" s="46"/>
      <c r="BH45" s="23"/>
      <c r="BI45" s="46"/>
      <c r="BJ45" s="23"/>
      <c r="BL45" s="46"/>
      <c r="BM45" s="23"/>
      <c r="BN45" s="46"/>
      <c r="BO45" s="23"/>
      <c r="BP45" s="46"/>
      <c r="BQ45" s="23"/>
      <c r="BT45" s="46"/>
      <c r="BU45" s="23"/>
      <c r="BV45" s="46"/>
      <c r="BW45" s="23"/>
      <c r="BX45" s="46"/>
      <c r="BY45" s="23"/>
      <c r="CB45" s="46"/>
      <c r="CC45" s="23"/>
      <c r="CD45" s="46"/>
      <c r="CE45" s="23"/>
      <c r="CF45" s="46"/>
      <c r="CG45" s="23"/>
      <c r="GC45" s="52"/>
    </row>
    <row r="46" spans="1:186" x14ac:dyDescent="0.2">
      <c r="AN46" s="17"/>
      <c r="AQ46" s="42"/>
      <c r="AS46" s="42"/>
      <c r="AT46" s="46"/>
      <c r="AU46" s="46"/>
      <c r="AW46" s="46"/>
      <c r="AX46" s="17"/>
      <c r="AY46" s="52"/>
      <c r="AZ46" s="52"/>
      <c r="BA46" s="65"/>
      <c r="BB46" s="48"/>
      <c r="BC46" s="23"/>
      <c r="BE46" s="46"/>
      <c r="BF46" s="23"/>
      <c r="BG46" s="46"/>
      <c r="BH46" s="23"/>
      <c r="BI46" s="46"/>
      <c r="BJ46" s="23"/>
      <c r="BL46" s="46"/>
      <c r="BM46" s="23"/>
      <c r="BN46" s="46"/>
      <c r="BO46" s="23"/>
      <c r="BP46" s="46"/>
      <c r="BQ46" s="23"/>
      <c r="BT46" s="46"/>
      <c r="BU46" s="23"/>
      <c r="BV46" s="46"/>
      <c r="BW46" s="23"/>
      <c r="BX46" s="46"/>
      <c r="BY46" s="23"/>
      <c r="CB46" s="46"/>
      <c r="CC46" s="23"/>
      <c r="CD46" s="46"/>
      <c r="CE46" s="23"/>
      <c r="CF46" s="46"/>
      <c r="CG46" s="23"/>
      <c r="GC46" s="52"/>
    </row>
    <row r="47" spans="1:186" x14ac:dyDescent="0.2">
      <c r="AN47" s="17"/>
      <c r="AX47" s="17"/>
      <c r="AY47" s="52"/>
      <c r="AZ47" s="58"/>
      <c r="BA47" s="65"/>
      <c r="BB47" s="48"/>
      <c r="BC47" s="23"/>
      <c r="BE47" s="46"/>
      <c r="BF47" s="23"/>
      <c r="BG47" s="46"/>
      <c r="BH47" s="23"/>
      <c r="BI47" s="46"/>
      <c r="BJ47" s="23"/>
      <c r="BL47" s="46"/>
      <c r="BM47" s="23"/>
      <c r="BN47" s="46"/>
      <c r="BO47" s="23"/>
      <c r="BP47" s="46"/>
      <c r="BQ47" s="23"/>
      <c r="BT47" s="46"/>
      <c r="BU47" s="23"/>
      <c r="BV47" s="46"/>
      <c r="BW47" s="23"/>
      <c r="BX47" s="46"/>
      <c r="BY47" s="23"/>
      <c r="CB47" s="46"/>
      <c r="CC47" s="23"/>
      <c r="CD47" s="46"/>
      <c r="CE47" s="23"/>
      <c r="CF47" s="46"/>
      <c r="CG47" s="23"/>
      <c r="GC47" s="52"/>
    </row>
    <row r="48" spans="1:186" x14ac:dyDescent="0.2">
      <c r="AN48" s="17"/>
      <c r="AX48" s="17"/>
      <c r="AY48" s="52"/>
      <c r="AZ48" s="58"/>
      <c r="BA48" s="65"/>
      <c r="BB48" s="48"/>
      <c r="BC48" s="23"/>
      <c r="BE48" s="46"/>
      <c r="BF48" s="23"/>
      <c r="BG48" s="46"/>
      <c r="BH48" s="23"/>
      <c r="BI48" s="46"/>
      <c r="BJ48" s="23"/>
      <c r="BL48" s="46"/>
      <c r="BM48" s="23"/>
      <c r="BN48" s="46"/>
      <c r="BO48" s="23"/>
      <c r="BP48" s="46"/>
      <c r="BQ48" s="23"/>
      <c r="BT48" s="46"/>
      <c r="BU48" s="23"/>
      <c r="BV48" s="46"/>
      <c r="BW48" s="23"/>
      <c r="BX48" s="46"/>
      <c r="BY48" s="23"/>
      <c r="CB48" s="46"/>
      <c r="CC48" s="23"/>
      <c r="CD48" s="46"/>
      <c r="CE48" s="23"/>
      <c r="CF48" s="46"/>
      <c r="CG48" s="23"/>
      <c r="GC48" s="52"/>
    </row>
    <row r="51" spans="9:50" x14ac:dyDescent="0.2">
      <c r="AN51" s="48">
        <f>SUM(AN8:AN50)</f>
        <v>-176354952.84999999</v>
      </c>
      <c r="AW51" s="1" t="s">
        <v>592</v>
      </c>
      <c r="AX51" s="17" t="e">
        <f>SUM(AX8:AX50)</f>
        <v>#N/A</v>
      </c>
    </row>
    <row r="52" spans="9:50" x14ac:dyDescent="0.2">
      <c r="AW52" s="1" t="s">
        <v>593</v>
      </c>
      <c r="AX52" s="48">
        <f>SUM('IRS - INF – XCCY précédent'!$AN$7:$AN$150)</f>
        <v>-145484729.00999999</v>
      </c>
    </row>
    <row r="53" spans="9:50" x14ac:dyDescent="0.2">
      <c r="AM53" s="1" t="s">
        <v>351</v>
      </c>
      <c r="AN53" s="48" t="e">
        <f>+AN51-AX51</f>
        <v>#N/A</v>
      </c>
      <c r="AW53" s="1" t="s">
        <v>432</v>
      </c>
      <c r="AX53" s="139" t="e">
        <f>+AX52-AX51</f>
        <v>#N/A</v>
      </c>
    </row>
    <row r="54" spans="9:50" x14ac:dyDescent="0.2">
      <c r="M54" s="1" t="s">
        <v>349</v>
      </c>
      <c r="AM54" s="1" t="s">
        <v>379</v>
      </c>
      <c r="AN54" s="48"/>
    </row>
    <row r="55" spans="9:50" ht="12.75" x14ac:dyDescent="0.2">
      <c r="J55" s="1" t="s">
        <v>348</v>
      </c>
      <c r="L55" s="1" t="s">
        <v>347</v>
      </c>
      <c r="M55" s="48">
        <v>2700000000</v>
      </c>
      <c r="N55" s="1" t="s">
        <v>352</v>
      </c>
      <c r="AM55" s="1" t="s">
        <v>376</v>
      </c>
      <c r="AN55" s="48"/>
      <c r="AR55" s="2"/>
      <c r="AT55" s="1"/>
      <c r="AV55" s="64"/>
    </row>
    <row r="56" spans="9:50" x14ac:dyDescent="0.2">
      <c r="I56" s="51">
        <v>43553</v>
      </c>
      <c r="J56" s="1">
        <v>0.47199999999999998</v>
      </c>
      <c r="L56" s="1" t="s">
        <v>350</v>
      </c>
      <c r="M56" s="48">
        <f>+(J57*M55/100-M55*J56/100)*-N57</f>
        <v>-21903531.137766011</v>
      </c>
      <c r="N56" s="46" t="e">
        <f>+AVERAGE(AM34:AM43)</f>
        <v>#DIV/0!</v>
      </c>
      <c r="AM56" s="1" t="s">
        <v>378</v>
      </c>
      <c r="AN56" s="48" t="e">
        <f>AX53</f>
        <v>#N/A</v>
      </c>
    </row>
    <row r="57" spans="9:50" ht="12.75" thickBot="1" x14ac:dyDescent="0.25">
      <c r="I57" s="51">
        <v>43636</v>
      </c>
      <c r="J57" s="1">
        <v>0.20250000000000001</v>
      </c>
      <c r="N57" s="1">
        <v>-3.0101740036784186</v>
      </c>
      <c r="AM57" s="1" t="s">
        <v>383</v>
      </c>
      <c r="AN57" s="48"/>
      <c r="AX57" s="17"/>
    </row>
    <row r="58" spans="9:50" ht="12.75" thickBot="1" x14ac:dyDescent="0.25">
      <c r="AM58" s="104" t="s">
        <v>433</v>
      </c>
      <c r="AN58" s="103" t="e">
        <f>AN53-AN54-AN55-AN56-AN57</f>
        <v>#N/A</v>
      </c>
    </row>
    <row r="59" spans="9:50" x14ac:dyDescent="0.2">
      <c r="AK59" s="1" t="s">
        <v>377</v>
      </c>
      <c r="AL59" s="1" t="s">
        <v>381</v>
      </c>
    </row>
    <row r="60" spans="9:50" x14ac:dyDescent="0.2">
      <c r="AI60" s="1">
        <f>+AK60-AL60</f>
        <v>251.5</v>
      </c>
      <c r="AJ60" s="1" t="s">
        <v>384</v>
      </c>
      <c r="AL60" s="1">
        <v>-251.5</v>
      </c>
      <c r="AM60" s="1" t="s">
        <v>380</v>
      </c>
      <c r="AN60" s="48">
        <f>+(AK60-AL60)*1000000</f>
        <v>251500000</v>
      </c>
    </row>
    <row r="61" spans="9:50" x14ac:dyDescent="0.2">
      <c r="AL61" s="1">
        <f>AL60-AK60</f>
        <v>-251.5</v>
      </c>
      <c r="AM61" s="1" t="s">
        <v>416</v>
      </c>
      <c r="AN61" s="48" t="e">
        <f>+AN55+AN56+AN57</f>
        <v>#N/A</v>
      </c>
    </row>
    <row r="62" spans="9:50" x14ac:dyDescent="0.2">
      <c r="AN62" s="48" t="e">
        <f>+AN60-AN61</f>
        <v>#N/A</v>
      </c>
    </row>
    <row r="63" spans="9:50" x14ac:dyDescent="0.2">
      <c r="AJ63" s="1" t="s">
        <v>385</v>
      </c>
    </row>
    <row r="64" spans="9:50" x14ac:dyDescent="0.2">
      <c r="AK64" s="1" t="s">
        <v>388</v>
      </c>
    </row>
    <row r="65" spans="3:44" ht="48" x14ac:dyDescent="0.2">
      <c r="AI65" s="1" t="s">
        <v>348</v>
      </c>
      <c r="AK65" s="48">
        <v>2700000000</v>
      </c>
      <c r="AL65" s="1" t="s">
        <v>395</v>
      </c>
      <c r="AP65" s="36" t="s">
        <v>396</v>
      </c>
      <c r="AQ65" s="38" t="s">
        <v>393</v>
      </c>
      <c r="AR65" s="38" t="s">
        <v>394</v>
      </c>
    </row>
    <row r="66" spans="3:44" x14ac:dyDescent="0.2">
      <c r="C66" s="48"/>
      <c r="AH66" s="51" t="s">
        <v>386</v>
      </c>
      <c r="AI66" s="1">
        <v>6.5500000000000003E-2</v>
      </c>
      <c r="AJ66" s="1" t="s">
        <v>350</v>
      </c>
      <c r="AK66" s="88">
        <f>+(AI67*AK65/100-AK65*AI66/100)*-AL66</f>
        <v>0</v>
      </c>
      <c r="AL66" s="46">
        <f>+AR66</f>
        <v>-3.5741053262620257</v>
      </c>
      <c r="AM66" s="46"/>
      <c r="AP66" s="83">
        <f>+SUM(AP67:AP101)</f>
        <v>2692818808</v>
      </c>
      <c r="AQ66" s="84">
        <f>+AVERAGE(AQ67:AQ101)</f>
        <v>-3.1431229310157605</v>
      </c>
      <c r="AR66" s="84">
        <f>+SUM(AR67:AR101)</f>
        <v>-3.5741053262620257</v>
      </c>
    </row>
    <row r="67" spans="3:44" x14ac:dyDescent="0.2">
      <c r="C67" s="48"/>
      <c r="AH67" s="51" t="s">
        <v>387</v>
      </c>
      <c r="AI67" s="1">
        <v>6.5500000000000003E-2</v>
      </c>
      <c r="AK67" s="48"/>
      <c r="AO67" s="1">
        <f>+AP67/$AP$66</f>
        <v>5.1291534205594423E-2</v>
      </c>
      <c r="AP67" s="48">
        <v>138118808</v>
      </c>
      <c r="AQ67" s="46">
        <v>-5.3421055869001961</v>
      </c>
      <c r="AR67" s="1">
        <f t="shared" ref="AR67:AR101" si="8">+AQ67*AO67</f>
        <v>-0.27400479144038847</v>
      </c>
    </row>
    <row r="68" spans="3:44" x14ac:dyDescent="0.2">
      <c r="AO68" s="1">
        <f t="shared" ref="AO68:AO101" si="9">+AP68/$AP$66</f>
        <v>4.4191610533344139E-2</v>
      </c>
      <c r="AP68" s="48">
        <v>119000000</v>
      </c>
      <c r="AQ68" s="46">
        <v>-0.97146113683069069</v>
      </c>
      <c r="AR68" s="1">
        <f t="shared" si="8"/>
        <v>-4.2930432207101625E-2</v>
      </c>
    </row>
    <row r="69" spans="3:44" x14ac:dyDescent="0.2">
      <c r="AI69" s="1" t="s">
        <v>390</v>
      </c>
      <c r="AJ69" s="1" t="s">
        <v>389</v>
      </c>
      <c r="AO69" s="1">
        <f t="shared" si="9"/>
        <v>2.7851855378158069E-2</v>
      </c>
      <c r="AP69" s="48">
        <v>75000000</v>
      </c>
      <c r="AQ69" s="46">
        <v>-2.5658039905052146</v>
      </c>
      <c r="AR69" s="1">
        <f t="shared" si="8"/>
        <v>-7.1462401672252096E-2</v>
      </c>
    </row>
    <row r="70" spans="3:44" x14ac:dyDescent="0.2">
      <c r="AL70" s="1" t="s">
        <v>414</v>
      </c>
      <c r="AO70" s="1">
        <f t="shared" si="9"/>
        <v>2.7851855378158069E-2</v>
      </c>
      <c r="AP70" s="48">
        <v>75000000</v>
      </c>
      <c r="AQ70" s="46">
        <v>-2.0523884370709711</v>
      </c>
      <c r="AR70" s="1">
        <f t="shared" si="8"/>
        <v>-5.7162825929104558E-2</v>
      </c>
    </row>
    <row r="71" spans="3:44" x14ac:dyDescent="0.2">
      <c r="AI71" s="1" t="s">
        <v>392</v>
      </c>
      <c r="AK71" s="1" t="s">
        <v>391</v>
      </c>
      <c r="AL71" s="1">
        <v>-5</v>
      </c>
      <c r="AO71" s="1">
        <f t="shared" si="9"/>
        <v>3.7135807170877423E-2</v>
      </c>
      <c r="AP71" s="48">
        <v>100000000</v>
      </c>
      <c r="AQ71" s="46">
        <v>-2.565803990505215</v>
      </c>
      <c r="AR71" s="1">
        <f t="shared" si="8"/>
        <v>-9.5283202229669475E-2</v>
      </c>
    </row>
    <row r="72" spans="3:44" x14ac:dyDescent="0.2">
      <c r="AH72" s="51" t="s">
        <v>386</v>
      </c>
      <c r="AI72" s="1">
        <v>1.1617999999999999</v>
      </c>
      <c r="AJ72" s="1" t="s">
        <v>412</v>
      </c>
      <c r="AK72" s="48">
        <v>160000000</v>
      </c>
      <c r="AL72" s="85" t="s">
        <v>417</v>
      </c>
      <c r="AM72" s="85"/>
      <c r="AO72" s="1">
        <f t="shared" si="9"/>
        <v>1.8567903585438712E-2</v>
      </c>
      <c r="AP72" s="48">
        <v>50000000</v>
      </c>
      <c r="AQ72" s="46">
        <v>-2.0249084850394992</v>
      </c>
      <c r="AR72" s="1">
        <f t="shared" si="8"/>
        <v>-3.7598305519550186E-2</v>
      </c>
    </row>
    <row r="73" spans="3:44" x14ac:dyDescent="0.2">
      <c r="AH73" s="51" t="s">
        <v>387</v>
      </c>
      <c r="AI73" s="1">
        <v>1.1617999999999999</v>
      </c>
      <c r="AJ73" s="48">
        <f>+AK72*(AI73/AI72-1)*-1</f>
        <v>0</v>
      </c>
      <c r="AL73" s="48">
        <f>-(AI67*AK72/100-AK72*AI66/100)*-AL71+AM74*AK72*AL71</f>
        <v>1600000</v>
      </c>
      <c r="AM73" s="48"/>
      <c r="AN73" s="48"/>
      <c r="AO73" s="1">
        <f t="shared" si="9"/>
        <v>1.8567903585438712E-2</v>
      </c>
      <c r="AP73" s="48">
        <v>50000000</v>
      </c>
      <c r="AQ73" s="46">
        <v>-2.0249084850394992</v>
      </c>
      <c r="AR73" s="1">
        <f t="shared" si="8"/>
        <v>-3.7598305519550186E-2</v>
      </c>
    </row>
    <row r="74" spans="3:44" x14ac:dyDescent="0.2">
      <c r="AL74" s="1" t="s">
        <v>418</v>
      </c>
      <c r="AM74" s="89">
        <v>-2E-3</v>
      </c>
      <c r="AO74" s="1">
        <f t="shared" si="9"/>
        <v>3.7135807170877423E-2</v>
      </c>
      <c r="AP74" s="48">
        <v>100000000</v>
      </c>
      <c r="AQ74" s="46">
        <v>-3.025033005779834</v>
      </c>
      <c r="AR74" s="1">
        <f t="shared" si="8"/>
        <v>-0.11233704238817964</v>
      </c>
    </row>
    <row r="75" spans="3:44" x14ac:dyDescent="0.2">
      <c r="AO75" s="1">
        <f t="shared" si="9"/>
        <v>9.2839517927193558E-3</v>
      </c>
      <c r="AP75" s="48">
        <v>25000000</v>
      </c>
      <c r="AQ75" s="46">
        <v>-0.97146113683063529</v>
      </c>
      <c r="AR75" s="1">
        <f t="shared" si="8"/>
        <v>-9.0189983628359595E-3</v>
      </c>
    </row>
    <row r="76" spans="3:44" x14ac:dyDescent="0.2">
      <c r="AI76" s="1" t="s">
        <v>407</v>
      </c>
      <c r="AK76" s="1" t="s">
        <v>406</v>
      </c>
      <c r="AO76" s="1">
        <f t="shared" si="9"/>
        <v>4.3151807932559565E-2</v>
      </c>
      <c r="AP76" s="48">
        <v>116200000</v>
      </c>
      <c r="AQ76" s="46">
        <v>-7.383995145713981</v>
      </c>
      <c r="AR76" s="1">
        <f t="shared" si="8"/>
        <v>-0.31863274030280186</v>
      </c>
    </row>
    <row r="77" spans="3:44" x14ac:dyDescent="0.2">
      <c r="AG77" s="1">
        <f>1/AI77</f>
        <v>1.06</v>
      </c>
      <c r="AH77" s="51" t="s">
        <v>386</v>
      </c>
      <c r="AI77" s="1">
        <v>0.94339622641509424</v>
      </c>
      <c r="AJ77" s="1" t="s">
        <v>411</v>
      </c>
      <c r="AK77" s="48">
        <v>23000000</v>
      </c>
      <c r="AM77" s="1" t="s">
        <v>419</v>
      </c>
      <c r="AO77" s="1">
        <f t="shared" si="9"/>
        <v>1.8567903585438712E-2</v>
      </c>
      <c r="AP77" s="48">
        <v>50000000</v>
      </c>
      <c r="AQ77" s="46">
        <v>-5.3420612973414707</v>
      </c>
      <c r="AR77" s="1">
        <f t="shared" si="8"/>
        <v>-9.9190879116540065E-2</v>
      </c>
    </row>
    <row r="78" spans="3:44" x14ac:dyDescent="0.2">
      <c r="AG78" s="1">
        <f>1/AI78</f>
        <v>1.095</v>
      </c>
      <c r="AH78" s="51" t="s">
        <v>387</v>
      </c>
      <c r="AI78" s="1">
        <v>0.91324200913242015</v>
      </c>
      <c r="AJ78" s="48">
        <f>+AK77*(AI78/AI77-1)*-1</f>
        <v>735159.81735159433</v>
      </c>
      <c r="AM78" s="48">
        <f>+AJ78+AJ73+AL73</f>
        <v>2335159.8173515946</v>
      </c>
      <c r="AO78" s="1">
        <f t="shared" si="9"/>
        <v>3.8621239457712522E-2</v>
      </c>
      <c r="AP78" s="48">
        <v>104000000</v>
      </c>
      <c r="AQ78" s="46">
        <v>-7.8870953291190133</v>
      </c>
      <c r="AR78" s="1">
        <f t="shared" si="8"/>
        <v>-0.30460939733171138</v>
      </c>
    </row>
    <row r="79" spans="3:44" x14ac:dyDescent="0.2">
      <c r="AO79" s="1">
        <f t="shared" si="9"/>
        <v>1.7453829370312389E-2</v>
      </c>
      <c r="AP79" s="48">
        <v>47000000</v>
      </c>
      <c r="AQ79" s="46">
        <v>-2.4625818544700913</v>
      </c>
      <c r="AR79" s="1">
        <f t="shared" si="8"/>
        <v>-4.2981483498348426E-2</v>
      </c>
    </row>
    <row r="80" spans="3:44" x14ac:dyDescent="0.2">
      <c r="AO80" s="1">
        <f t="shared" si="9"/>
        <v>1.8567903585438712E-2</v>
      </c>
      <c r="AP80" s="48">
        <v>50000000</v>
      </c>
      <c r="AQ80" s="46">
        <v>-2.0523884370697871</v>
      </c>
      <c r="AR80" s="1">
        <f t="shared" si="8"/>
        <v>-3.8108550619381051E-2</v>
      </c>
    </row>
    <row r="81" spans="31:44" x14ac:dyDescent="0.2">
      <c r="AH81" s="1" t="s">
        <v>413</v>
      </c>
      <c r="AI81" s="1" t="s">
        <v>408</v>
      </c>
      <c r="AK81" s="1" t="s">
        <v>410</v>
      </c>
      <c r="AO81" s="1">
        <f t="shared" si="9"/>
        <v>3.7135807170877423E-2</v>
      </c>
      <c r="AP81" s="48">
        <v>100000000</v>
      </c>
      <c r="AQ81" s="46">
        <v>-2.565803990505215</v>
      </c>
      <c r="AR81" s="1">
        <f t="shared" si="8"/>
        <v>-9.5283202229669475E-2</v>
      </c>
    </row>
    <row r="82" spans="31:44" x14ac:dyDescent="0.2">
      <c r="AG82" s="51" t="s">
        <v>386</v>
      </c>
      <c r="AH82" s="19">
        <v>367.7</v>
      </c>
      <c r="AI82" s="1">
        <v>2.7569999999999999E-3</v>
      </c>
      <c r="AJ82" s="1" t="s">
        <v>409</v>
      </c>
      <c r="AK82" s="48">
        <v>534000000</v>
      </c>
      <c r="AO82" s="1">
        <f t="shared" si="9"/>
        <v>2.2281484302526457E-3</v>
      </c>
      <c r="AP82" s="48">
        <v>6000000</v>
      </c>
      <c r="AQ82" s="46">
        <v>-0.10134141273656398</v>
      </c>
      <c r="AR82" s="1">
        <f t="shared" si="8"/>
        <v>-2.2580370970856051E-4</v>
      </c>
    </row>
    <row r="83" spans="31:44" x14ac:dyDescent="0.2">
      <c r="AE83" s="1">
        <v>2.7200000000000002E-3</v>
      </c>
      <c r="AF83" s="1">
        <f>1/AE83</f>
        <v>367.64705882352939</v>
      </c>
      <c r="AG83" s="51" t="s">
        <v>387</v>
      </c>
      <c r="AH83" s="19">
        <v>367.7</v>
      </c>
      <c r="AI83" s="1">
        <v>2.7569999999999999E-3</v>
      </c>
      <c r="AJ83" s="48">
        <f>+AK82*(AI83/AI82-1)*-1</f>
        <v>0</v>
      </c>
      <c r="AO83" s="1">
        <f t="shared" si="9"/>
        <v>1.8567903585438712E-2</v>
      </c>
      <c r="AP83" s="48">
        <v>50000000</v>
      </c>
      <c r="AQ83" s="46">
        <v>-2.565803990505215</v>
      </c>
      <c r="AR83" s="1">
        <f t="shared" si="8"/>
        <v>-4.7641601114834738E-2</v>
      </c>
    </row>
    <row r="84" spans="31:44" x14ac:dyDescent="0.2">
      <c r="AH84" s="52">
        <f>+AH83/AH82-1</f>
        <v>0</v>
      </c>
      <c r="AI84" s="52">
        <f>+AI83/AI82-1</f>
        <v>0</v>
      </c>
      <c r="AO84" s="1">
        <f t="shared" si="9"/>
        <v>2.7851855378158069E-2</v>
      </c>
      <c r="AP84" s="48">
        <v>75000000</v>
      </c>
      <c r="AQ84" s="46">
        <v>-2.0523884370709711</v>
      </c>
      <c r="AR84" s="1">
        <f t="shared" si="8"/>
        <v>-5.7162825929104558E-2</v>
      </c>
    </row>
    <row r="85" spans="31:44" x14ac:dyDescent="0.2">
      <c r="AO85" s="1">
        <f t="shared" si="9"/>
        <v>3.7135807170877423E-2</v>
      </c>
      <c r="AP85" s="48">
        <v>100000000</v>
      </c>
      <c r="AQ85" s="46">
        <v>-4.3187842768252711</v>
      </c>
      <c r="AR85" s="1">
        <f t="shared" si="8"/>
        <v>-0.16038154011680056</v>
      </c>
    </row>
    <row r="86" spans="31:44" x14ac:dyDescent="0.2">
      <c r="AO86" s="1">
        <f t="shared" si="9"/>
        <v>3.7135807170877423E-2</v>
      </c>
      <c r="AP86" s="48">
        <v>100000000</v>
      </c>
      <c r="AQ86" s="46">
        <v>-3.4572918166496387</v>
      </c>
      <c r="AR86" s="1">
        <f t="shared" si="8"/>
        <v>-0.1283893222365535</v>
      </c>
    </row>
    <row r="87" spans="31:44" x14ac:dyDescent="0.2">
      <c r="AH87" s="1" t="s">
        <v>455</v>
      </c>
      <c r="AK87" s="48">
        <v>216000000</v>
      </c>
      <c r="AO87" s="1">
        <f t="shared" si="9"/>
        <v>3.7135807170877423E-2</v>
      </c>
      <c r="AP87" s="48">
        <v>100000000</v>
      </c>
      <c r="AQ87" s="46">
        <v>-3.8295070130759341</v>
      </c>
      <c r="AR87" s="1">
        <f t="shared" si="8"/>
        <v>-0.14221183399711065</v>
      </c>
    </row>
    <row r="88" spans="31:44" x14ac:dyDescent="0.2">
      <c r="AH88" s="51" t="s">
        <v>387</v>
      </c>
      <c r="AI88" s="51" t="s">
        <v>386</v>
      </c>
      <c r="AJ88" s="1" t="s">
        <v>350</v>
      </c>
      <c r="AK88" s="88">
        <f>+(AH89*AK87/100-AK87*AI89/100)*-1</f>
        <v>2863943.9999999404</v>
      </c>
      <c r="AL88" s="46"/>
      <c r="AO88" s="1">
        <f t="shared" si="9"/>
        <v>1.8567903585438712E-2</v>
      </c>
      <c r="AP88" s="48">
        <v>50000000</v>
      </c>
      <c r="AQ88" s="46">
        <v>-2.5658039904985452</v>
      </c>
      <c r="AR88" s="1">
        <f t="shared" si="8"/>
        <v>-4.7641601114710892E-2</v>
      </c>
    </row>
    <row r="89" spans="31:44" x14ac:dyDescent="0.2">
      <c r="AG89" s="1" t="s">
        <v>883</v>
      </c>
      <c r="AH89" s="1">
        <v>131.518</v>
      </c>
      <c r="AI89" s="1">
        <v>132.84389999999999</v>
      </c>
      <c r="AK89" s="48"/>
      <c r="AO89" s="1">
        <f t="shared" si="9"/>
        <v>1.8567903585438712E-2</v>
      </c>
      <c r="AP89" s="48">
        <v>50000000</v>
      </c>
      <c r="AQ89" s="46">
        <v>-5.3420612973414707</v>
      </c>
      <c r="AR89" s="1">
        <f t="shared" si="8"/>
        <v>-9.9190879116540065E-2</v>
      </c>
    </row>
    <row r="90" spans="31:44" x14ac:dyDescent="0.2">
      <c r="AO90" s="1">
        <f t="shared" si="9"/>
        <v>1.8567903585438712E-2</v>
      </c>
      <c r="AP90" s="48">
        <v>50000000</v>
      </c>
      <c r="AQ90" s="46">
        <v>-5.3420612973414707</v>
      </c>
      <c r="AR90" s="1">
        <f t="shared" si="8"/>
        <v>-9.9190879116540065E-2</v>
      </c>
    </row>
    <row r="91" spans="31:44" x14ac:dyDescent="0.2">
      <c r="AO91" s="1">
        <f t="shared" si="9"/>
        <v>1.8567903585438712E-2</v>
      </c>
      <c r="AP91" s="48">
        <v>50000000</v>
      </c>
      <c r="AQ91" s="46">
        <v>-2.0523884370709928</v>
      </c>
      <c r="AR91" s="1">
        <f t="shared" si="8"/>
        <v>-3.8108550619403443E-2</v>
      </c>
    </row>
    <row r="92" spans="31:44" x14ac:dyDescent="0.2">
      <c r="AI92" s="1" t="s">
        <v>880</v>
      </c>
      <c r="AK92" s="48">
        <v>216000000</v>
      </c>
      <c r="AL92" s="1" t="s">
        <v>395</v>
      </c>
      <c r="AO92" s="1">
        <f t="shared" si="9"/>
        <v>3.9363955601130068E-2</v>
      </c>
      <c r="AP92" s="48">
        <v>106000000</v>
      </c>
      <c r="AQ92" s="46">
        <v>-2.330040045825422</v>
      </c>
      <c r="AR92" s="1">
        <f t="shared" si="8"/>
        <v>-9.171959291272698E-2</v>
      </c>
    </row>
    <row r="93" spans="31:44" x14ac:dyDescent="0.2">
      <c r="AG93" s="1" t="s">
        <v>881</v>
      </c>
      <c r="AH93" s="51" t="s">
        <v>386</v>
      </c>
      <c r="AI93" s="1">
        <v>3.16</v>
      </c>
      <c r="AJ93" s="1" t="s">
        <v>350</v>
      </c>
      <c r="AK93" s="88">
        <f>+(AI94*AK92/100-AK92*AI93/100)*-AL93</f>
        <v>-3628800</v>
      </c>
      <c r="AL93" s="46">
        <v>-3</v>
      </c>
      <c r="AO93" s="1">
        <f t="shared" si="9"/>
        <v>9.0982727568649693E-3</v>
      </c>
      <c r="AP93" s="48">
        <v>24500000</v>
      </c>
      <c r="AQ93" s="46">
        <v>-2.4625818544701499</v>
      </c>
      <c r="AR93" s="1">
        <f t="shared" si="8"/>
        <v>-2.240524139807578E-2</v>
      </c>
    </row>
    <row r="94" spans="31:44" x14ac:dyDescent="0.2">
      <c r="AH94" s="51" t="s">
        <v>387</v>
      </c>
      <c r="AI94" s="1">
        <v>2.6</v>
      </c>
      <c r="AK94" s="48"/>
      <c r="AO94" s="1">
        <f t="shared" si="9"/>
        <v>5.6446426899733684E-2</v>
      </c>
      <c r="AP94" s="48">
        <v>152000000</v>
      </c>
      <c r="AQ94" s="46">
        <v>-8.2169103236631571</v>
      </c>
      <c r="AR94" s="1">
        <f t="shared" si="8"/>
        <v>-0.46381522792631946</v>
      </c>
    </row>
    <row r="95" spans="31:44" x14ac:dyDescent="0.2">
      <c r="AG95" s="48">
        <v>-3000000</v>
      </c>
      <c r="AO95" s="1">
        <f t="shared" si="9"/>
        <v>4.0849387887965168E-2</v>
      </c>
      <c r="AP95" s="48">
        <v>110000000</v>
      </c>
      <c r="AQ95" s="46">
        <v>-2.0523884370709995</v>
      </c>
      <c r="AR95" s="1">
        <f t="shared" si="8"/>
        <v>-8.3838811362687851E-2</v>
      </c>
    </row>
    <row r="96" spans="31:44" x14ac:dyDescent="0.2">
      <c r="AF96" s="51" t="s">
        <v>386</v>
      </c>
      <c r="AG96" s="48">
        <f>+AG95/(1+AI93%)^3</f>
        <v>-2732670.4109114809</v>
      </c>
      <c r="AO96" s="1">
        <f t="shared" si="9"/>
        <v>2.7851855378158069E-2</v>
      </c>
      <c r="AP96" s="48">
        <v>75000000</v>
      </c>
      <c r="AQ96" s="46">
        <v>-2.0523884370709711</v>
      </c>
      <c r="AR96" s="1">
        <f t="shared" si="8"/>
        <v>-5.7162825929104558E-2</v>
      </c>
    </row>
    <row r="97" spans="32:44" x14ac:dyDescent="0.2">
      <c r="AF97" s="51" t="s">
        <v>387</v>
      </c>
      <c r="AG97" s="48">
        <f>+AG95/(1+AI94%)^3</f>
        <v>-2777660.5605021245</v>
      </c>
      <c r="AO97" s="1">
        <f t="shared" si="9"/>
        <v>3.7135807170877423E-2</v>
      </c>
      <c r="AP97" s="48">
        <v>100000000</v>
      </c>
      <c r="AQ97" s="46">
        <v>-4.3187842768252711</v>
      </c>
      <c r="AR97" s="1">
        <f t="shared" si="8"/>
        <v>-0.16038154011680056</v>
      </c>
    </row>
    <row r="98" spans="32:44" x14ac:dyDescent="0.2">
      <c r="AF98" s="1" t="s">
        <v>882</v>
      </c>
      <c r="AG98" s="48">
        <f>+AG97-AG96</f>
        <v>-44990.149590643588</v>
      </c>
      <c r="AO98" s="1">
        <f t="shared" si="9"/>
        <v>2.7851855378158069E-2</v>
      </c>
      <c r="AP98" s="48">
        <v>75000000</v>
      </c>
      <c r="AQ98" s="46">
        <v>-2.5658039905052146</v>
      </c>
      <c r="AR98" s="1">
        <f t="shared" si="8"/>
        <v>-7.1462401672252096E-2</v>
      </c>
    </row>
    <row r="99" spans="32:44" x14ac:dyDescent="0.2">
      <c r="AO99" s="1">
        <f t="shared" si="9"/>
        <v>3.7135807170877423E-2</v>
      </c>
      <c r="AP99" s="48">
        <v>100000000</v>
      </c>
      <c r="AQ99" s="46">
        <v>-2.565803990505215</v>
      </c>
      <c r="AR99" s="1">
        <f t="shared" si="8"/>
        <v>-9.5283202229669475E-2</v>
      </c>
    </row>
    <row r="100" spans="32:44" x14ac:dyDescent="0.2">
      <c r="AO100" s="1">
        <f t="shared" si="9"/>
        <v>2.7851855378158069E-2</v>
      </c>
      <c r="AP100" s="48">
        <v>75000000</v>
      </c>
      <c r="AQ100" s="46">
        <v>-2.5658039905052146</v>
      </c>
      <c r="AR100" s="1">
        <f t="shared" si="8"/>
        <v>-7.1462401672252096E-2</v>
      </c>
    </row>
    <row r="101" spans="32:44" x14ac:dyDescent="0.2">
      <c r="AO101" s="1">
        <f t="shared" si="9"/>
        <v>1.6711113226894843E-2</v>
      </c>
      <c r="AP101" s="48">
        <v>45000000</v>
      </c>
      <c r="AQ101" s="46">
        <v>-1.3564961272588827E-2</v>
      </c>
      <c r="AR101" s="1">
        <f t="shared" si="8"/>
        <v>-2.2668560374467544E-4</v>
      </c>
    </row>
    <row r="120" spans="34:36" ht="12.75" x14ac:dyDescent="0.2">
      <c r="AH120" s="114"/>
      <c r="AI120" s="52"/>
      <c r="AJ120" s="116"/>
    </row>
    <row r="121" spans="34:36" ht="12.75" x14ac:dyDescent="0.2">
      <c r="AH121" s="114"/>
      <c r="AI121" s="52"/>
      <c r="AJ121" s="116"/>
    </row>
    <row r="122" spans="34:36" ht="12.75" x14ac:dyDescent="0.2">
      <c r="AH122" s="114"/>
      <c r="AI122" s="52"/>
      <c r="AJ122" s="116"/>
    </row>
    <row r="123" spans="34:36" ht="12.75" x14ac:dyDescent="0.2">
      <c r="AH123" s="114"/>
      <c r="AI123" s="52"/>
      <c r="AJ123" s="116"/>
    </row>
    <row r="124" spans="34:36" ht="12.75" x14ac:dyDescent="0.2">
      <c r="AH124" s="114"/>
      <c r="AI124" s="52"/>
      <c r="AJ124" s="116"/>
    </row>
    <row r="125" spans="34:36" ht="12.75" x14ac:dyDescent="0.2">
      <c r="AH125" s="114"/>
      <c r="AI125" s="52"/>
      <c r="AJ125" s="116"/>
    </row>
    <row r="126" spans="34:36" ht="12.75" x14ac:dyDescent="0.2">
      <c r="AH126" s="114"/>
      <c r="AI126" s="52"/>
      <c r="AJ126" s="116"/>
    </row>
    <row r="127" spans="34:36" ht="12.75" x14ac:dyDescent="0.2">
      <c r="AH127" s="114"/>
      <c r="AI127" s="52"/>
      <c r="AJ127" s="116"/>
    </row>
    <row r="128" spans="34:36" ht="12.75" x14ac:dyDescent="0.2">
      <c r="AH128" s="114"/>
      <c r="AI128" s="52"/>
      <c r="AJ128" s="116"/>
    </row>
    <row r="129" spans="34:36" ht="12.75" x14ac:dyDescent="0.2">
      <c r="AH129" s="114"/>
      <c r="AI129" s="52"/>
      <c r="AJ129" s="116"/>
    </row>
    <row r="130" spans="34:36" ht="12.75" x14ac:dyDescent="0.2">
      <c r="AH130" s="114"/>
      <c r="AI130" s="52"/>
      <c r="AJ130" s="116"/>
    </row>
    <row r="131" spans="34:36" ht="12.75" x14ac:dyDescent="0.2">
      <c r="AH131" s="114"/>
      <c r="AI131" s="52"/>
      <c r="AJ131" s="116"/>
    </row>
    <row r="132" spans="34:36" ht="12.75" x14ac:dyDescent="0.2">
      <c r="AH132" s="114"/>
      <c r="AI132" s="52"/>
      <c r="AJ132" s="116"/>
    </row>
    <row r="133" spans="34:36" ht="12.75" x14ac:dyDescent="0.2">
      <c r="AH133" s="114"/>
      <c r="AI133" s="52"/>
      <c r="AJ133" s="116"/>
    </row>
    <row r="134" spans="34:36" ht="12.75" x14ac:dyDescent="0.2">
      <c r="AH134" s="114"/>
      <c r="AI134" s="52"/>
      <c r="AJ134" s="116"/>
    </row>
    <row r="135" spans="34:36" ht="12.75" x14ac:dyDescent="0.2">
      <c r="AH135" s="114"/>
      <c r="AI135" s="52"/>
      <c r="AJ135" s="116"/>
    </row>
    <row r="136" spans="34:36" ht="12.75" x14ac:dyDescent="0.2">
      <c r="AH136" s="114"/>
      <c r="AI136" s="52"/>
      <c r="AJ136" s="116"/>
    </row>
    <row r="137" spans="34:36" ht="12.75" x14ac:dyDescent="0.2">
      <c r="AH137" s="114"/>
      <c r="AI137" s="52"/>
      <c r="AJ137" s="116"/>
    </row>
    <row r="138" spans="34:36" ht="12.75" x14ac:dyDescent="0.2">
      <c r="AH138" s="114"/>
      <c r="AI138" s="52"/>
      <c r="AJ138" s="116"/>
    </row>
    <row r="139" spans="34:36" ht="12.75" x14ac:dyDescent="0.2">
      <c r="AH139" s="114"/>
      <c r="AI139" s="52"/>
      <c r="AJ139" s="116"/>
    </row>
    <row r="140" spans="34:36" ht="12.75" x14ac:dyDescent="0.2">
      <c r="AH140" s="114"/>
      <c r="AI140" s="52"/>
      <c r="AJ140" s="116"/>
    </row>
    <row r="141" spans="34:36" ht="12.75" x14ac:dyDescent="0.2">
      <c r="AH141" s="114"/>
      <c r="AI141" s="52"/>
      <c r="AJ141" s="116"/>
    </row>
    <row r="142" spans="34:36" ht="12.75" x14ac:dyDescent="0.2">
      <c r="AH142" s="114"/>
      <c r="AI142" s="52"/>
      <c r="AJ142" s="116"/>
    </row>
    <row r="143" spans="34:36" ht="12.75" x14ac:dyDescent="0.2">
      <c r="AH143" s="114"/>
      <c r="AI143" s="52"/>
      <c r="AJ143" s="116"/>
    </row>
    <row r="144" spans="34:36" ht="12.75" x14ac:dyDescent="0.2">
      <c r="AH144" s="114"/>
      <c r="AI144" s="52"/>
      <c r="AJ144" s="116"/>
    </row>
    <row r="145" spans="34:36" ht="12.75" x14ac:dyDescent="0.2">
      <c r="AH145" s="114"/>
      <c r="AI145" s="52"/>
      <c r="AJ145" s="116"/>
    </row>
    <row r="146" spans="34:36" ht="12.75" x14ac:dyDescent="0.2">
      <c r="AH146" s="114"/>
      <c r="AI146" s="52"/>
      <c r="AJ146" s="116"/>
    </row>
    <row r="147" spans="34:36" ht="12.75" x14ac:dyDescent="0.2">
      <c r="AH147" s="114"/>
      <c r="AI147" s="52"/>
      <c r="AJ147" s="116"/>
    </row>
    <row r="148" spans="34:36" ht="12.75" x14ac:dyDescent="0.2">
      <c r="AH148" s="114"/>
      <c r="AI148" s="52"/>
      <c r="AJ148" s="116"/>
    </row>
    <row r="149" spans="34:36" ht="12.75" x14ac:dyDescent="0.2">
      <c r="AH149" s="114"/>
      <c r="AI149" s="52"/>
      <c r="AJ149" s="116"/>
    </row>
    <row r="150" spans="34:36" ht="12.75" x14ac:dyDescent="0.2">
      <c r="AH150" s="114"/>
      <c r="AI150" s="52"/>
      <c r="AJ150" s="116"/>
    </row>
    <row r="151" spans="34:36" ht="12.75" x14ac:dyDescent="0.2">
      <c r="AH151" s="114"/>
      <c r="AI151" s="52"/>
      <c r="AJ151" s="116"/>
    </row>
    <row r="152" spans="34:36" ht="12.75" x14ac:dyDescent="0.2">
      <c r="AH152" s="114"/>
      <c r="AI152" s="52"/>
      <c r="AJ152" s="116"/>
    </row>
    <row r="153" spans="34:36" ht="12.75" x14ac:dyDescent="0.2">
      <c r="AH153" s="114"/>
      <c r="AI153" s="52"/>
      <c r="AJ153" s="116"/>
    </row>
    <row r="154" spans="34:36" ht="12.75" x14ac:dyDescent="0.2">
      <c r="AH154" s="114"/>
      <c r="AI154" s="52"/>
      <c r="AJ154" s="116"/>
    </row>
    <row r="155" spans="34:36" ht="12.75" x14ac:dyDescent="0.2">
      <c r="AH155" s="114"/>
      <c r="AI155" s="52"/>
      <c r="AJ155" s="116"/>
    </row>
    <row r="156" spans="34:36" ht="12.75" x14ac:dyDescent="0.2">
      <c r="AH156" s="114"/>
      <c r="AI156" s="52"/>
      <c r="AJ156" s="116"/>
    </row>
    <row r="157" spans="34:36" ht="12.75" x14ac:dyDescent="0.2">
      <c r="AH157" s="114"/>
      <c r="AI157" s="52"/>
      <c r="AJ157" s="116"/>
    </row>
    <row r="158" spans="34:36" ht="12.75" x14ac:dyDescent="0.2">
      <c r="AH158" s="114"/>
      <c r="AI158" s="52"/>
      <c r="AJ158" s="116"/>
    </row>
    <row r="159" spans="34:36" ht="12.75" x14ac:dyDescent="0.2">
      <c r="AH159" s="114"/>
      <c r="AI159" s="52"/>
      <c r="AJ159" s="116"/>
    </row>
    <row r="160" spans="34:36" ht="12.75" x14ac:dyDescent="0.2">
      <c r="AH160" s="114"/>
      <c r="AI160" s="52"/>
      <c r="AJ160" s="116"/>
    </row>
    <row r="161" spans="34:36" ht="12.75" x14ac:dyDescent="0.2">
      <c r="AH161" s="114"/>
      <c r="AI161" s="52"/>
      <c r="AJ161" s="116"/>
    </row>
    <row r="162" spans="34:36" ht="12.75" x14ac:dyDescent="0.2">
      <c r="AH162" s="114"/>
      <c r="AI162" s="52"/>
      <c r="AJ162" s="116"/>
    </row>
    <row r="163" spans="34:36" ht="12.75" x14ac:dyDescent="0.2">
      <c r="AH163" s="114"/>
      <c r="AI163" s="52"/>
      <c r="AJ163" s="116"/>
    </row>
    <row r="165" spans="34:36" x14ac:dyDescent="0.2">
      <c r="AI165" s="48">
        <f>+SUM($AJ$120:$AJ$163)</f>
        <v>0</v>
      </c>
    </row>
  </sheetData>
  <autoFilter ref="A2:CH43" xr:uid="{00000000-0001-0000-0900-000000000000}"/>
  <mergeCells count="8">
    <mergeCell ref="BS5:BS6"/>
    <mergeCell ref="CA5:CA6"/>
    <mergeCell ref="F5:F6"/>
    <mergeCell ref="V5:V6"/>
    <mergeCell ref="AM5:AM6"/>
    <mergeCell ref="AV5:AV6"/>
    <mergeCell ref="BD5:BD6"/>
    <mergeCell ref="BK5:BK6"/>
  </mergeCells>
  <pageMargins left="0.78740157499999996" right="0.78740157499999996" top="0.984251969" bottom="0.984251969"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0"/>
  <dimension ref="A1:DR47"/>
  <sheetViews>
    <sheetView zoomScale="85" zoomScaleNormal="85" workbookViewId="0">
      <pane xSplit="6" ySplit="6" topLeftCell="G7" activePane="bottomRight" state="frozen"/>
      <selection pane="topRight" activeCell="F1" sqref="F1"/>
      <selection pane="bottomLeft" activeCell="A7" sqref="A7"/>
      <selection pane="bottomRight" activeCell="A7" sqref="A7"/>
    </sheetView>
  </sheetViews>
  <sheetFormatPr baseColWidth="10" defaultColWidth="9.85546875" defaultRowHeight="12" x14ac:dyDescent="0.2"/>
  <cols>
    <col min="1" max="1" width="9.85546875" style="56"/>
    <col min="2" max="2" width="19.85546875" style="101" customWidth="1"/>
    <col min="3" max="4" width="22" style="101" customWidth="1"/>
    <col min="5" max="5" width="18.42578125" style="1" bestFit="1" customWidth="1"/>
    <col min="6" max="7" width="16.42578125" style="1" customWidth="1"/>
    <col min="8" max="19" width="14.42578125" style="1" customWidth="1"/>
    <col min="20" max="20" width="18.28515625" style="1" customWidth="1"/>
    <col min="21" max="36" width="14.42578125" style="1" customWidth="1"/>
    <col min="37" max="37" width="17.7109375" style="1" customWidth="1"/>
    <col min="38" max="40" width="14.42578125" style="1" customWidth="1"/>
    <col min="41" max="46" width="12.42578125" style="1" customWidth="1"/>
    <col min="47" max="47" width="17.7109375" style="2" bestFit="1" customWidth="1"/>
    <col min="48" max="48" width="12.42578125" style="1" customWidth="1"/>
    <col min="49" max="49" width="13.7109375" style="1" customWidth="1"/>
    <col min="50" max="50" width="15.5703125" style="1" customWidth="1"/>
    <col min="51" max="54" width="13.7109375" style="1" customWidth="1"/>
    <col min="55" max="56" width="12.42578125" style="1" customWidth="1"/>
    <col min="57" max="57" width="14.85546875" style="1" customWidth="1"/>
    <col min="58" max="58" width="12.42578125" style="1" customWidth="1"/>
    <col min="59" max="60" width="13.42578125" style="1" customWidth="1"/>
    <col min="61" max="61" width="17" style="1" customWidth="1"/>
    <col min="62" max="63" width="12.42578125" style="1" customWidth="1"/>
    <col min="64" max="64" width="16.42578125" style="1" customWidth="1"/>
    <col min="65" max="65" width="12.42578125" style="1" customWidth="1"/>
    <col min="66" max="66" width="13.42578125" style="1" customWidth="1"/>
    <col min="67" max="67" width="12.42578125" style="1" customWidth="1"/>
    <col min="68" max="69" width="11.7109375" style="1" customWidth="1"/>
    <col min="70" max="70" width="11.42578125" style="1" customWidth="1"/>
    <col min="71" max="71" width="12.42578125" style="1" customWidth="1"/>
    <col min="72" max="72" width="16.42578125" style="1" customWidth="1"/>
    <col min="73" max="73" width="12.42578125" style="1" customWidth="1"/>
    <col min="74" max="74" width="13.42578125" style="1" customWidth="1"/>
    <col min="75" max="75" width="12.42578125" style="1" customWidth="1"/>
    <col min="76" max="77" width="11.7109375" style="1" customWidth="1"/>
    <col min="78" max="78" width="11.42578125" style="1" customWidth="1"/>
    <col min="79" max="79" width="12.42578125" style="1" customWidth="1"/>
    <col min="80" max="80" width="16.42578125" style="1" customWidth="1"/>
    <col min="81" max="81" width="12.42578125" style="1" customWidth="1"/>
    <col min="82" max="82" width="13.42578125" style="1" customWidth="1"/>
    <col min="83" max="83" width="12.42578125" style="1" customWidth="1"/>
    <col min="84" max="85" width="11.7109375" style="1" customWidth="1"/>
    <col min="86" max="86" width="11.42578125" style="1" customWidth="1"/>
    <col min="87" max="87" width="83.42578125" style="1" customWidth="1"/>
    <col min="88" max="88" width="11.42578125" style="1" customWidth="1"/>
    <col min="89" max="89" width="16.140625" style="1" hidden="1" customWidth="1"/>
    <col min="90" max="90" width="16.5703125" style="1" hidden="1" customWidth="1"/>
    <col min="91" max="91" width="16.7109375" style="1" hidden="1" customWidth="1"/>
    <col min="92" max="92" width="15.42578125" style="1" hidden="1" customWidth="1"/>
    <col min="93" max="93" width="14.85546875" style="1" customWidth="1"/>
    <col min="94" max="94" width="17.140625" style="1" customWidth="1"/>
    <col min="95" max="122" width="9.140625" style="1"/>
    <col min="123" max="207" width="9.85546875" style="56"/>
    <col min="208" max="208" width="20.5703125" style="56" customWidth="1"/>
    <col min="209" max="209" width="22.7109375" style="56" customWidth="1"/>
    <col min="210" max="210" width="19.140625" style="56" customWidth="1"/>
    <col min="211" max="212" width="17.140625" style="56" customWidth="1"/>
    <col min="213" max="213" width="19.5703125" style="56" customWidth="1"/>
    <col min="214" max="215" width="16.28515625" style="56" customWidth="1"/>
    <col min="216" max="216" width="12" style="56" customWidth="1"/>
    <col min="217" max="217" width="13.42578125" style="56" customWidth="1"/>
    <col min="218" max="222" width="15.42578125" style="56" customWidth="1"/>
    <col min="223" max="226" width="14.5703125" style="56" customWidth="1"/>
    <col min="227" max="227" width="15" style="56" customWidth="1"/>
    <col min="228" max="228" width="14.5703125" style="56" customWidth="1"/>
    <col min="229" max="241" width="14.140625" style="56" customWidth="1"/>
    <col min="242" max="242" width="17.5703125" style="56" customWidth="1"/>
    <col min="243" max="243" width="13.140625" style="56" customWidth="1"/>
    <col min="244" max="244" width="14.28515625" style="56" customWidth="1"/>
    <col min="245" max="248" width="13.140625" style="56" customWidth="1"/>
    <col min="249" max="249" width="13.85546875" style="56" customWidth="1"/>
    <col min="250" max="285" width="15.140625" style="56" customWidth="1"/>
    <col min="286" max="297" width="13.140625" style="56" customWidth="1"/>
    <col min="298" max="298" width="18.28515625" style="56" customWidth="1"/>
    <col min="299" max="299" width="15.85546875" style="56" customWidth="1"/>
    <col min="300" max="301" width="16.140625" style="56" customWidth="1"/>
    <col min="302" max="303" width="16.28515625" style="56" customWidth="1"/>
    <col min="304" max="304" width="17.7109375" style="56" customWidth="1"/>
    <col min="305" max="305" width="16.28515625" style="56" customWidth="1"/>
    <col min="306" max="306" width="18.42578125" style="56" customWidth="1"/>
    <col min="307" max="307" width="19.140625" style="56" customWidth="1"/>
    <col min="308" max="308" width="18.28515625" style="56" customWidth="1"/>
    <col min="309" max="310" width="16.7109375" style="56" customWidth="1"/>
    <col min="311" max="314" width="13.140625" style="56" customWidth="1"/>
    <col min="315" max="315" width="18.42578125" style="56" customWidth="1"/>
    <col min="316" max="316" width="13.140625" style="56" customWidth="1"/>
    <col min="317" max="317" width="14.42578125" style="56" customWidth="1"/>
    <col min="318" max="318" width="16.28515625" style="56" customWidth="1"/>
    <col min="319" max="322" width="14.42578125" style="56" customWidth="1"/>
    <col min="323" max="324" width="13.140625" style="56" customWidth="1"/>
    <col min="325" max="325" width="15.5703125" style="56" customWidth="1"/>
    <col min="326" max="326" width="13.140625" style="56" customWidth="1"/>
    <col min="327" max="328" width="14.140625" style="56" customWidth="1"/>
    <col min="329" max="329" width="17.7109375" style="56" customWidth="1"/>
    <col min="330" max="331" width="13.140625" style="56" customWidth="1"/>
    <col min="332" max="332" width="17.140625" style="56" customWidth="1"/>
    <col min="333" max="333" width="13.140625" style="56" customWidth="1"/>
    <col min="334" max="334" width="14.140625" style="56" customWidth="1"/>
    <col min="335" max="335" width="13.140625" style="56" customWidth="1"/>
    <col min="336" max="337" width="12.42578125" style="56" customWidth="1"/>
    <col min="338" max="338" width="12.140625" style="56" customWidth="1"/>
    <col min="339" max="339" width="12.42578125" style="56" customWidth="1"/>
    <col min="340" max="340" width="12.140625" style="56" customWidth="1"/>
    <col min="341" max="342" width="16.140625" style="56" customWidth="1"/>
    <col min="343" max="343" width="16.85546875" style="56" customWidth="1"/>
    <col min="344" max="344" width="17.28515625" style="56" customWidth="1"/>
    <col min="345" max="345" width="17.42578125" style="56" customWidth="1"/>
    <col min="346" max="346" width="16.140625" style="56" customWidth="1"/>
    <col min="347" max="347" width="15.5703125" style="56" customWidth="1"/>
    <col min="348" max="348" width="17.85546875" style="56" customWidth="1"/>
    <col min="349" max="349" width="17.42578125" style="56" customWidth="1"/>
    <col min="350" max="350" width="17.28515625" style="56" customWidth="1"/>
    <col min="351" max="351" width="17" style="56" customWidth="1"/>
    <col min="352" max="352" width="15.5703125" style="56" customWidth="1"/>
    <col min="353" max="353" width="16.85546875" style="56" customWidth="1"/>
    <col min="354" max="354" width="16.7109375" style="56" customWidth="1"/>
    <col min="355" max="355" width="16.28515625" style="56" customWidth="1"/>
    <col min="356" max="356" width="17" style="56" customWidth="1"/>
    <col min="357" max="357" width="17.85546875" style="56" customWidth="1"/>
    <col min="358" max="358" width="17" style="56" customWidth="1"/>
    <col min="359" max="359" width="16.42578125" style="56" customWidth="1"/>
    <col min="360" max="360" width="16.140625" style="56" customWidth="1"/>
    <col min="361" max="463" width="9.85546875" style="56"/>
    <col min="464" max="464" width="20.5703125" style="56" customWidth="1"/>
    <col min="465" max="465" width="22.7109375" style="56" customWidth="1"/>
    <col min="466" max="466" width="19.140625" style="56" customWidth="1"/>
    <col min="467" max="468" width="17.140625" style="56" customWidth="1"/>
    <col min="469" max="469" width="19.5703125" style="56" customWidth="1"/>
    <col min="470" max="471" width="16.28515625" style="56" customWidth="1"/>
    <col min="472" max="472" width="12" style="56" customWidth="1"/>
    <col min="473" max="473" width="13.42578125" style="56" customWidth="1"/>
    <col min="474" max="478" width="15.42578125" style="56" customWidth="1"/>
    <col min="479" max="482" width="14.5703125" style="56" customWidth="1"/>
    <col min="483" max="483" width="15" style="56" customWidth="1"/>
    <col min="484" max="484" width="14.5703125" style="56" customWidth="1"/>
    <col min="485" max="497" width="14.140625" style="56" customWidth="1"/>
    <col min="498" max="498" width="17.5703125" style="56" customWidth="1"/>
    <col min="499" max="499" width="13.140625" style="56" customWidth="1"/>
    <col min="500" max="500" width="14.28515625" style="56" customWidth="1"/>
    <col min="501" max="504" width="13.140625" style="56" customWidth="1"/>
    <col min="505" max="505" width="13.85546875" style="56" customWidth="1"/>
    <col min="506" max="541" width="15.140625" style="56" customWidth="1"/>
    <col min="542" max="553" width="13.140625" style="56" customWidth="1"/>
    <col min="554" max="554" width="18.28515625" style="56" customWidth="1"/>
    <col min="555" max="555" width="15.85546875" style="56" customWidth="1"/>
    <col min="556" max="557" width="16.140625" style="56" customWidth="1"/>
    <col min="558" max="559" width="16.28515625" style="56" customWidth="1"/>
    <col min="560" max="560" width="17.7109375" style="56" customWidth="1"/>
    <col min="561" max="561" width="16.28515625" style="56" customWidth="1"/>
    <col min="562" max="562" width="18.42578125" style="56" customWidth="1"/>
    <col min="563" max="563" width="19.140625" style="56" customWidth="1"/>
    <col min="564" max="564" width="18.28515625" style="56" customWidth="1"/>
    <col min="565" max="566" width="16.7109375" style="56" customWidth="1"/>
    <col min="567" max="570" width="13.140625" style="56" customWidth="1"/>
    <col min="571" max="571" width="18.42578125" style="56" customWidth="1"/>
    <col min="572" max="572" width="13.140625" style="56" customWidth="1"/>
    <col min="573" max="573" width="14.42578125" style="56" customWidth="1"/>
    <col min="574" max="574" width="16.28515625" style="56" customWidth="1"/>
    <col min="575" max="578" width="14.42578125" style="56" customWidth="1"/>
    <col min="579" max="580" width="13.140625" style="56" customWidth="1"/>
    <col min="581" max="581" width="15.5703125" style="56" customWidth="1"/>
    <col min="582" max="582" width="13.140625" style="56" customWidth="1"/>
    <col min="583" max="584" width="14.140625" style="56" customWidth="1"/>
    <col min="585" max="585" width="17.7109375" style="56" customWidth="1"/>
    <col min="586" max="587" width="13.140625" style="56" customWidth="1"/>
    <col min="588" max="588" width="17.140625" style="56" customWidth="1"/>
    <col min="589" max="589" width="13.140625" style="56" customWidth="1"/>
    <col min="590" max="590" width="14.140625" style="56" customWidth="1"/>
    <col min="591" max="591" width="13.140625" style="56" customWidth="1"/>
    <col min="592" max="593" width="12.42578125" style="56" customWidth="1"/>
    <col min="594" max="594" width="12.140625" style="56" customWidth="1"/>
    <col min="595" max="595" width="12.42578125" style="56" customWidth="1"/>
    <col min="596" max="596" width="12.140625" style="56" customWidth="1"/>
    <col min="597" max="598" width="16.140625" style="56" customWidth="1"/>
    <col min="599" max="599" width="16.85546875" style="56" customWidth="1"/>
    <col min="600" max="600" width="17.28515625" style="56" customWidth="1"/>
    <col min="601" max="601" width="17.42578125" style="56" customWidth="1"/>
    <col min="602" max="602" width="16.140625" style="56" customWidth="1"/>
    <col min="603" max="603" width="15.5703125" style="56" customWidth="1"/>
    <col min="604" max="604" width="17.85546875" style="56" customWidth="1"/>
    <col min="605" max="605" width="17.42578125" style="56" customWidth="1"/>
    <col min="606" max="606" width="17.28515625" style="56" customWidth="1"/>
    <col min="607" max="607" width="17" style="56" customWidth="1"/>
    <col min="608" max="608" width="15.5703125" style="56" customWidth="1"/>
    <col min="609" max="609" width="16.85546875" style="56" customWidth="1"/>
    <col min="610" max="610" width="16.7109375" style="56" customWidth="1"/>
    <col min="611" max="611" width="16.28515625" style="56" customWidth="1"/>
    <col min="612" max="612" width="17" style="56" customWidth="1"/>
    <col min="613" max="613" width="17.85546875" style="56" customWidth="1"/>
    <col min="614" max="614" width="17" style="56" customWidth="1"/>
    <col min="615" max="615" width="16.42578125" style="56" customWidth="1"/>
    <col min="616" max="616" width="16.140625" style="56" customWidth="1"/>
    <col min="617" max="719" width="9.85546875" style="56"/>
    <col min="720" max="720" width="20.5703125" style="56" customWidth="1"/>
    <col min="721" max="721" width="22.7109375" style="56" customWidth="1"/>
    <col min="722" max="722" width="19.140625" style="56" customWidth="1"/>
    <col min="723" max="724" width="17.140625" style="56" customWidth="1"/>
    <col min="725" max="725" width="19.5703125" style="56" customWidth="1"/>
    <col min="726" max="727" width="16.28515625" style="56" customWidth="1"/>
    <col min="728" max="728" width="12" style="56" customWidth="1"/>
    <col min="729" max="729" width="13.42578125" style="56" customWidth="1"/>
    <col min="730" max="734" width="15.42578125" style="56" customWidth="1"/>
    <col min="735" max="738" width="14.5703125" style="56" customWidth="1"/>
    <col min="739" max="739" width="15" style="56" customWidth="1"/>
    <col min="740" max="740" width="14.5703125" style="56" customWidth="1"/>
    <col min="741" max="753" width="14.140625" style="56" customWidth="1"/>
    <col min="754" max="754" width="17.5703125" style="56" customWidth="1"/>
    <col min="755" max="755" width="13.140625" style="56" customWidth="1"/>
    <col min="756" max="756" width="14.28515625" style="56" customWidth="1"/>
    <col min="757" max="760" width="13.140625" style="56" customWidth="1"/>
    <col min="761" max="761" width="13.85546875" style="56" customWidth="1"/>
    <col min="762" max="797" width="15.140625" style="56" customWidth="1"/>
    <col min="798" max="809" width="13.140625" style="56" customWidth="1"/>
    <col min="810" max="810" width="18.28515625" style="56" customWidth="1"/>
    <col min="811" max="811" width="15.85546875" style="56" customWidth="1"/>
    <col min="812" max="813" width="16.140625" style="56" customWidth="1"/>
    <col min="814" max="815" width="16.28515625" style="56" customWidth="1"/>
    <col min="816" max="816" width="17.7109375" style="56" customWidth="1"/>
    <col min="817" max="817" width="16.28515625" style="56" customWidth="1"/>
    <col min="818" max="818" width="18.42578125" style="56" customWidth="1"/>
    <col min="819" max="819" width="19.140625" style="56" customWidth="1"/>
    <col min="820" max="820" width="18.28515625" style="56" customWidth="1"/>
    <col min="821" max="822" width="16.7109375" style="56" customWidth="1"/>
    <col min="823" max="826" width="13.140625" style="56" customWidth="1"/>
    <col min="827" max="827" width="18.42578125" style="56" customWidth="1"/>
    <col min="828" max="828" width="13.140625" style="56" customWidth="1"/>
    <col min="829" max="829" width="14.42578125" style="56" customWidth="1"/>
    <col min="830" max="830" width="16.28515625" style="56" customWidth="1"/>
    <col min="831" max="834" width="14.42578125" style="56" customWidth="1"/>
    <col min="835" max="836" width="13.140625" style="56" customWidth="1"/>
    <col min="837" max="837" width="15.5703125" style="56" customWidth="1"/>
    <col min="838" max="838" width="13.140625" style="56" customWidth="1"/>
    <col min="839" max="840" width="14.140625" style="56" customWidth="1"/>
    <col min="841" max="841" width="17.7109375" style="56" customWidth="1"/>
    <col min="842" max="843" width="13.140625" style="56" customWidth="1"/>
    <col min="844" max="844" width="17.140625" style="56" customWidth="1"/>
    <col min="845" max="845" width="13.140625" style="56" customWidth="1"/>
    <col min="846" max="846" width="14.140625" style="56" customWidth="1"/>
    <col min="847" max="847" width="13.140625" style="56" customWidth="1"/>
    <col min="848" max="849" width="12.42578125" style="56" customWidth="1"/>
    <col min="850" max="850" width="12.140625" style="56" customWidth="1"/>
    <col min="851" max="851" width="12.42578125" style="56" customWidth="1"/>
    <col min="852" max="852" width="12.140625" style="56" customWidth="1"/>
    <col min="853" max="854" width="16.140625" style="56" customWidth="1"/>
    <col min="855" max="855" width="16.85546875" style="56" customWidth="1"/>
    <col min="856" max="856" width="17.28515625" style="56" customWidth="1"/>
    <col min="857" max="857" width="17.42578125" style="56" customWidth="1"/>
    <col min="858" max="858" width="16.140625" style="56" customWidth="1"/>
    <col min="859" max="859" width="15.5703125" style="56" customWidth="1"/>
    <col min="860" max="860" width="17.85546875" style="56" customWidth="1"/>
    <col min="861" max="861" width="17.42578125" style="56" customWidth="1"/>
    <col min="862" max="862" width="17.28515625" style="56" customWidth="1"/>
    <col min="863" max="863" width="17" style="56" customWidth="1"/>
    <col min="864" max="864" width="15.5703125" style="56" customWidth="1"/>
    <col min="865" max="865" width="16.85546875" style="56" customWidth="1"/>
    <col min="866" max="866" width="16.7109375" style="56" customWidth="1"/>
    <col min="867" max="867" width="16.28515625" style="56" customWidth="1"/>
    <col min="868" max="868" width="17" style="56" customWidth="1"/>
    <col min="869" max="869" width="17.85546875" style="56" customWidth="1"/>
    <col min="870" max="870" width="17" style="56" customWidth="1"/>
    <col min="871" max="871" width="16.42578125" style="56" customWidth="1"/>
    <col min="872" max="872" width="16.140625" style="56" customWidth="1"/>
    <col min="873" max="975" width="9.85546875" style="56"/>
    <col min="976" max="976" width="20.5703125" style="56" customWidth="1"/>
    <col min="977" max="977" width="22.7109375" style="56" customWidth="1"/>
    <col min="978" max="978" width="19.140625" style="56" customWidth="1"/>
    <col min="979" max="980" width="17.140625" style="56" customWidth="1"/>
    <col min="981" max="981" width="19.5703125" style="56" customWidth="1"/>
    <col min="982" max="983" width="16.28515625" style="56" customWidth="1"/>
    <col min="984" max="984" width="12" style="56" customWidth="1"/>
    <col min="985" max="985" width="13.42578125" style="56" customWidth="1"/>
    <col min="986" max="990" width="15.42578125" style="56" customWidth="1"/>
    <col min="991" max="994" width="14.5703125" style="56" customWidth="1"/>
    <col min="995" max="995" width="15" style="56" customWidth="1"/>
    <col min="996" max="996" width="14.5703125" style="56" customWidth="1"/>
    <col min="997" max="1009" width="14.140625" style="56" customWidth="1"/>
    <col min="1010" max="1010" width="17.5703125" style="56" customWidth="1"/>
    <col min="1011" max="1011" width="13.140625" style="56" customWidth="1"/>
    <col min="1012" max="1012" width="14.28515625" style="56" customWidth="1"/>
    <col min="1013" max="1016" width="13.140625" style="56" customWidth="1"/>
    <col min="1017" max="1017" width="13.85546875" style="56" customWidth="1"/>
    <col min="1018" max="1053" width="15.140625" style="56" customWidth="1"/>
    <col min="1054" max="1065" width="13.140625" style="56" customWidth="1"/>
    <col min="1066" max="1066" width="18.28515625" style="56" customWidth="1"/>
    <col min="1067" max="1067" width="15.85546875" style="56" customWidth="1"/>
    <col min="1068" max="1069" width="16.140625" style="56" customWidth="1"/>
    <col min="1070" max="1071" width="16.28515625" style="56" customWidth="1"/>
    <col min="1072" max="1072" width="17.7109375" style="56" customWidth="1"/>
    <col min="1073" max="1073" width="16.28515625" style="56" customWidth="1"/>
    <col min="1074" max="1074" width="18.42578125" style="56" customWidth="1"/>
    <col min="1075" max="1075" width="19.140625" style="56" customWidth="1"/>
    <col min="1076" max="1076" width="18.28515625" style="56" customWidth="1"/>
    <col min="1077" max="1078" width="16.7109375" style="56" customWidth="1"/>
    <col min="1079" max="1082" width="13.140625" style="56" customWidth="1"/>
    <col min="1083" max="1083" width="18.42578125" style="56" customWidth="1"/>
    <col min="1084" max="1084" width="13.140625" style="56" customWidth="1"/>
    <col min="1085" max="1085" width="14.42578125" style="56" customWidth="1"/>
    <col min="1086" max="1086" width="16.28515625" style="56" customWidth="1"/>
    <col min="1087" max="1090" width="14.42578125" style="56" customWidth="1"/>
    <col min="1091" max="1092" width="13.140625" style="56" customWidth="1"/>
    <col min="1093" max="1093" width="15.5703125" style="56" customWidth="1"/>
    <col min="1094" max="1094" width="13.140625" style="56" customWidth="1"/>
    <col min="1095" max="1096" width="14.140625" style="56" customWidth="1"/>
    <col min="1097" max="1097" width="17.7109375" style="56" customWidth="1"/>
    <col min="1098" max="1099" width="13.140625" style="56" customWidth="1"/>
    <col min="1100" max="1100" width="17.140625" style="56" customWidth="1"/>
    <col min="1101" max="1101" width="13.140625" style="56" customWidth="1"/>
    <col min="1102" max="1102" width="14.140625" style="56" customWidth="1"/>
    <col min="1103" max="1103" width="13.140625" style="56" customWidth="1"/>
    <col min="1104" max="1105" width="12.42578125" style="56" customWidth="1"/>
    <col min="1106" max="1106" width="12.140625" style="56" customWidth="1"/>
    <col min="1107" max="1107" width="12.42578125" style="56" customWidth="1"/>
    <col min="1108" max="1108" width="12.140625" style="56" customWidth="1"/>
    <col min="1109" max="1110" width="16.140625" style="56" customWidth="1"/>
    <col min="1111" max="1111" width="16.85546875" style="56" customWidth="1"/>
    <col min="1112" max="1112" width="17.28515625" style="56" customWidth="1"/>
    <col min="1113" max="1113" width="17.42578125" style="56" customWidth="1"/>
    <col min="1114" max="1114" width="16.140625" style="56" customWidth="1"/>
    <col min="1115" max="1115" width="15.5703125" style="56" customWidth="1"/>
    <col min="1116" max="1116" width="17.85546875" style="56" customWidth="1"/>
    <col min="1117" max="1117" width="17.42578125" style="56" customWidth="1"/>
    <col min="1118" max="1118" width="17.28515625" style="56" customWidth="1"/>
    <col min="1119" max="1119" width="17" style="56" customWidth="1"/>
    <col min="1120" max="1120" width="15.5703125" style="56" customWidth="1"/>
    <col min="1121" max="1121" width="16.85546875" style="56" customWidth="1"/>
    <col min="1122" max="1122" width="16.7109375" style="56" customWidth="1"/>
    <col min="1123" max="1123" width="16.28515625" style="56" customWidth="1"/>
    <col min="1124" max="1124" width="17" style="56" customWidth="1"/>
    <col min="1125" max="1125" width="17.85546875" style="56" customWidth="1"/>
    <col min="1126" max="1126" width="17" style="56" customWidth="1"/>
    <col min="1127" max="1127" width="16.42578125" style="56" customWidth="1"/>
    <col min="1128" max="1128" width="16.140625" style="56" customWidth="1"/>
    <col min="1129" max="1231" width="9.85546875" style="56"/>
    <col min="1232" max="1232" width="20.5703125" style="56" customWidth="1"/>
    <col min="1233" max="1233" width="22.7109375" style="56" customWidth="1"/>
    <col min="1234" max="1234" width="19.140625" style="56" customWidth="1"/>
    <col min="1235" max="1236" width="17.140625" style="56" customWidth="1"/>
    <col min="1237" max="1237" width="19.5703125" style="56" customWidth="1"/>
    <col min="1238" max="1239" width="16.28515625" style="56" customWidth="1"/>
    <col min="1240" max="1240" width="12" style="56" customWidth="1"/>
    <col min="1241" max="1241" width="13.42578125" style="56" customWidth="1"/>
    <col min="1242" max="1246" width="15.42578125" style="56" customWidth="1"/>
    <col min="1247" max="1250" width="14.5703125" style="56" customWidth="1"/>
    <col min="1251" max="1251" width="15" style="56" customWidth="1"/>
    <col min="1252" max="1252" width="14.5703125" style="56" customWidth="1"/>
    <col min="1253" max="1265" width="14.140625" style="56" customWidth="1"/>
    <col min="1266" max="1266" width="17.5703125" style="56" customWidth="1"/>
    <col min="1267" max="1267" width="13.140625" style="56" customWidth="1"/>
    <col min="1268" max="1268" width="14.28515625" style="56" customWidth="1"/>
    <col min="1269" max="1272" width="13.140625" style="56" customWidth="1"/>
    <col min="1273" max="1273" width="13.85546875" style="56" customWidth="1"/>
    <col min="1274" max="1309" width="15.140625" style="56" customWidth="1"/>
    <col min="1310" max="1321" width="13.140625" style="56" customWidth="1"/>
    <col min="1322" max="1322" width="18.28515625" style="56" customWidth="1"/>
    <col min="1323" max="1323" width="15.85546875" style="56" customWidth="1"/>
    <col min="1324" max="1325" width="16.140625" style="56" customWidth="1"/>
    <col min="1326" max="1327" width="16.28515625" style="56" customWidth="1"/>
    <col min="1328" max="1328" width="17.7109375" style="56" customWidth="1"/>
    <col min="1329" max="1329" width="16.28515625" style="56" customWidth="1"/>
    <col min="1330" max="1330" width="18.42578125" style="56" customWidth="1"/>
    <col min="1331" max="1331" width="19.140625" style="56" customWidth="1"/>
    <col min="1332" max="1332" width="18.28515625" style="56" customWidth="1"/>
    <col min="1333" max="1334" width="16.7109375" style="56" customWidth="1"/>
    <col min="1335" max="1338" width="13.140625" style="56" customWidth="1"/>
    <col min="1339" max="1339" width="18.42578125" style="56" customWidth="1"/>
    <col min="1340" max="1340" width="13.140625" style="56" customWidth="1"/>
    <col min="1341" max="1341" width="14.42578125" style="56" customWidth="1"/>
    <col min="1342" max="1342" width="16.28515625" style="56" customWidth="1"/>
    <col min="1343" max="1346" width="14.42578125" style="56" customWidth="1"/>
    <col min="1347" max="1348" width="13.140625" style="56" customWidth="1"/>
    <col min="1349" max="1349" width="15.5703125" style="56" customWidth="1"/>
    <col min="1350" max="1350" width="13.140625" style="56" customWidth="1"/>
    <col min="1351" max="1352" width="14.140625" style="56" customWidth="1"/>
    <col min="1353" max="1353" width="17.7109375" style="56" customWidth="1"/>
    <col min="1354" max="1355" width="13.140625" style="56" customWidth="1"/>
    <col min="1356" max="1356" width="17.140625" style="56" customWidth="1"/>
    <col min="1357" max="1357" width="13.140625" style="56" customWidth="1"/>
    <col min="1358" max="1358" width="14.140625" style="56" customWidth="1"/>
    <col min="1359" max="1359" width="13.140625" style="56" customWidth="1"/>
    <col min="1360" max="1361" width="12.42578125" style="56" customWidth="1"/>
    <col min="1362" max="1362" width="12.140625" style="56" customWidth="1"/>
    <col min="1363" max="1363" width="12.42578125" style="56" customWidth="1"/>
    <col min="1364" max="1364" width="12.140625" style="56" customWidth="1"/>
    <col min="1365" max="1366" width="16.140625" style="56" customWidth="1"/>
    <col min="1367" max="1367" width="16.85546875" style="56" customWidth="1"/>
    <col min="1368" max="1368" width="17.28515625" style="56" customWidth="1"/>
    <col min="1369" max="1369" width="17.42578125" style="56" customWidth="1"/>
    <col min="1370" max="1370" width="16.140625" style="56" customWidth="1"/>
    <col min="1371" max="1371" width="15.5703125" style="56" customWidth="1"/>
    <col min="1372" max="1372" width="17.85546875" style="56" customWidth="1"/>
    <col min="1373" max="1373" width="17.42578125" style="56" customWidth="1"/>
    <col min="1374" max="1374" width="17.28515625" style="56" customWidth="1"/>
    <col min="1375" max="1375" width="17" style="56" customWidth="1"/>
    <col min="1376" max="1376" width="15.5703125" style="56" customWidth="1"/>
    <col min="1377" max="1377" width="16.85546875" style="56" customWidth="1"/>
    <col min="1378" max="1378" width="16.7109375" style="56" customWidth="1"/>
    <col min="1379" max="1379" width="16.28515625" style="56" customWidth="1"/>
    <col min="1380" max="1380" width="17" style="56" customWidth="1"/>
    <col min="1381" max="1381" width="17.85546875" style="56" customWidth="1"/>
    <col min="1382" max="1382" width="17" style="56" customWidth="1"/>
    <col min="1383" max="1383" width="16.42578125" style="56" customWidth="1"/>
    <col min="1384" max="1384" width="16.140625" style="56" customWidth="1"/>
    <col min="1385" max="1487" width="9.85546875" style="56"/>
    <col min="1488" max="1488" width="20.5703125" style="56" customWidth="1"/>
    <col min="1489" max="1489" width="22.7109375" style="56" customWidth="1"/>
    <col min="1490" max="1490" width="19.140625" style="56" customWidth="1"/>
    <col min="1491" max="1492" width="17.140625" style="56" customWidth="1"/>
    <col min="1493" max="1493" width="19.5703125" style="56" customWidth="1"/>
    <col min="1494" max="1495" width="16.28515625" style="56" customWidth="1"/>
    <col min="1496" max="1496" width="12" style="56" customWidth="1"/>
    <col min="1497" max="1497" width="13.42578125" style="56" customWidth="1"/>
    <col min="1498" max="1502" width="15.42578125" style="56" customWidth="1"/>
    <col min="1503" max="1506" width="14.5703125" style="56" customWidth="1"/>
    <col min="1507" max="1507" width="15" style="56" customWidth="1"/>
    <col min="1508" max="1508" width="14.5703125" style="56" customWidth="1"/>
    <col min="1509" max="1521" width="14.140625" style="56" customWidth="1"/>
    <col min="1522" max="1522" width="17.5703125" style="56" customWidth="1"/>
    <col min="1523" max="1523" width="13.140625" style="56" customWidth="1"/>
    <col min="1524" max="1524" width="14.28515625" style="56" customWidth="1"/>
    <col min="1525" max="1528" width="13.140625" style="56" customWidth="1"/>
    <col min="1529" max="1529" width="13.85546875" style="56" customWidth="1"/>
    <col min="1530" max="1565" width="15.140625" style="56" customWidth="1"/>
    <col min="1566" max="1577" width="13.140625" style="56" customWidth="1"/>
    <col min="1578" max="1578" width="18.28515625" style="56" customWidth="1"/>
    <col min="1579" max="1579" width="15.85546875" style="56" customWidth="1"/>
    <col min="1580" max="1581" width="16.140625" style="56" customWidth="1"/>
    <col min="1582" max="1583" width="16.28515625" style="56" customWidth="1"/>
    <col min="1584" max="1584" width="17.7109375" style="56" customWidth="1"/>
    <col min="1585" max="1585" width="16.28515625" style="56" customWidth="1"/>
    <col min="1586" max="1586" width="18.42578125" style="56" customWidth="1"/>
    <col min="1587" max="1587" width="19.140625" style="56" customWidth="1"/>
    <col min="1588" max="1588" width="18.28515625" style="56" customWidth="1"/>
    <col min="1589" max="1590" width="16.7109375" style="56" customWidth="1"/>
    <col min="1591" max="1594" width="13.140625" style="56" customWidth="1"/>
    <col min="1595" max="1595" width="18.42578125" style="56" customWidth="1"/>
    <col min="1596" max="1596" width="13.140625" style="56" customWidth="1"/>
    <col min="1597" max="1597" width="14.42578125" style="56" customWidth="1"/>
    <col min="1598" max="1598" width="16.28515625" style="56" customWidth="1"/>
    <col min="1599" max="1602" width="14.42578125" style="56" customWidth="1"/>
    <col min="1603" max="1604" width="13.140625" style="56" customWidth="1"/>
    <col min="1605" max="1605" width="15.5703125" style="56" customWidth="1"/>
    <col min="1606" max="1606" width="13.140625" style="56" customWidth="1"/>
    <col min="1607" max="1608" width="14.140625" style="56" customWidth="1"/>
    <col min="1609" max="1609" width="17.7109375" style="56" customWidth="1"/>
    <col min="1610" max="1611" width="13.140625" style="56" customWidth="1"/>
    <col min="1612" max="1612" width="17.140625" style="56" customWidth="1"/>
    <col min="1613" max="1613" width="13.140625" style="56" customWidth="1"/>
    <col min="1614" max="1614" width="14.140625" style="56" customWidth="1"/>
    <col min="1615" max="1615" width="13.140625" style="56" customWidth="1"/>
    <col min="1616" max="1617" width="12.42578125" style="56" customWidth="1"/>
    <col min="1618" max="1618" width="12.140625" style="56" customWidth="1"/>
    <col min="1619" max="1619" width="12.42578125" style="56" customWidth="1"/>
    <col min="1620" max="1620" width="12.140625" style="56" customWidth="1"/>
    <col min="1621" max="1622" width="16.140625" style="56" customWidth="1"/>
    <col min="1623" max="1623" width="16.85546875" style="56" customWidth="1"/>
    <col min="1624" max="1624" width="17.28515625" style="56" customWidth="1"/>
    <col min="1625" max="1625" width="17.42578125" style="56" customWidth="1"/>
    <col min="1626" max="1626" width="16.140625" style="56" customWidth="1"/>
    <col min="1627" max="1627" width="15.5703125" style="56" customWidth="1"/>
    <col min="1628" max="1628" width="17.85546875" style="56" customWidth="1"/>
    <col min="1629" max="1629" width="17.42578125" style="56" customWidth="1"/>
    <col min="1630" max="1630" width="17.28515625" style="56" customWidth="1"/>
    <col min="1631" max="1631" width="17" style="56" customWidth="1"/>
    <col min="1632" max="1632" width="15.5703125" style="56" customWidth="1"/>
    <col min="1633" max="1633" width="16.85546875" style="56" customWidth="1"/>
    <col min="1634" max="1634" width="16.7109375" style="56" customWidth="1"/>
    <col min="1635" max="1635" width="16.28515625" style="56" customWidth="1"/>
    <col min="1636" max="1636" width="17" style="56" customWidth="1"/>
    <col min="1637" max="1637" width="17.85546875" style="56" customWidth="1"/>
    <col min="1638" max="1638" width="17" style="56" customWidth="1"/>
    <col min="1639" max="1639" width="16.42578125" style="56" customWidth="1"/>
    <col min="1640" max="1640" width="16.140625" style="56" customWidth="1"/>
    <col min="1641" max="1743" width="9.85546875" style="56"/>
    <col min="1744" max="1744" width="20.5703125" style="56" customWidth="1"/>
    <col min="1745" max="1745" width="22.7109375" style="56" customWidth="1"/>
    <col min="1746" max="1746" width="19.140625" style="56" customWidth="1"/>
    <col min="1747" max="1748" width="17.140625" style="56" customWidth="1"/>
    <col min="1749" max="1749" width="19.5703125" style="56" customWidth="1"/>
    <col min="1750" max="1751" width="16.28515625" style="56" customWidth="1"/>
    <col min="1752" max="1752" width="12" style="56" customWidth="1"/>
    <col min="1753" max="1753" width="13.42578125" style="56" customWidth="1"/>
    <col min="1754" max="1758" width="15.42578125" style="56" customWidth="1"/>
    <col min="1759" max="1762" width="14.5703125" style="56" customWidth="1"/>
    <col min="1763" max="1763" width="15" style="56" customWidth="1"/>
    <col min="1764" max="1764" width="14.5703125" style="56" customWidth="1"/>
    <col min="1765" max="1777" width="14.140625" style="56" customWidth="1"/>
    <col min="1778" max="1778" width="17.5703125" style="56" customWidth="1"/>
    <col min="1779" max="1779" width="13.140625" style="56" customWidth="1"/>
    <col min="1780" max="1780" width="14.28515625" style="56" customWidth="1"/>
    <col min="1781" max="1784" width="13.140625" style="56" customWidth="1"/>
    <col min="1785" max="1785" width="13.85546875" style="56" customWidth="1"/>
    <col min="1786" max="1821" width="15.140625" style="56" customWidth="1"/>
    <col min="1822" max="1833" width="13.140625" style="56" customWidth="1"/>
    <col min="1834" max="1834" width="18.28515625" style="56" customWidth="1"/>
    <col min="1835" max="1835" width="15.85546875" style="56" customWidth="1"/>
    <col min="1836" max="1837" width="16.140625" style="56" customWidth="1"/>
    <col min="1838" max="1839" width="16.28515625" style="56" customWidth="1"/>
    <col min="1840" max="1840" width="17.7109375" style="56" customWidth="1"/>
    <col min="1841" max="1841" width="16.28515625" style="56" customWidth="1"/>
    <col min="1842" max="1842" width="18.42578125" style="56" customWidth="1"/>
    <col min="1843" max="1843" width="19.140625" style="56" customWidth="1"/>
    <col min="1844" max="1844" width="18.28515625" style="56" customWidth="1"/>
    <col min="1845" max="1846" width="16.7109375" style="56" customWidth="1"/>
    <col min="1847" max="1850" width="13.140625" style="56" customWidth="1"/>
    <col min="1851" max="1851" width="18.42578125" style="56" customWidth="1"/>
    <col min="1852" max="1852" width="13.140625" style="56" customWidth="1"/>
    <col min="1853" max="1853" width="14.42578125" style="56" customWidth="1"/>
    <col min="1854" max="1854" width="16.28515625" style="56" customWidth="1"/>
    <col min="1855" max="1858" width="14.42578125" style="56" customWidth="1"/>
    <col min="1859" max="1860" width="13.140625" style="56" customWidth="1"/>
    <col min="1861" max="1861" width="15.5703125" style="56" customWidth="1"/>
    <col min="1862" max="1862" width="13.140625" style="56" customWidth="1"/>
    <col min="1863" max="1864" width="14.140625" style="56" customWidth="1"/>
    <col min="1865" max="1865" width="17.7109375" style="56" customWidth="1"/>
    <col min="1866" max="1867" width="13.140625" style="56" customWidth="1"/>
    <col min="1868" max="1868" width="17.140625" style="56" customWidth="1"/>
    <col min="1869" max="1869" width="13.140625" style="56" customWidth="1"/>
    <col min="1870" max="1870" width="14.140625" style="56" customWidth="1"/>
    <col min="1871" max="1871" width="13.140625" style="56" customWidth="1"/>
    <col min="1872" max="1873" width="12.42578125" style="56" customWidth="1"/>
    <col min="1874" max="1874" width="12.140625" style="56" customWidth="1"/>
    <col min="1875" max="1875" width="12.42578125" style="56" customWidth="1"/>
    <col min="1876" max="1876" width="12.140625" style="56" customWidth="1"/>
    <col min="1877" max="1878" width="16.140625" style="56" customWidth="1"/>
    <col min="1879" max="1879" width="16.85546875" style="56" customWidth="1"/>
    <col min="1880" max="1880" width="17.28515625" style="56" customWidth="1"/>
    <col min="1881" max="1881" width="17.42578125" style="56" customWidth="1"/>
    <col min="1882" max="1882" width="16.140625" style="56" customWidth="1"/>
    <col min="1883" max="1883" width="15.5703125" style="56" customWidth="1"/>
    <col min="1884" max="1884" width="17.85546875" style="56" customWidth="1"/>
    <col min="1885" max="1885" width="17.42578125" style="56" customWidth="1"/>
    <col min="1886" max="1886" width="17.28515625" style="56" customWidth="1"/>
    <col min="1887" max="1887" width="17" style="56" customWidth="1"/>
    <col min="1888" max="1888" width="15.5703125" style="56" customWidth="1"/>
    <col min="1889" max="1889" width="16.85546875" style="56" customWidth="1"/>
    <col min="1890" max="1890" width="16.7109375" style="56" customWidth="1"/>
    <col min="1891" max="1891" width="16.28515625" style="56" customWidth="1"/>
    <col min="1892" max="1892" width="17" style="56" customWidth="1"/>
    <col min="1893" max="1893" width="17.85546875" style="56" customWidth="1"/>
    <col min="1894" max="1894" width="17" style="56" customWidth="1"/>
    <col min="1895" max="1895" width="16.42578125" style="56" customWidth="1"/>
    <col min="1896" max="1896" width="16.140625" style="56" customWidth="1"/>
    <col min="1897" max="1999" width="9.85546875" style="56"/>
    <col min="2000" max="2000" width="20.5703125" style="56" customWidth="1"/>
    <col min="2001" max="2001" width="22.7109375" style="56" customWidth="1"/>
    <col min="2002" max="2002" width="19.140625" style="56" customWidth="1"/>
    <col min="2003" max="2004" width="17.140625" style="56" customWidth="1"/>
    <col min="2005" max="2005" width="19.5703125" style="56" customWidth="1"/>
    <col min="2006" max="2007" width="16.28515625" style="56" customWidth="1"/>
    <col min="2008" max="2008" width="12" style="56" customWidth="1"/>
    <col min="2009" max="2009" width="13.42578125" style="56" customWidth="1"/>
    <col min="2010" max="2014" width="15.42578125" style="56" customWidth="1"/>
    <col min="2015" max="2018" width="14.5703125" style="56" customWidth="1"/>
    <col min="2019" max="2019" width="15" style="56" customWidth="1"/>
    <col min="2020" max="2020" width="14.5703125" style="56" customWidth="1"/>
    <col min="2021" max="2033" width="14.140625" style="56" customWidth="1"/>
    <col min="2034" max="2034" width="17.5703125" style="56" customWidth="1"/>
    <col min="2035" max="2035" width="13.140625" style="56" customWidth="1"/>
    <col min="2036" max="2036" width="14.28515625" style="56" customWidth="1"/>
    <col min="2037" max="2040" width="13.140625" style="56" customWidth="1"/>
    <col min="2041" max="2041" width="13.85546875" style="56" customWidth="1"/>
    <col min="2042" max="2077" width="15.140625" style="56" customWidth="1"/>
    <col min="2078" max="2089" width="13.140625" style="56" customWidth="1"/>
    <col min="2090" max="2090" width="18.28515625" style="56" customWidth="1"/>
    <col min="2091" max="2091" width="15.85546875" style="56" customWidth="1"/>
    <col min="2092" max="2093" width="16.140625" style="56" customWidth="1"/>
    <col min="2094" max="2095" width="16.28515625" style="56" customWidth="1"/>
    <col min="2096" max="2096" width="17.7109375" style="56" customWidth="1"/>
    <col min="2097" max="2097" width="16.28515625" style="56" customWidth="1"/>
    <col min="2098" max="2098" width="18.42578125" style="56" customWidth="1"/>
    <col min="2099" max="2099" width="19.140625" style="56" customWidth="1"/>
    <col min="2100" max="2100" width="18.28515625" style="56" customWidth="1"/>
    <col min="2101" max="2102" width="16.7109375" style="56" customWidth="1"/>
    <col min="2103" max="2106" width="13.140625" style="56" customWidth="1"/>
    <col min="2107" max="2107" width="18.42578125" style="56" customWidth="1"/>
    <col min="2108" max="2108" width="13.140625" style="56" customWidth="1"/>
    <col min="2109" max="2109" width="14.42578125" style="56" customWidth="1"/>
    <col min="2110" max="2110" width="16.28515625" style="56" customWidth="1"/>
    <col min="2111" max="2114" width="14.42578125" style="56" customWidth="1"/>
    <col min="2115" max="2116" width="13.140625" style="56" customWidth="1"/>
    <col min="2117" max="2117" width="15.5703125" style="56" customWidth="1"/>
    <col min="2118" max="2118" width="13.140625" style="56" customWidth="1"/>
    <col min="2119" max="2120" width="14.140625" style="56" customWidth="1"/>
    <col min="2121" max="2121" width="17.7109375" style="56" customWidth="1"/>
    <col min="2122" max="2123" width="13.140625" style="56" customWidth="1"/>
    <col min="2124" max="2124" width="17.140625" style="56" customWidth="1"/>
    <col min="2125" max="2125" width="13.140625" style="56" customWidth="1"/>
    <col min="2126" max="2126" width="14.140625" style="56" customWidth="1"/>
    <col min="2127" max="2127" width="13.140625" style="56" customWidth="1"/>
    <col min="2128" max="2129" width="12.42578125" style="56" customWidth="1"/>
    <col min="2130" max="2130" width="12.140625" style="56" customWidth="1"/>
    <col min="2131" max="2131" width="12.42578125" style="56" customWidth="1"/>
    <col min="2132" max="2132" width="12.140625" style="56" customWidth="1"/>
    <col min="2133" max="2134" width="16.140625" style="56" customWidth="1"/>
    <col min="2135" max="2135" width="16.85546875" style="56" customWidth="1"/>
    <col min="2136" max="2136" width="17.28515625" style="56" customWidth="1"/>
    <col min="2137" max="2137" width="17.42578125" style="56" customWidth="1"/>
    <col min="2138" max="2138" width="16.140625" style="56" customWidth="1"/>
    <col min="2139" max="2139" width="15.5703125" style="56" customWidth="1"/>
    <col min="2140" max="2140" width="17.85546875" style="56" customWidth="1"/>
    <col min="2141" max="2141" width="17.42578125" style="56" customWidth="1"/>
    <col min="2142" max="2142" width="17.28515625" style="56" customWidth="1"/>
    <col min="2143" max="2143" width="17" style="56" customWidth="1"/>
    <col min="2144" max="2144" width="15.5703125" style="56" customWidth="1"/>
    <col min="2145" max="2145" width="16.85546875" style="56" customWidth="1"/>
    <col min="2146" max="2146" width="16.7109375" style="56" customWidth="1"/>
    <col min="2147" max="2147" width="16.28515625" style="56" customWidth="1"/>
    <col min="2148" max="2148" width="17" style="56" customWidth="1"/>
    <col min="2149" max="2149" width="17.85546875" style="56" customWidth="1"/>
    <col min="2150" max="2150" width="17" style="56" customWidth="1"/>
    <col min="2151" max="2151" width="16.42578125" style="56" customWidth="1"/>
    <col min="2152" max="2152" width="16.140625" style="56" customWidth="1"/>
    <col min="2153" max="2255" width="9.85546875" style="56"/>
    <col min="2256" max="2256" width="20.5703125" style="56" customWidth="1"/>
    <col min="2257" max="2257" width="22.7109375" style="56" customWidth="1"/>
    <col min="2258" max="2258" width="19.140625" style="56" customWidth="1"/>
    <col min="2259" max="2260" width="17.140625" style="56" customWidth="1"/>
    <col min="2261" max="2261" width="19.5703125" style="56" customWidth="1"/>
    <col min="2262" max="2263" width="16.28515625" style="56" customWidth="1"/>
    <col min="2264" max="2264" width="12" style="56" customWidth="1"/>
    <col min="2265" max="2265" width="13.42578125" style="56" customWidth="1"/>
    <col min="2266" max="2270" width="15.42578125" style="56" customWidth="1"/>
    <col min="2271" max="2274" width="14.5703125" style="56" customWidth="1"/>
    <col min="2275" max="2275" width="15" style="56" customWidth="1"/>
    <col min="2276" max="2276" width="14.5703125" style="56" customWidth="1"/>
    <col min="2277" max="2289" width="14.140625" style="56" customWidth="1"/>
    <col min="2290" max="2290" width="17.5703125" style="56" customWidth="1"/>
    <col min="2291" max="2291" width="13.140625" style="56" customWidth="1"/>
    <col min="2292" max="2292" width="14.28515625" style="56" customWidth="1"/>
    <col min="2293" max="2296" width="13.140625" style="56" customWidth="1"/>
    <col min="2297" max="2297" width="13.85546875" style="56" customWidth="1"/>
    <col min="2298" max="2333" width="15.140625" style="56" customWidth="1"/>
    <col min="2334" max="2345" width="13.140625" style="56" customWidth="1"/>
    <col min="2346" max="2346" width="18.28515625" style="56" customWidth="1"/>
    <col min="2347" max="2347" width="15.85546875" style="56" customWidth="1"/>
    <col min="2348" max="2349" width="16.140625" style="56" customWidth="1"/>
    <col min="2350" max="2351" width="16.28515625" style="56" customWidth="1"/>
    <col min="2352" max="2352" width="17.7109375" style="56" customWidth="1"/>
    <col min="2353" max="2353" width="16.28515625" style="56" customWidth="1"/>
    <col min="2354" max="2354" width="18.42578125" style="56" customWidth="1"/>
    <col min="2355" max="2355" width="19.140625" style="56" customWidth="1"/>
    <col min="2356" max="2356" width="18.28515625" style="56" customWidth="1"/>
    <col min="2357" max="2358" width="16.7109375" style="56" customWidth="1"/>
    <col min="2359" max="2362" width="13.140625" style="56" customWidth="1"/>
    <col min="2363" max="2363" width="18.42578125" style="56" customWidth="1"/>
    <col min="2364" max="2364" width="13.140625" style="56" customWidth="1"/>
    <col min="2365" max="2365" width="14.42578125" style="56" customWidth="1"/>
    <col min="2366" max="2366" width="16.28515625" style="56" customWidth="1"/>
    <col min="2367" max="2370" width="14.42578125" style="56" customWidth="1"/>
    <col min="2371" max="2372" width="13.140625" style="56" customWidth="1"/>
    <col min="2373" max="2373" width="15.5703125" style="56" customWidth="1"/>
    <col min="2374" max="2374" width="13.140625" style="56" customWidth="1"/>
    <col min="2375" max="2376" width="14.140625" style="56" customWidth="1"/>
    <col min="2377" max="2377" width="17.7109375" style="56" customWidth="1"/>
    <col min="2378" max="2379" width="13.140625" style="56" customWidth="1"/>
    <col min="2380" max="2380" width="17.140625" style="56" customWidth="1"/>
    <col min="2381" max="2381" width="13.140625" style="56" customWidth="1"/>
    <col min="2382" max="2382" width="14.140625" style="56" customWidth="1"/>
    <col min="2383" max="2383" width="13.140625" style="56" customWidth="1"/>
    <col min="2384" max="2385" width="12.42578125" style="56" customWidth="1"/>
    <col min="2386" max="2386" width="12.140625" style="56" customWidth="1"/>
    <col min="2387" max="2387" width="12.42578125" style="56" customWidth="1"/>
    <col min="2388" max="2388" width="12.140625" style="56" customWidth="1"/>
    <col min="2389" max="2390" width="16.140625" style="56" customWidth="1"/>
    <col min="2391" max="2391" width="16.85546875" style="56" customWidth="1"/>
    <col min="2392" max="2392" width="17.28515625" style="56" customWidth="1"/>
    <col min="2393" max="2393" width="17.42578125" style="56" customWidth="1"/>
    <col min="2394" max="2394" width="16.140625" style="56" customWidth="1"/>
    <col min="2395" max="2395" width="15.5703125" style="56" customWidth="1"/>
    <col min="2396" max="2396" width="17.85546875" style="56" customWidth="1"/>
    <col min="2397" max="2397" width="17.42578125" style="56" customWidth="1"/>
    <col min="2398" max="2398" width="17.28515625" style="56" customWidth="1"/>
    <col min="2399" max="2399" width="17" style="56" customWidth="1"/>
    <col min="2400" max="2400" width="15.5703125" style="56" customWidth="1"/>
    <col min="2401" max="2401" width="16.85546875" style="56" customWidth="1"/>
    <col min="2402" max="2402" width="16.7109375" style="56" customWidth="1"/>
    <col min="2403" max="2403" width="16.28515625" style="56" customWidth="1"/>
    <col min="2404" max="2404" width="17" style="56" customWidth="1"/>
    <col min="2405" max="2405" width="17.85546875" style="56" customWidth="1"/>
    <col min="2406" max="2406" width="17" style="56" customWidth="1"/>
    <col min="2407" max="2407" width="16.42578125" style="56" customWidth="1"/>
    <col min="2408" max="2408" width="16.140625" style="56" customWidth="1"/>
    <col min="2409" max="2511" width="9.85546875" style="56"/>
    <col min="2512" max="2512" width="20.5703125" style="56" customWidth="1"/>
    <col min="2513" max="2513" width="22.7109375" style="56" customWidth="1"/>
    <col min="2514" max="2514" width="19.140625" style="56" customWidth="1"/>
    <col min="2515" max="2516" width="17.140625" style="56" customWidth="1"/>
    <col min="2517" max="2517" width="19.5703125" style="56" customWidth="1"/>
    <col min="2518" max="2519" width="16.28515625" style="56" customWidth="1"/>
    <col min="2520" max="2520" width="12" style="56" customWidth="1"/>
    <col min="2521" max="2521" width="13.42578125" style="56" customWidth="1"/>
    <col min="2522" max="2526" width="15.42578125" style="56" customWidth="1"/>
    <col min="2527" max="2530" width="14.5703125" style="56" customWidth="1"/>
    <col min="2531" max="2531" width="15" style="56" customWidth="1"/>
    <col min="2532" max="2532" width="14.5703125" style="56" customWidth="1"/>
    <col min="2533" max="2545" width="14.140625" style="56" customWidth="1"/>
    <col min="2546" max="2546" width="17.5703125" style="56" customWidth="1"/>
    <col min="2547" max="2547" width="13.140625" style="56" customWidth="1"/>
    <col min="2548" max="2548" width="14.28515625" style="56" customWidth="1"/>
    <col min="2549" max="2552" width="13.140625" style="56" customWidth="1"/>
    <col min="2553" max="2553" width="13.85546875" style="56" customWidth="1"/>
    <col min="2554" max="2589" width="15.140625" style="56" customWidth="1"/>
    <col min="2590" max="2601" width="13.140625" style="56" customWidth="1"/>
    <col min="2602" max="2602" width="18.28515625" style="56" customWidth="1"/>
    <col min="2603" max="2603" width="15.85546875" style="56" customWidth="1"/>
    <col min="2604" max="2605" width="16.140625" style="56" customWidth="1"/>
    <col min="2606" max="2607" width="16.28515625" style="56" customWidth="1"/>
    <col min="2608" max="2608" width="17.7109375" style="56" customWidth="1"/>
    <col min="2609" max="2609" width="16.28515625" style="56" customWidth="1"/>
    <col min="2610" max="2610" width="18.42578125" style="56" customWidth="1"/>
    <col min="2611" max="2611" width="19.140625" style="56" customWidth="1"/>
    <col min="2612" max="2612" width="18.28515625" style="56" customWidth="1"/>
    <col min="2613" max="2614" width="16.7109375" style="56" customWidth="1"/>
    <col min="2615" max="2618" width="13.140625" style="56" customWidth="1"/>
    <col min="2619" max="2619" width="18.42578125" style="56" customWidth="1"/>
    <col min="2620" max="2620" width="13.140625" style="56" customWidth="1"/>
    <col min="2621" max="2621" width="14.42578125" style="56" customWidth="1"/>
    <col min="2622" max="2622" width="16.28515625" style="56" customWidth="1"/>
    <col min="2623" max="2626" width="14.42578125" style="56" customWidth="1"/>
    <col min="2627" max="2628" width="13.140625" style="56" customWidth="1"/>
    <col min="2629" max="2629" width="15.5703125" style="56" customWidth="1"/>
    <col min="2630" max="2630" width="13.140625" style="56" customWidth="1"/>
    <col min="2631" max="2632" width="14.140625" style="56" customWidth="1"/>
    <col min="2633" max="2633" width="17.7109375" style="56" customWidth="1"/>
    <col min="2634" max="2635" width="13.140625" style="56" customWidth="1"/>
    <col min="2636" max="2636" width="17.140625" style="56" customWidth="1"/>
    <col min="2637" max="2637" width="13.140625" style="56" customWidth="1"/>
    <col min="2638" max="2638" width="14.140625" style="56" customWidth="1"/>
    <col min="2639" max="2639" width="13.140625" style="56" customWidth="1"/>
    <col min="2640" max="2641" width="12.42578125" style="56" customWidth="1"/>
    <col min="2642" max="2642" width="12.140625" style="56" customWidth="1"/>
    <col min="2643" max="2643" width="12.42578125" style="56" customWidth="1"/>
    <col min="2644" max="2644" width="12.140625" style="56" customWidth="1"/>
    <col min="2645" max="2646" width="16.140625" style="56" customWidth="1"/>
    <col min="2647" max="2647" width="16.85546875" style="56" customWidth="1"/>
    <col min="2648" max="2648" width="17.28515625" style="56" customWidth="1"/>
    <col min="2649" max="2649" width="17.42578125" style="56" customWidth="1"/>
    <col min="2650" max="2650" width="16.140625" style="56" customWidth="1"/>
    <col min="2651" max="2651" width="15.5703125" style="56" customWidth="1"/>
    <col min="2652" max="2652" width="17.85546875" style="56" customWidth="1"/>
    <col min="2653" max="2653" width="17.42578125" style="56" customWidth="1"/>
    <col min="2654" max="2654" width="17.28515625" style="56" customWidth="1"/>
    <col min="2655" max="2655" width="17" style="56" customWidth="1"/>
    <col min="2656" max="2656" width="15.5703125" style="56" customWidth="1"/>
    <col min="2657" max="2657" width="16.85546875" style="56" customWidth="1"/>
    <col min="2658" max="2658" width="16.7109375" style="56" customWidth="1"/>
    <col min="2659" max="2659" width="16.28515625" style="56" customWidth="1"/>
    <col min="2660" max="2660" width="17" style="56" customWidth="1"/>
    <col min="2661" max="2661" width="17.85546875" style="56" customWidth="1"/>
    <col min="2662" max="2662" width="17" style="56" customWidth="1"/>
    <col min="2663" max="2663" width="16.42578125" style="56" customWidth="1"/>
    <col min="2664" max="2664" width="16.140625" style="56" customWidth="1"/>
    <col min="2665" max="2767" width="9.85546875" style="56"/>
    <col min="2768" max="2768" width="20.5703125" style="56" customWidth="1"/>
    <col min="2769" max="2769" width="22.7109375" style="56" customWidth="1"/>
    <col min="2770" max="2770" width="19.140625" style="56" customWidth="1"/>
    <col min="2771" max="2772" width="17.140625" style="56" customWidth="1"/>
    <col min="2773" max="2773" width="19.5703125" style="56" customWidth="1"/>
    <col min="2774" max="2775" width="16.28515625" style="56" customWidth="1"/>
    <col min="2776" max="2776" width="12" style="56" customWidth="1"/>
    <col min="2777" max="2777" width="13.42578125" style="56" customWidth="1"/>
    <col min="2778" max="2782" width="15.42578125" style="56" customWidth="1"/>
    <col min="2783" max="2786" width="14.5703125" style="56" customWidth="1"/>
    <col min="2787" max="2787" width="15" style="56" customWidth="1"/>
    <col min="2788" max="2788" width="14.5703125" style="56" customWidth="1"/>
    <col min="2789" max="2801" width="14.140625" style="56" customWidth="1"/>
    <col min="2802" max="2802" width="17.5703125" style="56" customWidth="1"/>
    <col min="2803" max="2803" width="13.140625" style="56" customWidth="1"/>
    <col min="2804" max="2804" width="14.28515625" style="56" customWidth="1"/>
    <col min="2805" max="2808" width="13.140625" style="56" customWidth="1"/>
    <col min="2809" max="2809" width="13.85546875" style="56" customWidth="1"/>
    <col min="2810" max="2845" width="15.140625" style="56" customWidth="1"/>
    <col min="2846" max="2857" width="13.140625" style="56" customWidth="1"/>
    <col min="2858" max="2858" width="18.28515625" style="56" customWidth="1"/>
    <col min="2859" max="2859" width="15.85546875" style="56" customWidth="1"/>
    <col min="2860" max="2861" width="16.140625" style="56" customWidth="1"/>
    <col min="2862" max="2863" width="16.28515625" style="56" customWidth="1"/>
    <col min="2864" max="2864" width="17.7109375" style="56" customWidth="1"/>
    <col min="2865" max="2865" width="16.28515625" style="56" customWidth="1"/>
    <col min="2866" max="2866" width="18.42578125" style="56" customWidth="1"/>
    <col min="2867" max="2867" width="19.140625" style="56" customWidth="1"/>
    <col min="2868" max="2868" width="18.28515625" style="56" customWidth="1"/>
    <col min="2869" max="2870" width="16.7109375" style="56" customWidth="1"/>
    <col min="2871" max="2874" width="13.140625" style="56" customWidth="1"/>
    <col min="2875" max="2875" width="18.42578125" style="56" customWidth="1"/>
    <col min="2876" max="2876" width="13.140625" style="56" customWidth="1"/>
    <col min="2877" max="2877" width="14.42578125" style="56" customWidth="1"/>
    <col min="2878" max="2878" width="16.28515625" style="56" customWidth="1"/>
    <col min="2879" max="2882" width="14.42578125" style="56" customWidth="1"/>
    <col min="2883" max="2884" width="13.140625" style="56" customWidth="1"/>
    <col min="2885" max="2885" width="15.5703125" style="56" customWidth="1"/>
    <col min="2886" max="2886" width="13.140625" style="56" customWidth="1"/>
    <col min="2887" max="2888" width="14.140625" style="56" customWidth="1"/>
    <col min="2889" max="2889" width="17.7109375" style="56" customWidth="1"/>
    <col min="2890" max="2891" width="13.140625" style="56" customWidth="1"/>
    <col min="2892" max="2892" width="17.140625" style="56" customWidth="1"/>
    <col min="2893" max="2893" width="13.140625" style="56" customWidth="1"/>
    <col min="2894" max="2894" width="14.140625" style="56" customWidth="1"/>
    <col min="2895" max="2895" width="13.140625" style="56" customWidth="1"/>
    <col min="2896" max="2897" width="12.42578125" style="56" customWidth="1"/>
    <col min="2898" max="2898" width="12.140625" style="56" customWidth="1"/>
    <col min="2899" max="2899" width="12.42578125" style="56" customWidth="1"/>
    <col min="2900" max="2900" width="12.140625" style="56" customWidth="1"/>
    <col min="2901" max="2902" width="16.140625" style="56" customWidth="1"/>
    <col min="2903" max="2903" width="16.85546875" style="56" customWidth="1"/>
    <col min="2904" max="2904" width="17.28515625" style="56" customWidth="1"/>
    <col min="2905" max="2905" width="17.42578125" style="56" customWidth="1"/>
    <col min="2906" max="2906" width="16.140625" style="56" customWidth="1"/>
    <col min="2907" max="2907" width="15.5703125" style="56" customWidth="1"/>
    <col min="2908" max="2908" width="17.85546875" style="56" customWidth="1"/>
    <col min="2909" max="2909" width="17.42578125" style="56" customWidth="1"/>
    <col min="2910" max="2910" width="17.28515625" style="56" customWidth="1"/>
    <col min="2911" max="2911" width="17" style="56" customWidth="1"/>
    <col min="2912" max="2912" width="15.5703125" style="56" customWidth="1"/>
    <col min="2913" max="2913" width="16.85546875" style="56" customWidth="1"/>
    <col min="2914" max="2914" width="16.7109375" style="56" customWidth="1"/>
    <col min="2915" max="2915" width="16.28515625" style="56" customWidth="1"/>
    <col min="2916" max="2916" width="17" style="56" customWidth="1"/>
    <col min="2917" max="2917" width="17.85546875" style="56" customWidth="1"/>
    <col min="2918" max="2918" width="17" style="56" customWidth="1"/>
    <col min="2919" max="2919" width="16.42578125" style="56" customWidth="1"/>
    <col min="2920" max="2920" width="16.140625" style="56" customWidth="1"/>
    <col min="2921" max="3023" width="9.85546875" style="56"/>
    <col min="3024" max="3024" width="20.5703125" style="56" customWidth="1"/>
    <col min="3025" max="3025" width="22.7109375" style="56" customWidth="1"/>
    <col min="3026" max="3026" width="19.140625" style="56" customWidth="1"/>
    <col min="3027" max="3028" width="17.140625" style="56" customWidth="1"/>
    <col min="3029" max="3029" width="19.5703125" style="56" customWidth="1"/>
    <col min="3030" max="3031" width="16.28515625" style="56" customWidth="1"/>
    <col min="3032" max="3032" width="12" style="56" customWidth="1"/>
    <col min="3033" max="3033" width="13.42578125" style="56" customWidth="1"/>
    <col min="3034" max="3038" width="15.42578125" style="56" customWidth="1"/>
    <col min="3039" max="3042" width="14.5703125" style="56" customWidth="1"/>
    <col min="3043" max="3043" width="15" style="56" customWidth="1"/>
    <col min="3044" max="3044" width="14.5703125" style="56" customWidth="1"/>
    <col min="3045" max="3057" width="14.140625" style="56" customWidth="1"/>
    <col min="3058" max="3058" width="17.5703125" style="56" customWidth="1"/>
    <col min="3059" max="3059" width="13.140625" style="56" customWidth="1"/>
    <col min="3060" max="3060" width="14.28515625" style="56" customWidth="1"/>
    <col min="3061" max="3064" width="13.140625" style="56" customWidth="1"/>
    <col min="3065" max="3065" width="13.85546875" style="56" customWidth="1"/>
    <col min="3066" max="3101" width="15.140625" style="56" customWidth="1"/>
    <col min="3102" max="3113" width="13.140625" style="56" customWidth="1"/>
    <col min="3114" max="3114" width="18.28515625" style="56" customWidth="1"/>
    <col min="3115" max="3115" width="15.85546875" style="56" customWidth="1"/>
    <col min="3116" max="3117" width="16.140625" style="56" customWidth="1"/>
    <col min="3118" max="3119" width="16.28515625" style="56" customWidth="1"/>
    <col min="3120" max="3120" width="17.7109375" style="56" customWidth="1"/>
    <col min="3121" max="3121" width="16.28515625" style="56" customWidth="1"/>
    <col min="3122" max="3122" width="18.42578125" style="56" customWidth="1"/>
    <col min="3123" max="3123" width="19.140625" style="56" customWidth="1"/>
    <col min="3124" max="3124" width="18.28515625" style="56" customWidth="1"/>
    <col min="3125" max="3126" width="16.7109375" style="56" customWidth="1"/>
    <col min="3127" max="3130" width="13.140625" style="56" customWidth="1"/>
    <col min="3131" max="3131" width="18.42578125" style="56" customWidth="1"/>
    <col min="3132" max="3132" width="13.140625" style="56" customWidth="1"/>
    <col min="3133" max="3133" width="14.42578125" style="56" customWidth="1"/>
    <col min="3134" max="3134" width="16.28515625" style="56" customWidth="1"/>
    <col min="3135" max="3138" width="14.42578125" style="56" customWidth="1"/>
    <col min="3139" max="3140" width="13.140625" style="56" customWidth="1"/>
    <col min="3141" max="3141" width="15.5703125" style="56" customWidth="1"/>
    <col min="3142" max="3142" width="13.140625" style="56" customWidth="1"/>
    <col min="3143" max="3144" width="14.140625" style="56" customWidth="1"/>
    <col min="3145" max="3145" width="17.7109375" style="56" customWidth="1"/>
    <col min="3146" max="3147" width="13.140625" style="56" customWidth="1"/>
    <col min="3148" max="3148" width="17.140625" style="56" customWidth="1"/>
    <col min="3149" max="3149" width="13.140625" style="56" customWidth="1"/>
    <col min="3150" max="3150" width="14.140625" style="56" customWidth="1"/>
    <col min="3151" max="3151" width="13.140625" style="56" customWidth="1"/>
    <col min="3152" max="3153" width="12.42578125" style="56" customWidth="1"/>
    <col min="3154" max="3154" width="12.140625" style="56" customWidth="1"/>
    <col min="3155" max="3155" width="12.42578125" style="56" customWidth="1"/>
    <col min="3156" max="3156" width="12.140625" style="56" customWidth="1"/>
    <col min="3157" max="3158" width="16.140625" style="56" customWidth="1"/>
    <col min="3159" max="3159" width="16.85546875" style="56" customWidth="1"/>
    <col min="3160" max="3160" width="17.28515625" style="56" customWidth="1"/>
    <col min="3161" max="3161" width="17.42578125" style="56" customWidth="1"/>
    <col min="3162" max="3162" width="16.140625" style="56" customWidth="1"/>
    <col min="3163" max="3163" width="15.5703125" style="56" customWidth="1"/>
    <col min="3164" max="3164" width="17.85546875" style="56" customWidth="1"/>
    <col min="3165" max="3165" width="17.42578125" style="56" customWidth="1"/>
    <col min="3166" max="3166" width="17.28515625" style="56" customWidth="1"/>
    <col min="3167" max="3167" width="17" style="56" customWidth="1"/>
    <col min="3168" max="3168" width="15.5703125" style="56" customWidth="1"/>
    <col min="3169" max="3169" width="16.85546875" style="56" customWidth="1"/>
    <col min="3170" max="3170" width="16.7109375" style="56" customWidth="1"/>
    <col min="3171" max="3171" width="16.28515625" style="56" customWidth="1"/>
    <col min="3172" max="3172" width="17" style="56" customWidth="1"/>
    <col min="3173" max="3173" width="17.85546875" style="56" customWidth="1"/>
    <col min="3174" max="3174" width="17" style="56" customWidth="1"/>
    <col min="3175" max="3175" width="16.42578125" style="56" customWidth="1"/>
    <col min="3176" max="3176" width="16.140625" style="56" customWidth="1"/>
    <col min="3177" max="3279" width="9.85546875" style="56"/>
    <col min="3280" max="3280" width="20.5703125" style="56" customWidth="1"/>
    <col min="3281" max="3281" width="22.7109375" style="56" customWidth="1"/>
    <col min="3282" max="3282" width="19.140625" style="56" customWidth="1"/>
    <col min="3283" max="3284" width="17.140625" style="56" customWidth="1"/>
    <col min="3285" max="3285" width="19.5703125" style="56" customWidth="1"/>
    <col min="3286" max="3287" width="16.28515625" style="56" customWidth="1"/>
    <col min="3288" max="3288" width="12" style="56" customWidth="1"/>
    <col min="3289" max="3289" width="13.42578125" style="56" customWidth="1"/>
    <col min="3290" max="3294" width="15.42578125" style="56" customWidth="1"/>
    <col min="3295" max="3298" width="14.5703125" style="56" customWidth="1"/>
    <col min="3299" max="3299" width="15" style="56" customWidth="1"/>
    <col min="3300" max="3300" width="14.5703125" style="56" customWidth="1"/>
    <col min="3301" max="3313" width="14.140625" style="56" customWidth="1"/>
    <col min="3314" max="3314" width="17.5703125" style="56" customWidth="1"/>
    <col min="3315" max="3315" width="13.140625" style="56" customWidth="1"/>
    <col min="3316" max="3316" width="14.28515625" style="56" customWidth="1"/>
    <col min="3317" max="3320" width="13.140625" style="56" customWidth="1"/>
    <col min="3321" max="3321" width="13.85546875" style="56" customWidth="1"/>
    <col min="3322" max="3357" width="15.140625" style="56" customWidth="1"/>
    <col min="3358" max="3369" width="13.140625" style="56" customWidth="1"/>
    <col min="3370" max="3370" width="18.28515625" style="56" customWidth="1"/>
    <col min="3371" max="3371" width="15.85546875" style="56" customWidth="1"/>
    <col min="3372" max="3373" width="16.140625" style="56" customWidth="1"/>
    <col min="3374" max="3375" width="16.28515625" style="56" customWidth="1"/>
    <col min="3376" max="3376" width="17.7109375" style="56" customWidth="1"/>
    <col min="3377" max="3377" width="16.28515625" style="56" customWidth="1"/>
    <col min="3378" max="3378" width="18.42578125" style="56" customWidth="1"/>
    <col min="3379" max="3379" width="19.140625" style="56" customWidth="1"/>
    <col min="3380" max="3380" width="18.28515625" style="56" customWidth="1"/>
    <col min="3381" max="3382" width="16.7109375" style="56" customWidth="1"/>
    <col min="3383" max="3386" width="13.140625" style="56" customWidth="1"/>
    <col min="3387" max="3387" width="18.42578125" style="56" customWidth="1"/>
    <col min="3388" max="3388" width="13.140625" style="56" customWidth="1"/>
    <col min="3389" max="3389" width="14.42578125" style="56" customWidth="1"/>
    <col min="3390" max="3390" width="16.28515625" style="56" customWidth="1"/>
    <col min="3391" max="3394" width="14.42578125" style="56" customWidth="1"/>
    <col min="3395" max="3396" width="13.140625" style="56" customWidth="1"/>
    <col min="3397" max="3397" width="15.5703125" style="56" customWidth="1"/>
    <col min="3398" max="3398" width="13.140625" style="56" customWidth="1"/>
    <col min="3399" max="3400" width="14.140625" style="56" customWidth="1"/>
    <col min="3401" max="3401" width="17.7109375" style="56" customWidth="1"/>
    <col min="3402" max="3403" width="13.140625" style="56" customWidth="1"/>
    <col min="3404" max="3404" width="17.140625" style="56" customWidth="1"/>
    <col min="3405" max="3405" width="13.140625" style="56" customWidth="1"/>
    <col min="3406" max="3406" width="14.140625" style="56" customWidth="1"/>
    <col min="3407" max="3407" width="13.140625" style="56" customWidth="1"/>
    <col min="3408" max="3409" width="12.42578125" style="56" customWidth="1"/>
    <col min="3410" max="3410" width="12.140625" style="56" customWidth="1"/>
    <col min="3411" max="3411" width="12.42578125" style="56" customWidth="1"/>
    <col min="3412" max="3412" width="12.140625" style="56" customWidth="1"/>
    <col min="3413" max="3414" width="16.140625" style="56" customWidth="1"/>
    <col min="3415" max="3415" width="16.85546875" style="56" customWidth="1"/>
    <col min="3416" max="3416" width="17.28515625" style="56" customWidth="1"/>
    <col min="3417" max="3417" width="17.42578125" style="56" customWidth="1"/>
    <col min="3418" max="3418" width="16.140625" style="56" customWidth="1"/>
    <col min="3419" max="3419" width="15.5703125" style="56" customWidth="1"/>
    <col min="3420" max="3420" width="17.85546875" style="56" customWidth="1"/>
    <col min="3421" max="3421" width="17.42578125" style="56" customWidth="1"/>
    <col min="3422" max="3422" width="17.28515625" style="56" customWidth="1"/>
    <col min="3423" max="3423" width="17" style="56" customWidth="1"/>
    <col min="3424" max="3424" width="15.5703125" style="56" customWidth="1"/>
    <col min="3425" max="3425" width="16.85546875" style="56" customWidth="1"/>
    <col min="3426" max="3426" width="16.7109375" style="56" customWidth="1"/>
    <col min="3427" max="3427" width="16.28515625" style="56" customWidth="1"/>
    <col min="3428" max="3428" width="17" style="56" customWidth="1"/>
    <col min="3429" max="3429" width="17.85546875" style="56" customWidth="1"/>
    <col min="3430" max="3430" width="17" style="56" customWidth="1"/>
    <col min="3431" max="3431" width="16.42578125" style="56" customWidth="1"/>
    <col min="3432" max="3432" width="16.140625" style="56" customWidth="1"/>
    <col min="3433" max="3535" width="9.85546875" style="56"/>
    <col min="3536" max="3536" width="20.5703125" style="56" customWidth="1"/>
    <col min="3537" max="3537" width="22.7109375" style="56" customWidth="1"/>
    <col min="3538" max="3538" width="19.140625" style="56" customWidth="1"/>
    <col min="3539" max="3540" width="17.140625" style="56" customWidth="1"/>
    <col min="3541" max="3541" width="19.5703125" style="56" customWidth="1"/>
    <col min="3542" max="3543" width="16.28515625" style="56" customWidth="1"/>
    <col min="3544" max="3544" width="12" style="56" customWidth="1"/>
    <col min="3545" max="3545" width="13.42578125" style="56" customWidth="1"/>
    <col min="3546" max="3550" width="15.42578125" style="56" customWidth="1"/>
    <col min="3551" max="3554" width="14.5703125" style="56" customWidth="1"/>
    <col min="3555" max="3555" width="15" style="56" customWidth="1"/>
    <col min="3556" max="3556" width="14.5703125" style="56" customWidth="1"/>
    <col min="3557" max="3569" width="14.140625" style="56" customWidth="1"/>
    <col min="3570" max="3570" width="17.5703125" style="56" customWidth="1"/>
    <col min="3571" max="3571" width="13.140625" style="56" customWidth="1"/>
    <col min="3572" max="3572" width="14.28515625" style="56" customWidth="1"/>
    <col min="3573" max="3576" width="13.140625" style="56" customWidth="1"/>
    <col min="3577" max="3577" width="13.85546875" style="56" customWidth="1"/>
    <col min="3578" max="3613" width="15.140625" style="56" customWidth="1"/>
    <col min="3614" max="3625" width="13.140625" style="56" customWidth="1"/>
    <col min="3626" max="3626" width="18.28515625" style="56" customWidth="1"/>
    <col min="3627" max="3627" width="15.85546875" style="56" customWidth="1"/>
    <col min="3628" max="3629" width="16.140625" style="56" customWidth="1"/>
    <col min="3630" max="3631" width="16.28515625" style="56" customWidth="1"/>
    <col min="3632" max="3632" width="17.7109375" style="56" customWidth="1"/>
    <col min="3633" max="3633" width="16.28515625" style="56" customWidth="1"/>
    <col min="3634" max="3634" width="18.42578125" style="56" customWidth="1"/>
    <col min="3635" max="3635" width="19.140625" style="56" customWidth="1"/>
    <col min="3636" max="3636" width="18.28515625" style="56" customWidth="1"/>
    <col min="3637" max="3638" width="16.7109375" style="56" customWidth="1"/>
    <col min="3639" max="3642" width="13.140625" style="56" customWidth="1"/>
    <col min="3643" max="3643" width="18.42578125" style="56" customWidth="1"/>
    <col min="3644" max="3644" width="13.140625" style="56" customWidth="1"/>
    <col min="3645" max="3645" width="14.42578125" style="56" customWidth="1"/>
    <col min="3646" max="3646" width="16.28515625" style="56" customWidth="1"/>
    <col min="3647" max="3650" width="14.42578125" style="56" customWidth="1"/>
    <col min="3651" max="3652" width="13.140625" style="56" customWidth="1"/>
    <col min="3653" max="3653" width="15.5703125" style="56" customWidth="1"/>
    <col min="3654" max="3654" width="13.140625" style="56" customWidth="1"/>
    <col min="3655" max="3656" width="14.140625" style="56" customWidth="1"/>
    <col min="3657" max="3657" width="17.7109375" style="56" customWidth="1"/>
    <col min="3658" max="3659" width="13.140625" style="56" customWidth="1"/>
    <col min="3660" max="3660" width="17.140625" style="56" customWidth="1"/>
    <col min="3661" max="3661" width="13.140625" style="56" customWidth="1"/>
    <col min="3662" max="3662" width="14.140625" style="56" customWidth="1"/>
    <col min="3663" max="3663" width="13.140625" style="56" customWidth="1"/>
    <col min="3664" max="3665" width="12.42578125" style="56" customWidth="1"/>
    <col min="3666" max="3666" width="12.140625" style="56" customWidth="1"/>
    <col min="3667" max="3667" width="12.42578125" style="56" customWidth="1"/>
    <col min="3668" max="3668" width="12.140625" style="56" customWidth="1"/>
    <col min="3669" max="3670" width="16.140625" style="56" customWidth="1"/>
    <col min="3671" max="3671" width="16.85546875" style="56" customWidth="1"/>
    <col min="3672" max="3672" width="17.28515625" style="56" customWidth="1"/>
    <col min="3673" max="3673" width="17.42578125" style="56" customWidth="1"/>
    <col min="3674" max="3674" width="16.140625" style="56" customWidth="1"/>
    <col min="3675" max="3675" width="15.5703125" style="56" customWidth="1"/>
    <col min="3676" max="3676" width="17.85546875" style="56" customWidth="1"/>
    <col min="3677" max="3677" width="17.42578125" style="56" customWidth="1"/>
    <col min="3678" max="3678" width="17.28515625" style="56" customWidth="1"/>
    <col min="3679" max="3679" width="17" style="56" customWidth="1"/>
    <col min="3680" max="3680" width="15.5703125" style="56" customWidth="1"/>
    <col min="3681" max="3681" width="16.85546875" style="56" customWidth="1"/>
    <col min="3682" max="3682" width="16.7109375" style="56" customWidth="1"/>
    <col min="3683" max="3683" width="16.28515625" style="56" customWidth="1"/>
    <col min="3684" max="3684" width="17" style="56" customWidth="1"/>
    <col min="3685" max="3685" width="17.85546875" style="56" customWidth="1"/>
    <col min="3686" max="3686" width="17" style="56" customWidth="1"/>
    <col min="3687" max="3687" width="16.42578125" style="56" customWidth="1"/>
    <col min="3688" max="3688" width="16.140625" style="56" customWidth="1"/>
    <col min="3689" max="3791" width="9.85546875" style="56"/>
    <col min="3792" max="3792" width="20.5703125" style="56" customWidth="1"/>
    <col min="3793" max="3793" width="22.7109375" style="56" customWidth="1"/>
    <col min="3794" max="3794" width="19.140625" style="56" customWidth="1"/>
    <col min="3795" max="3796" width="17.140625" style="56" customWidth="1"/>
    <col min="3797" max="3797" width="19.5703125" style="56" customWidth="1"/>
    <col min="3798" max="3799" width="16.28515625" style="56" customWidth="1"/>
    <col min="3800" max="3800" width="12" style="56" customWidth="1"/>
    <col min="3801" max="3801" width="13.42578125" style="56" customWidth="1"/>
    <col min="3802" max="3806" width="15.42578125" style="56" customWidth="1"/>
    <col min="3807" max="3810" width="14.5703125" style="56" customWidth="1"/>
    <col min="3811" max="3811" width="15" style="56" customWidth="1"/>
    <col min="3812" max="3812" width="14.5703125" style="56" customWidth="1"/>
    <col min="3813" max="3825" width="14.140625" style="56" customWidth="1"/>
    <col min="3826" max="3826" width="17.5703125" style="56" customWidth="1"/>
    <col min="3827" max="3827" width="13.140625" style="56" customWidth="1"/>
    <col min="3828" max="3828" width="14.28515625" style="56" customWidth="1"/>
    <col min="3829" max="3832" width="13.140625" style="56" customWidth="1"/>
    <col min="3833" max="3833" width="13.85546875" style="56" customWidth="1"/>
    <col min="3834" max="3869" width="15.140625" style="56" customWidth="1"/>
    <col min="3870" max="3881" width="13.140625" style="56" customWidth="1"/>
    <col min="3882" max="3882" width="18.28515625" style="56" customWidth="1"/>
    <col min="3883" max="3883" width="15.85546875" style="56" customWidth="1"/>
    <col min="3884" max="3885" width="16.140625" style="56" customWidth="1"/>
    <col min="3886" max="3887" width="16.28515625" style="56" customWidth="1"/>
    <col min="3888" max="3888" width="17.7109375" style="56" customWidth="1"/>
    <col min="3889" max="3889" width="16.28515625" style="56" customWidth="1"/>
    <col min="3890" max="3890" width="18.42578125" style="56" customWidth="1"/>
    <col min="3891" max="3891" width="19.140625" style="56" customWidth="1"/>
    <col min="3892" max="3892" width="18.28515625" style="56" customWidth="1"/>
    <col min="3893" max="3894" width="16.7109375" style="56" customWidth="1"/>
    <col min="3895" max="3898" width="13.140625" style="56" customWidth="1"/>
    <col min="3899" max="3899" width="18.42578125" style="56" customWidth="1"/>
    <col min="3900" max="3900" width="13.140625" style="56" customWidth="1"/>
    <col min="3901" max="3901" width="14.42578125" style="56" customWidth="1"/>
    <col min="3902" max="3902" width="16.28515625" style="56" customWidth="1"/>
    <col min="3903" max="3906" width="14.42578125" style="56" customWidth="1"/>
    <col min="3907" max="3908" width="13.140625" style="56" customWidth="1"/>
    <col min="3909" max="3909" width="15.5703125" style="56" customWidth="1"/>
    <col min="3910" max="3910" width="13.140625" style="56" customWidth="1"/>
    <col min="3911" max="3912" width="14.140625" style="56" customWidth="1"/>
    <col min="3913" max="3913" width="17.7109375" style="56" customWidth="1"/>
    <col min="3914" max="3915" width="13.140625" style="56" customWidth="1"/>
    <col min="3916" max="3916" width="17.140625" style="56" customWidth="1"/>
    <col min="3917" max="3917" width="13.140625" style="56" customWidth="1"/>
    <col min="3918" max="3918" width="14.140625" style="56" customWidth="1"/>
    <col min="3919" max="3919" width="13.140625" style="56" customWidth="1"/>
    <col min="3920" max="3921" width="12.42578125" style="56" customWidth="1"/>
    <col min="3922" max="3922" width="12.140625" style="56" customWidth="1"/>
    <col min="3923" max="3923" width="12.42578125" style="56" customWidth="1"/>
    <col min="3924" max="3924" width="12.140625" style="56" customWidth="1"/>
    <col min="3925" max="3926" width="16.140625" style="56" customWidth="1"/>
    <col min="3927" max="3927" width="16.85546875" style="56" customWidth="1"/>
    <col min="3928" max="3928" width="17.28515625" style="56" customWidth="1"/>
    <col min="3929" max="3929" width="17.42578125" style="56" customWidth="1"/>
    <col min="3930" max="3930" width="16.140625" style="56" customWidth="1"/>
    <col min="3931" max="3931" width="15.5703125" style="56" customWidth="1"/>
    <col min="3932" max="3932" width="17.85546875" style="56" customWidth="1"/>
    <col min="3933" max="3933" width="17.42578125" style="56" customWidth="1"/>
    <col min="3934" max="3934" width="17.28515625" style="56" customWidth="1"/>
    <col min="3935" max="3935" width="17" style="56" customWidth="1"/>
    <col min="3936" max="3936" width="15.5703125" style="56" customWidth="1"/>
    <col min="3937" max="3937" width="16.85546875" style="56" customWidth="1"/>
    <col min="3938" max="3938" width="16.7109375" style="56" customWidth="1"/>
    <col min="3939" max="3939" width="16.28515625" style="56" customWidth="1"/>
    <col min="3940" max="3940" width="17" style="56" customWidth="1"/>
    <col min="3941" max="3941" width="17.85546875" style="56" customWidth="1"/>
    <col min="3942" max="3942" width="17" style="56" customWidth="1"/>
    <col min="3943" max="3943" width="16.42578125" style="56" customWidth="1"/>
    <col min="3944" max="3944" width="16.140625" style="56" customWidth="1"/>
    <col min="3945" max="4047" width="9.85546875" style="56"/>
    <col min="4048" max="4048" width="20.5703125" style="56" customWidth="1"/>
    <col min="4049" max="4049" width="22.7109375" style="56" customWidth="1"/>
    <col min="4050" max="4050" width="19.140625" style="56" customWidth="1"/>
    <col min="4051" max="4052" width="17.140625" style="56" customWidth="1"/>
    <col min="4053" max="4053" width="19.5703125" style="56" customWidth="1"/>
    <col min="4054" max="4055" width="16.28515625" style="56" customWidth="1"/>
    <col min="4056" max="4056" width="12" style="56" customWidth="1"/>
    <col min="4057" max="4057" width="13.42578125" style="56" customWidth="1"/>
    <col min="4058" max="4062" width="15.42578125" style="56" customWidth="1"/>
    <col min="4063" max="4066" width="14.5703125" style="56" customWidth="1"/>
    <col min="4067" max="4067" width="15" style="56" customWidth="1"/>
    <col min="4068" max="4068" width="14.5703125" style="56" customWidth="1"/>
    <col min="4069" max="4081" width="14.140625" style="56" customWidth="1"/>
    <col min="4082" max="4082" width="17.5703125" style="56" customWidth="1"/>
    <col min="4083" max="4083" width="13.140625" style="56" customWidth="1"/>
    <col min="4084" max="4084" width="14.28515625" style="56" customWidth="1"/>
    <col min="4085" max="4088" width="13.140625" style="56" customWidth="1"/>
    <col min="4089" max="4089" width="13.85546875" style="56" customWidth="1"/>
    <col min="4090" max="4125" width="15.140625" style="56" customWidth="1"/>
    <col min="4126" max="4137" width="13.140625" style="56" customWidth="1"/>
    <col min="4138" max="4138" width="18.28515625" style="56" customWidth="1"/>
    <col min="4139" max="4139" width="15.85546875" style="56" customWidth="1"/>
    <col min="4140" max="4141" width="16.140625" style="56" customWidth="1"/>
    <col min="4142" max="4143" width="16.28515625" style="56" customWidth="1"/>
    <col min="4144" max="4144" width="17.7109375" style="56" customWidth="1"/>
    <col min="4145" max="4145" width="16.28515625" style="56" customWidth="1"/>
    <col min="4146" max="4146" width="18.42578125" style="56" customWidth="1"/>
    <col min="4147" max="4147" width="19.140625" style="56" customWidth="1"/>
    <col min="4148" max="4148" width="18.28515625" style="56" customWidth="1"/>
    <col min="4149" max="4150" width="16.7109375" style="56" customWidth="1"/>
    <col min="4151" max="4154" width="13.140625" style="56" customWidth="1"/>
    <col min="4155" max="4155" width="18.42578125" style="56" customWidth="1"/>
    <col min="4156" max="4156" width="13.140625" style="56" customWidth="1"/>
    <col min="4157" max="4157" width="14.42578125" style="56" customWidth="1"/>
    <col min="4158" max="4158" width="16.28515625" style="56" customWidth="1"/>
    <col min="4159" max="4162" width="14.42578125" style="56" customWidth="1"/>
    <col min="4163" max="4164" width="13.140625" style="56" customWidth="1"/>
    <col min="4165" max="4165" width="15.5703125" style="56" customWidth="1"/>
    <col min="4166" max="4166" width="13.140625" style="56" customWidth="1"/>
    <col min="4167" max="4168" width="14.140625" style="56" customWidth="1"/>
    <col min="4169" max="4169" width="17.7109375" style="56" customWidth="1"/>
    <col min="4170" max="4171" width="13.140625" style="56" customWidth="1"/>
    <col min="4172" max="4172" width="17.140625" style="56" customWidth="1"/>
    <col min="4173" max="4173" width="13.140625" style="56" customWidth="1"/>
    <col min="4174" max="4174" width="14.140625" style="56" customWidth="1"/>
    <col min="4175" max="4175" width="13.140625" style="56" customWidth="1"/>
    <col min="4176" max="4177" width="12.42578125" style="56" customWidth="1"/>
    <col min="4178" max="4178" width="12.140625" style="56" customWidth="1"/>
    <col min="4179" max="4179" width="12.42578125" style="56" customWidth="1"/>
    <col min="4180" max="4180" width="12.140625" style="56" customWidth="1"/>
    <col min="4181" max="4182" width="16.140625" style="56" customWidth="1"/>
    <col min="4183" max="4183" width="16.85546875" style="56" customWidth="1"/>
    <col min="4184" max="4184" width="17.28515625" style="56" customWidth="1"/>
    <col min="4185" max="4185" width="17.42578125" style="56" customWidth="1"/>
    <col min="4186" max="4186" width="16.140625" style="56" customWidth="1"/>
    <col min="4187" max="4187" width="15.5703125" style="56" customWidth="1"/>
    <col min="4188" max="4188" width="17.85546875" style="56" customWidth="1"/>
    <col min="4189" max="4189" width="17.42578125" style="56" customWidth="1"/>
    <col min="4190" max="4190" width="17.28515625" style="56" customWidth="1"/>
    <col min="4191" max="4191" width="17" style="56" customWidth="1"/>
    <col min="4192" max="4192" width="15.5703125" style="56" customWidth="1"/>
    <col min="4193" max="4193" width="16.85546875" style="56" customWidth="1"/>
    <col min="4194" max="4194" width="16.7109375" style="56" customWidth="1"/>
    <col min="4195" max="4195" width="16.28515625" style="56" customWidth="1"/>
    <col min="4196" max="4196" width="17" style="56" customWidth="1"/>
    <col min="4197" max="4197" width="17.85546875" style="56" customWidth="1"/>
    <col min="4198" max="4198" width="17" style="56" customWidth="1"/>
    <col min="4199" max="4199" width="16.42578125" style="56" customWidth="1"/>
    <col min="4200" max="4200" width="16.140625" style="56" customWidth="1"/>
    <col min="4201" max="4303" width="9.85546875" style="56"/>
    <col min="4304" max="4304" width="20.5703125" style="56" customWidth="1"/>
    <col min="4305" max="4305" width="22.7109375" style="56" customWidth="1"/>
    <col min="4306" max="4306" width="19.140625" style="56" customWidth="1"/>
    <col min="4307" max="4308" width="17.140625" style="56" customWidth="1"/>
    <col min="4309" max="4309" width="19.5703125" style="56" customWidth="1"/>
    <col min="4310" max="4311" width="16.28515625" style="56" customWidth="1"/>
    <col min="4312" max="4312" width="12" style="56" customWidth="1"/>
    <col min="4313" max="4313" width="13.42578125" style="56" customWidth="1"/>
    <col min="4314" max="4318" width="15.42578125" style="56" customWidth="1"/>
    <col min="4319" max="4322" width="14.5703125" style="56" customWidth="1"/>
    <col min="4323" max="4323" width="15" style="56" customWidth="1"/>
    <col min="4324" max="4324" width="14.5703125" style="56" customWidth="1"/>
    <col min="4325" max="4337" width="14.140625" style="56" customWidth="1"/>
    <col min="4338" max="4338" width="17.5703125" style="56" customWidth="1"/>
    <col min="4339" max="4339" width="13.140625" style="56" customWidth="1"/>
    <col min="4340" max="4340" width="14.28515625" style="56" customWidth="1"/>
    <col min="4341" max="4344" width="13.140625" style="56" customWidth="1"/>
    <col min="4345" max="4345" width="13.85546875" style="56" customWidth="1"/>
    <col min="4346" max="4381" width="15.140625" style="56" customWidth="1"/>
    <col min="4382" max="4393" width="13.140625" style="56" customWidth="1"/>
    <col min="4394" max="4394" width="18.28515625" style="56" customWidth="1"/>
    <col min="4395" max="4395" width="15.85546875" style="56" customWidth="1"/>
    <col min="4396" max="4397" width="16.140625" style="56" customWidth="1"/>
    <col min="4398" max="4399" width="16.28515625" style="56" customWidth="1"/>
    <col min="4400" max="4400" width="17.7109375" style="56" customWidth="1"/>
    <col min="4401" max="4401" width="16.28515625" style="56" customWidth="1"/>
    <col min="4402" max="4402" width="18.42578125" style="56" customWidth="1"/>
    <col min="4403" max="4403" width="19.140625" style="56" customWidth="1"/>
    <col min="4404" max="4404" width="18.28515625" style="56" customWidth="1"/>
    <col min="4405" max="4406" width="16.7109375" style="56" customWidth="1"/>
    <col min="4407" max="4410" width="13.140625" style="56" customWidth="1"/>
    <col min="4411" max="4411" width="18.42578125" style="56" customWidth="1"/>
    <col min="4412" max="4412" width="13.140625" style="56" customWidth="1"/>
    <col min="4413" max="4413" width="14.42578125" style="56" customWidth="1"/>
    <col min="4414" max="4414" width="16.28515625" style="56" customWidth="1"/>
    <col min="4415" max="4418" width="14.42578125" style="56" customWidth="1"/>
    <col min="4419" max="4420" width="13.140625" style="56" customWidth="1"/>
    <col min="4421" max="4421" width="15.5703125" style="56" customWidth="1"/>
    <col min="4422" max="4422" width="13.140625" style="56" customWidth="1"/>
    <col min="4423" max="4424" width="14.140625" style="56" customWidth="1"/>
    <col min="4425" max="4425" width="17.7109375" style="56" customWidth="1"/>
    <col min="4426" max="4427" width="13.140625" style="56" customWidth="1"/>
    <col min="4428" max="4428" width="17.140625" style="56" customWidth="1"/>
    <col min="4429" max="4429" width="13.140625" style="56" customWidth="1"/>
    <col min="4430" max="4430" width="14.140625" style="56" customWidth="1"/>
    <col min="4431" max="4431" width="13.140625" style="56" customWidth="1"/>
    <col min="4432" max="4433" width="12.42578125" style="56" customWidth="1"/>
    <col min="4434" max="4434" width="12.140625" style="56" customWidth="1"/>
    <col min="4435" max="4435" width="12.42578125" style="56" customWidth="1"/>
    <col min="4436" max="4436" width="12.140625" style="56" customWidth="1"/>
    <col min="4437" max="4438" width="16.140625" style="56" customWidth="1"/>
    <col min="4439" max="4439" width="16.85546875" style="56" customWidth="1"/>
    <col min="4440" max="4440" width="17.28515625" style="56" customWidth="1"/>
    <col min="4441" max="4441" width="17.42578125" style="56" customWidth="1"/>
    <col min="4442" max="4442" width="16.140625" style="56" customWidth="1"/>
    <col min="4443" max="4443" width="15.5703125" style="56" customWidth="1"/>
    <col min="4444" max="4444" width="17.85546875" style="56" customWidth="1"/>
    <col min="4445" max="4445" width="17.42578125" style="56" customWidth="1"/>
    <col min="4446" max="4446" width="17.28515625" style="56" customWidth="1"/>
    <col min="4447" max="4447" width="17" style="56" customWidth="1"/>
    <col min="4448" max="4448" width="15.5703125" style="56" customWidth="1"/>
    <col min="4449" max="4449" width="16.85546875" style="56" customWidth="1"/>
    <col min="4450" max="4450" width="16.7109375" style="56" customWidth="1"/>
    <col min="4451" max="4451" width="16.28515625" style="56" customWidth="1"/>
    <col min="4452" max="4452" width="17" style="56" customWidth="1"/>
    <col min="4453" max="4453" width="17.85546875" style="56" customWidth="1"/>
    <col min="4454" max="4454" width="17" style="56" customWidth="1"/>
    <col min="4455" max="4455" width="16.42578125" style="56" customWidth="1"/>
    <col min="4456" max="4456" width="16.140625" style="56" customWidth="1"/>
    <col min="4457" max="4559" width="9.85546875" style="56"/>
    <col min="4560" max="4560" width="20.5703125" style="56" customWidth="1"/>
    <col min="4561" max="4561" width="22.7109375" style="56" customWidth="1"/>
    <col min="4562" max="4562" width="19.140625" style="56" customWidth="1"/>
    <col min="4563" max="4564" width="17.140625" style="56" customWidth="1"/>
    <col min="4565" max="4565" width="19.5703125" style="56" customWidth="1"/>
    <col min="4566" max="4567" width="16.28515625" style="56" customWidth="1"/>
    <col min="4568" max="4568" width="12" style="56" customWidth="1"/>
    <col min="4569" max="4569" width="13.42578125" style="56" customWidth="1"/>
    <col min="4570" max="4574" width="15.42578125" style="56" customWidth="1"/>
    <col min="4575" max="4578" width="14.5703125" style="56" customWidth="1"/>
    <col min="4579" max="4579" width="15" style="56" customWidth="1"/>
    <col min="4580" max="4580" width="14.5703125" style="56" customWidth="1"/>
    <col min="4581" max="4593" width="14.140625" style="56" customWidth="1"/>
    <col min="4594" max="4594" width="17.5703125" style="56" customWidth="1"/>
    <col min="4595" max="4595" width="13.140625" style="56" customWidth="1"/>
    <col min="4596" max="4596" width="14.28515625" style="56" customWidth="1"/>
    <col min="4597" max="4600" width="13.140625" style="56" customWidth="1"/>
    <col min="4601" max="4601" width="13.85546875" style="56" customWidth="1"/>
    <col min="4602" max="4637" width="15.140625" style="56" customWidth="1"/>
    <col min="4638" max="4649" width="13.140625" style="56" customWidth="1"/>
    <col min="4650" max="4650" width="18.28515625" style="56" customWidth="1"/>
    <col min="4651" max="4651" width="15.85546875" style="56" customWidth="1"/>
    <col min="4652" max="4653" width="16.140625" style="56" customWidth="1"/>
    <col min="4654" max="4655" width="16.28515625" style="56" customWidth="1"/>
    <col min="4656" max="4656" width="17.7109375" style="56" customWidth="1"/>
    <col min="4657" max="4657" width="16.28515625" style="56" customWidth="1"/>
    <col min="4658" max="4658" width="18.42578125" style="56" customWidth="1"/>
    <col min="4659" max="4659" width="19.140625" style="56" customWidth="1"/>
    <col min="4660" max="4660" width="18.28515625" style="56" customWidth="1"/>
    <col min="4661" max="4662" width="16.7109375" style="56" customWidth="1"/>
    <col min="4663" max="4666" width="13.140625" style="56" customWidth="1"/>
    <col min="4667" max="4667" width="18.42578125" style="56" customWidth="1"/>
    <col min="4668" max="4668" width="13.140625" style="56" customWidth="1"/>
    <col min="4669" max="4669" width="14.42578125" style="56" customWidth="1"/>
    <col min="4670" max="4670" width="16.28515625" style="56" customWidth="1"/>
    <col min="4671" max="4674" width="14.42578125" style="56" customWidth="1"/>
    <col min="4675" max="4676" width="13.140625" style="56" customWidth="1"/>
    <col min="4677" max="4677" width="15.5703125" style="56" customWidth="1"/>
    <col min="4678" max="4678" width="13.140625" style="56" customWidth="1"/>
    <col min="4679" max="4680" width="14.140625" style="56" customWidth="1"/>
    <col min="4681" max="4681" width="17.7109375" style="56" customWidth="1"/>
    <col min="4682" max="4683" width="13.140625" style="56" customWidth="1"/>
    <col min="4684" max="4684" width="17.140625" style="56" customWidth="1"/>
    <col min="4685" max="4685" width="13.140625" style="56" customWidth="1"/>
    <col min="4686" max="4686" width="14.140625" style="56" customWidth="1"/>
    <col min="4687" max="4687" width="13.140625" style="56" customWidth="1"/>
    <col min="4688" max="4689" width="12.42578125" style="56" customWidth="1"/>
    <col min="4690" max="4690" width="12.140625" style="56" customWidth="1"/>
    <col min="4691" max="4691" width="12.42578125" style="56" customWidth="1"/>
    <col min="4692" max="4692" width="12.140625" style="56" customWidth="1"/>
    <col min="4693" max="4694" width="16.140625" style="56" customWidth="1"/>
    <col min="4695" max="4695" width="16.85546875" style="56" customWidth="1"/>
    <col min="4696" max="4696" width="17.28515625" style="56" customWidth="1"/>
    <col min="4697" max="4697" width="17.42578125" style="56" customWidth="1"/>
    <col min="4698" max="4698" width="16.140625" style="56" customWidth="1"/>
    <col min="4699" max="4699" width="15.5703125" style="56" customWidth="1"/>
    <col min="4700" max="4700" width="17.85546875" style="56" customWidth="1"/>
    <col min="4701" max="4701" width="17.42578125" style="56" customWidth="1"/>
    <col min="4702" max="4702" width="17.28515625" style="56" customWidth="1"/>
    <col min="4703" max="4703" width="17" style="56" customWidth="1"/>
    <col min="4704" max="4704" width="15.5703125" style="56" customWidth="1"/>
    <col min="4705" max="4705" width="16.85546875" style="56" customWidth="1"/>
    <col min="4706" max="4706" width="16.7109375" style="56" customWidth="1"/>
    <col min="4707" max="4707" width="16.28515625" style="56" customWidth="1"/>
    <col min="4708" max="4708" width="17" style="56" customWidth="1"/>
    <col min="4709" max="4709" width="17.85546875" style="56" customWidth="1"/>
    <col min="4710" max="4710" width="17" style="56" customWidth="1"/>
    <col min="4711" max="4711" width="16.42578125" style="56" customWidth="1"/>
    <col min="4712" max="4712" width="16.140625" style="56" customWidth="1"/>
    <col min="4713" max="4815" width="9.85546875" style="56"/>
    <col min="4816" max="4816" width="20.5703125" style="56" customWidth="1"/>
    <col min="4817" max="4817" width="22.7109375" style="56" customWidth="1"/>
    <col min="4818" max="4818" width="19.140625" style="56" customWidth="1"/>
    <col min="4819" max="4820" width="17.140625" style="56" customWidth="1"/>
    <col min="4821" max="4821" width="19.5703125" style="56" customWidth="1"/>
    <col min="4822" max="4823" width="16.28515625" style="56" customWidth="1"/>
    <col min="4824" max="4824" width="12" style="56" customWidth="1"/>
    <col min="4825" max="4825" width="13.42578125" style="56" customWidth="1"/>
    <col min="4826" max="4830" width="15.42578125" style="56" customWidth="1"/>
    <col min="4831" max="4834" width="14.5703125" style="56" customWidth="1"/>
    <col min="4835" max="4835" width="15" style="56" customWidth="1"/>
    <col min="4836" max="4836" width="14.5703125" style="56" customWidth="1"/>
    <col min="4837" max="4849" width="14.140625" style="56" customWidth="1"/>
    <col min="4850" max="4850" width="17.5703125" style="56" customWidth="1"/>
    <col min="4851" max="4851" width="13.140625" style="56" customWidth="1"/>
    <col min="4852" max="4852" width="14.28515625" style="56" customWidth="1"/>
    <col min="4853" max="4856" width="13.140625" style="56" customWidth="1"/>
    <col min="4857" max="4857" width="13.85546875" style="56" customWidth="1"/>
    <col min="4858" max="4893" width="15.140625" style="56" customWidth="1"/>
    <col min="4894" max="4905" width="13.140625" style="56" customWidth="1"/>
    <col min="4906" max="4906" width="18.28515625" style="56" customWidth="1"/>
    <col min="4907" max="4907" width="15.85546875" style="56" customWidth="1"/>
    <col min="4908" max="4909" width="16.140625" style="56" customWidth="1"/>
    <col min="4910" max="4911" width="16.28515625" style="56" customWidth="1"/>
    <col min="4912" max="4912" width="17.7109375" style="56" customWidth="1"/>
    <col min="4913" max="4913" width="16.28515625" style="56" customWidth="1"/>
    <col min="4914" max="4914" width="18.42578125" style="56" customWidth="1"/>
    <col min="4915" max="4915" width="19.140625" style="56" customWidth="1"/>
    <col min="4916" max="4916" width="18.28515625" style="56" customWidth="1"/>
    <col min="4917" max="4918" width="16.7109375" style="56" customWidth="1"/>
    <col min="4919" max="4922" width="13.140625" style="56" customWidth="1"/>
    <col min="4923" max="4923" width="18.42578125" style="56" customWidth="1"/>
    <col min="4924" max="4924" width="13.140625" style="56" customWidth="1"/>
    <col min="4925" max="4925" width="14.42578125" style="56" customWidth="1"/>
    <col min="4926" max="4926" width="16.28515625" style="56" customWidth="1"/>
    <col min="4927" max="4930" width="14.42578125" style="56" customWidth="1"/>
    <col min="4931" max="4932" width="13.140625" style="56" customWidth="1"/>
    <col min="4933" max="4933" width="15.5703125" style="56" customWidth="1"/>
    <col min="4934" max="4934" width="13.140625" style="56" customWidth="1"/>
    <col min="4935" max="4936" width="14.140625" style="56" customWidth="1"/>
    <col min="4937" max="4937" width="17.7109375" style="56" customWidth="1"/>
    <col min="4938" max="4939" width="13.140625" style="56" customWidth="1"/>
    <col min="4940" max="4940" width="17.140625" style="56" customWidth="1"/>
    <col min="4941" max="4941" width="13.140625" style="56" customWidth="1"/>
    <col min="4942" max="4942" width="14.140625" style="56" customWidth="1"/>
    <col min="4943" max="4943" width="13.140625" style="56" customWidth="1"/>
    <col min="4944" max="4945" width="12.42578125" style="56" customWidth="1"/>
    <col min="4946" max="4946" width="12.140625" style="56" customWidth="1"/>
    <col min="4947" max="4947" width="12.42578125" style="56" customWidth="1"/>
    <col min="4948" max="4948" width="12.140625" style="56" customWidth="1"/>
    <col min="4949" max="4950" width="16.140625" style="56" customWidth="1"/>
    <col min="4951" max="4951" width="16.85546875" style="56" customWidth="1"/>
    <col min="4952" max="4952" width="17.28515625" style="56" customWidth="1"/>
    <col min="4953" max="4953" width="17.42578125" style="56" customWidth="1"/>
    <col min="4954" max="4954" width="16.140625" style="56" customWidth="1"/>
    <col min="4955" max="4955" width="15.5703125" style="56" customWidth="1"/>
    <col min="4956" max="4956" width="17.85546875" style="56" customWidth="1"/>
    <col min="4957" max="4957" width="17.42578125" style="56" customWidth="1"/>
    <col min="4958" max="4958" width="17.28515625" style="56" customWidth="1"/>
    <col min="4959" max="4959" width="17" style="56" customWidth="1"/>
    <col min="4960" max="4960" width="15.5703125" style="56" customWidth="1"/>
    <col min="4961" max="4961" width="16.85546875" style="56" customWidth="1"/>
    <col min="4962" max="4962" width="16.7109375" style="56" customWidth="1"/>
    <col min="4963" max="4963" width="16.28515625" style="56" customWidth="1"/>
    <col min="4964" max="4964" width="17" style="56" customWidth="1"/>
    <col min="4965" max="4965" width="17.85546875" style="56" customWidth="1"/>
    <col min="4966" max="4966" width="17" style="56" customWidth="1"/>
    <col min="4967" max="4967" width="16.42578125" style="56" customWidth="1"/>
    <col min="4968" max="4968" width="16.140625" style="56" customWidth="1"/>
    <col min="4969" max="5071" width="9.85546875" style="56"/>
    <col min="5072" max="5072" width="20.5703125" style="56" customWidth="1"/>
    <col min="5073" max="5073" width="22.7109375" style="56" customWidth="1"/>
    <col min="5074" max="5074" width="19.140625" style="56" customWidth="1"/>
    <col min="5075" max="5076" width="17.140625" style="56" customWidth="1"/>
    <col min="5077" max="5077" width="19.5703125" style="56" customWidth="1"/>
    <col min="5078" max="5079" width="16.28515625" style="56" customWidth="1"/>
    <col min="5080" max="5080" width="12" style="56" customWidth="1"/>
    <col min="5081" max="5081" width="13.42578125" style="56" customWidth="1"/>
    <col min="5082" max="5086" width="15.42578125" style="56" customWidth="1"/>
    <col min="5087" max="5090" width="14.5703125" style="56" customWidth="1"/>
    <col min="5091" max="5091" width="15" style="56" customWidth="1"/>
    <col min="5092" max="5092" width="14.5703125" style="56" customWidth="1"/>
    <col min="5093" max="5105" width="14.140625" style="56" customWidth="1"/>
    <col min="5106" max="5106" width="17.5703125" style="56" customWidth="1"/>
    <col min="5107" max="5107" width="13.140625" style="56" customWidth="1"/>
    <col min="5108" max="5108" width="14.28515625" style="56" customWidth="1"/>
    <col min="5109" max="5112" width="13.140625" style="56" customWidth="1"/>
    <col min="5113" max="5113" width="13.85546875" style="56" customWidth="1"/>
    <col min="5114" max="5149" width="15.140625" style="56" customWidth="1"/>
    <col min="5150" max="5161" width="13.140625" style="56" customWidth="1"/>
    <col min="5162" max="5162" width="18.28515625" style="56" customWidth="1"/>
    <col min="5163" max="5163" width="15.85546875" style="56" customWidth="1"/>
    <col min="5164" max="5165" width="16.140625" style="56" customWidth="1"/>
    <col min="5166" max="5167" width="16.28515625" style="56" customWidth="1"/>
    <col min="5168" max="5168" width="17.7109375" style="56" customWidth="1"/>
    <col min="5169" max="5169" width="16.28515625" style="56" customWidth="1"/>
    <col min="5170" max="5170" width="18.42578125" style="56" customWidth="1"/>
    <col min="5171" max="5171" width="19.140625" style="56" customWidth="1"/>
    <col min="5172" max="5172" width="18.28515625" style="56" customWidth="1"/>
    <col min="5173" max="5174" width="16.7109375" style="56" customWidth="1"/>
    <col min="5175" max="5178" width="13.140625" style="56" customWidth="1"/>
    <col min="5179" max="5179" width="18.42578125" style="56" customWidth="1"/>
    <col min="5180" max="5180" width="13.140625" style="56" customWidth="1"/>
    <col min="5181" max="5181" width="14.42578125" style="56" customWidth="1"/>
    <col min="5182" max="5182" width="16.28515625" style="56" customWidth="1"/>
    <col min="5183" max="5186" width="14.42578125" style="56" customWidth="1"/>
    <col min="5187" max="5188" width="13.140625" style="56" customWidth="1"/>
    <col min="5189" max="5189" width="15.5703125" style="56" customWidth="1"/>
    <col min="5190" max="5190" width="13.140625" style="56" customWidth="1"/>
    <col min="5191" max="5192" width="14.140625" style="56" customWidth="1"/>
    <col min="5193" max="5193" width="17.7109375" style="56" customWidth="1"/>
    <col min="5194" max="5195" width="13.140625" style="56" customWidth="1"/>
    <col min="5196" max="5196" width="17.140625" style="56" customWidth="1"/>
    <col min="5197" max="5197" width="13.140625" style="56" customWidth="1"/>
    <col min="5198" max="5198" width="14.140625" style="56" customWidth="1"/>
    <col min="5199" max="5199" width="13.140625" style="56" customWidth="1"/>
    <col min="5200" max="5201" width="12.42578125" style="56" customWidth="1"/>
    <col min="5202" max="5202" width="12.140625" style="56" customWidth="1"/>
    <col min="5203" max="5203" width="12.42578125" style="56" customWidth="1"/>
    <col min="5204" max="5204" width="12.140625" style="56" customWidth="1"/>
    <col min="5205" max="5206" width="16.140625" style="56" customWidth="1"/>
    <col min="5207" max="5207" width="16.85546875" style="56" customWidth="1"/>
    <col min="5208" max="5208" width="17.28515625" style="56" customWidth="1"/>
    <col min="5209" max="5209" width="17.42578125" style="56" customWidth="1"/>
    <col min="5210" max="5210" width="16.140625" style="56" customWidth="1"/>
    <col min="5211" max="5211" width="15.5703125" style="56" customWidth="1"/>
    <col min="5212" max="5212" width="17.85546875" style="56" customWidth="1"/>
    <col min="5213" max="5213" width="17.42578125" style="56" customWidth="1"/>
    <col min="5214" max="5214" width="17.28515625" style="56" customWidth="1"/>
    <col min="5215" max="5215" width="17" style="56" customWidth="1"/>
    <col min="5216" max="5216" width="15.5703125" style="56" customWidth="1"/>
    <col min="5217" max="5217" width="16.85546875" style="56" customWidth="1"/>
    <col min="5218" max="5218" width="16.7109375" style="56" customWidth="1"/>
    <col min="5219" max="5219" width="16.28515625" style="56" customWidth="1"/>
    <col min="5220" max="5220" width="17" style="56" customWidth="1"/>
    <col min="5221" max="5221" width="17.85546875" style="56" customWidth="1"/>
    <col min="5222" max="5222" width="17" style="56" customWidth="1"/>
    <col min="5223" max="5223" width="16.42578125" style="56" customWidth="1"/>
    <col min="5224" max="5224" width="16.140625" style="56" customWidth="1"/>
    <col min="5225" max="5327" width="9.85546875" style="56"/>
    <col min="5328" max="5328" width="20.5703125" style="56" customWidth="1"/>
    <col min="5329" max="5329" width="22.7109375" style="56" customWidth="1"/>
    <col min="5330" max="5330" width="19.140625" style="56" customWidth="1"/>
    <col min="5331" max="5332" width="17.140625" style="56" customWidth="1"/>
    <col min="5333" max="5333" width="19.5703125" style="56" customWidth="1"/>
    <col min="5334" max="5335" width="16.28515625" style="56" customWidth="1"/>
    <col min="5336" max="5336" width="12" style="56" customWidth="1"/>
    <col min="5337" max="5337" width="13.42578125" style="56" customWidth="1"/>
    <col min="5338" max="5342" width="15.42578125" style="56" customWidth="1"/>
    <col min="5343" max="5346" width="14.5703125" style="56" customWidth="1"/>
    <col min="5347" max="5347" width="15" style="56" customWidth="1"/>
    <col min="5348" max="5348" width="14.5703125" style="56" customWidth="1"/>
    <col min="5349" max="5361" width="14.140625" style="56" customWidth="1"/>
    <col min="5362" max="5362" width="17.5703125" style="56" customWidth="1"/>
    <col min="5363" max="5363" width="13.140625" style="56" customWidth="1"/>
    <col min="5364" max="5364" width="14.28515625" style="56" customWidth="1"/>
    <col min="5365" max="5368" width="13.140625" style="56" customWidth="1"/>
    <col min="5369" max="5369" width="13.85546875" style="56" customWidth="1"/>
    <col min="5370" max="5405" width="15.140625" style="56" customWidth="1"/>
    <col min="5406" max="5417" width="13.140625" style="56" customWidth="1"/>
    <col min="5418" max="5418" width="18.28515625" style="56" customWidth="1"/>
    <col min="5419" max="5419" width="15.85546875" style="56" customWidth="1"/>
    <col min="5420" max="5421" width="16.140625" style="56" customWidth="1"/>
    <col min="5422" max="5423" width="16.28515625" style="56" customWidth="1"/>
    <col min="5424" max="5424" width="17.7109375" style="56" customWidth="1"/>
    <col min="5425" max="5425" width="16.28515625" style="56" customWidth="1"/>
    <col min="5426" max="5426" width="18.42578125" style="56" customWidth="1"/>
    <col min="5427" max="5427" width="19.140625" style="56" customWidth="1"/>
    <col min="5428" max="5428" width="18.28515625" style="56" customWidth="1"/>
    <col min="5429" max="5430" width="16.7109375" style="56" customWidth="1"/>
    <col min="5431" max="5434" width="13.140625" style="56" customWidth="1"/>
    <col min="5435" max="5435" width="18.42578125" style="56" customWidth="1"/>
    <col min="5436" max="5436" width="13.140625" style="56" customWidth="1"/>
    <col min="5437" max="5437" width="14.42578125" style="56" customWidth="1"/>
    <col min="5438" max="5438" width="16.28515625" style="56" customWidth="1"/>
    <col min="5439" max="5442" width="14.42578125" style="56" customWidth="1"/>
    <col min="5443" max="5444" width="13.140625" style="56" customWidth="1"/>
    <col min="5445" max="5445" width="15.5703125" style="56" customWidth="1"/>
    <col min="5446" max="5446" width="13.140625" style="56" customWidth="1"/>
    <col min="5447" max="5448" width="14.140625" style="56" customWidth="1"/>
    <col min="5449" max="5449" width="17.7109375" style="56" customWidth="1"/>
    <col min="5450" max="5451" width="13.140625" style="56" customWidth="1"/>
    <col min="5452" max="5452" width="17.140625" style="56" customWidth="1"/>
    <col min="5453" max="5453" width="13.140625" style="56" customWidth="1"/>
    <col min="5454" max="5454" width="14.140625" style="56" customWidth="1"/>
    <col min="5455" max="5455" width="13.140625" style="56" customWidth="1"/>
    <col min="5456" max="5457" width="12.42578125" style="56" customWidth="1"/>
    <col min="5458" max="5458" width="12.140625" style="56" customWidth="1"/>
    <col min="5459" max="5459" width="12.42578125" style="56" customWidth="1"/>
    <col min="5460" max="5460" width="12.140625" style="56" customWidth="1"/>
    <col min="5461" max="5462" width="16.140625" style="56" customWidth="1"/>
    <col min="5463" max="5463" width="16.85546875" style="56" customWidth="1"/>
    <col min="5464" max="5464" width="17.28515625" style="56" customWidth="1"/>
    <col min="5465" max="5465" width="17.42578125" style="56" customWidth="1"/>
    <col min="5466" max="5466" width="16.140625" style="56" customWidth="1"/>
    <col min="5467" max="5467" width="15.5703125" style="56" customWidth="1"/>
    <col min="5468" max="5468" width="17.85546875" style="56" customWidth="1"/>
    <col min="5469" max="5469" width="17.42578125" style="56" customWidth="1"/>
    <col min="5470" max="5470" width="17.28515625" style="56" customWidth="1"/>
    <col min="5471" max="5471" width="17" style="56" customWidth="1"/>
    <col min="5472" max="5472" width="15.5703125" style="56" customWidth="1"/>
    <col min="5473" max="5473" width="16.85546875" style="56" customWidth="1"/>
    <col min="5474" max="5474" width="16.7109375" style="56" customWidth="1"/>
    <col min="5475" max="5475" width="16.28515625" style="56" customWidth="1"/>
    <col min="5476" max="5476" width="17" style="56" customWidth="1"/>
    <col min="5477" max="5477" width="17.85546875" style="56" customWidth="1"/>
    <col min="5478" max="5478" width="17" style="56" customWidth="1"/>
    <col min="5479" max="5479" width="16.42578125" style="56" customWidth="1"/>
    <col min="5480" max="5480" width="16.140625" style="56" customWidth="1"/>
    <col min="5481" max="5583" width="9.85546875" style="56"/>
    <col min="5584" max="5584" width="20.5703125" style="56" customWidth="1"/>
    <col min="5585" max="5585" width="22.7109375" style="56" customWidth="1"/>
    <col min="5586" max="5586" width="19.140625" style="56" customWidth="1"/>
    <col min="5587" max="5588" width="17.140625" style="56" customWidth="1"/>
    <col min="5589" max="5589" width="19.5703125" style="56" customWidth="1"/>
    <col min="5590" max="5591" width="16.28515625" style="56" customWidth="1"/>
    <col min="5592" max="5592" width="12" style="56" customWidth="1"/>
    <col min="5593" max="5593" width="13.42578125" style="56" customWidth="1"/>
    <col min="5594" max="5598" width="15.42578125" style="56" customWidth="1"/>
    <col min="5599" max="5602" width="14.5703125" style="56" customWidth="1"/>
    <col min="5603" max="5603" width="15" style="56" customWidth="1"/>
    <col min="5604" max="5604" width="14.5703125" style="56" customWidth="1"/>
    <col min="5605" max="5617" width="14.140625" style="56" customWidth="1"/>
    <col min="5618" max="5618" width="17.5703125" style="56" customWidth="1"/>
    <col min="5619" max="5619" width="13.140625" style="56" customWidth="1"/>
    <col min="5620" max="5620" width="14.28515625" style="56" customWidth="1"/>
    <col min="5621" max="5624" width="13.140625" style="56" customWidth="1"/>
    <col min="5625" max="5625" width="13.85546875" style="56" customWidth="1"/>
    <col min="5626" max="5661" width="15.140625" style="56" customWidth="1"/>
    <col min="5662" max="5673" width="13.140625" style="56" customWidth="1"/>
    <col min="5674" max="5674" width="18.28515625" style="56" customWidth="1"/>
    <col min="5675" max="5675" width="15.85546875" style="56" customWidth="1"/>
    <col min="5676" max="5677" width="16.140625" style="56" customWidth="1"/>
    <col min="5678" max="5679" width="16.28515625" style="56" customWidth="1"/>
    <col min="5680" max="5680" width="17.7109375" style="56" customWidth="1"/>
    <col min="5681" max="5681" width="16.28515625" style="56" customWidth="1"/>
    <col min="5682" max="5682" width="18.42578125" style="56" customWidth="1"/>
    <col min="5683" max="5683" width="19.140625" style="56" customWidth="1"/>
    <col min="5684" max="5684" width="18.28515625" style="56" customWidth="1"/>
    <col min="5685" max="5686" width="16.7109375" style="56" customWidth="1"/>
    <col min="5687" max="5690" width="13.140625" style="56" customWidth="1"/>
    <col min="5691" max="5691" width="18.42578125" style="56" customWidth="1"/>
    <col min="5692" max="5692" width="13.140625" style="56" customWidth="1"/>
    <col min="5693" max="5693" width="14.42578125" style="56" customWidth="1"/>
    <col min="5694" max="5694" width="16.28515625" style="56" customWidth="1"/>
    <col min="5695" max="5698" width="14.42578125" style="56" customWidth="1"/>
    <col min="5699" max="5700" width="13.140625" style="56" customWidth="1"/>
    <col min="5701" max="5701" width="15.5703125" style="56" customWidth="1"/>
    <col min="5702" max="5702" width="13.140625" style="56" customWidth="1"/>
    <col min="5703" max="5704" width="14.140625" style="56" customWidth="1"/>
    <col min="5705" max="5705" width="17.7109375" style="56" customWidth="1"/>
    <col min="5706" max="5707" width="13.140625" style="56" customWidth="1"/>
    <col min="5708" max="5708" width="17.140625" style="56" customWidth="1"/>
    <col min="5709" max="5709" width="13.140625" style="56" customWidth="1"/>
    <col min="5710" max="5710" width="14.140625" style="56" customWidth="1"/>
    <col min="5711" max="5711" width="13.140625" style="56" customWidth="1"/>
    <col min="5712" max="5713" width="12.42578125" style="56" customWidth="1"/>
    <col min="5714" max="5714" width="12.140625" style="56" customWidth="1"/>
    <col min="5715" max="5715" width="12.42578125" style="56" customWidth="1"/>
    <col min="5716" max="5716" width="12.140625" style="56" customWidth="1"/>
    <col min="5717" max="5718" width="16.140625" style="56" customWidth="1"/>
    <col min="5719" max="5719" width="16.85546875" style="56" customWidth="1"/>
    <col min="5720" max="5720" width="17.28515625" style="56" customWidth="1"/>
    <col min="5721" max="5721" width="17.42578125" style="56" customWidth="1"/>
    <col min="5722" max="5722" width="16.140625" style="56" customWidth="1"/>
    <col min="5723" max="5723" width="15.5703125" style="56" customWidth="1"/>
    <col min="5724" max="5724" width="17.85546875" style="56" customWidth="1"/>
    <col min="5725" max="5725" width="17.42578125" style="56" customWidth="1"/>
    <col min="5726" max="5726" width="17.28515625" style="56" customWidth="1"/>
    <col min="5727" max="5727" width="17" style="56" customWidth="1"/>
    <col min="5728" max="5728" width="15.5703125" style="56" customWidth="1"/>
    <col min="5729" max="5729" width="16.85546875" style="56" customWidth="1"/>
    <col min="5730" max="5730" width="16.7109375" style="56" customWidth="1"/>
    <col min="5731" max="5731" width="16.28515625" style="56" customWidth="1"/>
    <col min="5732" max="5732" width="17" style="56" customWidth="1"/>
    <col min="5733" max="5733" width="17.85546875" style="56" customWidth="1"/>
    <col min="5734" max="5734" width="17" style="56" customWidth="1"/>
    <col min="5735" max="5735" width="16.42578125" style="56" customWidth="1"/>
    <col min="5736" max="5736" width="16.140625" style="56" customWidth="1"/>
    <col min="5737" max="5839" width="9.85546875" style="56"/>
    <col min="5840" max="5840" width="20.5703125" style="56" customWidth="1"/>
    <col min="5841" max="5841" width="22.7109375" style="56" customWidth="1"/>
    <col min="5842" max="5842" width="19.140625" style="56" customWidth="1"/>
    <col min="5843" max="5844" width="17.140625" style="56" customWidth="1"/>
    <col min="5845" max="5845" width="19.5703125" style="56" customWidth="1"/>
    <col min="5846" max="5847" width="16.28515625" style="56" customWidth="1"/>
    <col min="5848" max="5848" width="12" style="56" customWidth="1"/>
    <col min="5849" max="5849" width="13.42578125" style="56" customWidth="1"/>
    <col min="5850" max="5854" width="15.42578125" style="56" customWidth="1"/>
    <col min="5855" max="5858" width="14.5703125" style="56" customWidth="1"/>
    <col min="5859" max="5859" width="15" style="56" customWidth="1"/>
    <col min="5860" max="5860" width="14.5703125" style="56" customWidth="1"/>
    <col min="5861" max="5873" width="14.140625" style="56" customWidth="1"/>
    <col min="5874" max="5874" width="17.5703125" style="56" customWidth="1"/>
    <col min="5875" max="5875" width="13.140625" style="56" customWidth="1"/>
    <col min="5876" max="5876" width="14.28515625" style="56" customWidth="1"/>
    <col min="5877" max="5880" width="13.140625" style="56" customWidth="1"/>
    <col min="5881" max="5881" width="13.85546875" style="56" customWidth="1"/>
    <col min="5882" max="5917" width="15.140625" style="56" customWidth="1"/>
    <col min="5918" max="5929" width="13.140625" style="56" customWidth="1"/>
    <col min="5930" max="5930" width="18.28515625" style="56" customWidth="1"/>
    <col min="5931" max="5931" width="15.85546875" style="56" customWidth="1"/>
    <col min="5932" max="5933" width="16.140625" style="56" customWidth="1"/>
    <col min="5934" max="5935" width="16.28515625" style="56" customWidth="1"/>
    <col min="5936" max="5936" width="17.7109375" style="56" customWidth="1"/>
    <col min="5937" max="5937" width="16.28515625" style="56" customWidth="1"/>
    <col min="5938" max="5938" width="18.42578125" style="56" customWidth="1"/>
    <col min="5939" max="5939" width="19.140625" style="56" customWidth="1"/>
    <col min="5940" max="5940" width="18.28515625" style="56" customWidth="1"/>
    <col min="5941" max="5942" width="16.7109375" style="56" customWidth="1"/>
    <col min="5943" max="5946" width="13.140625" style="56" customWidth="1"/>
    <col min="5947" max="5947" width="18.42578125" style="56" customWidth="1"/>
    <col min="5948" max="5948" width="13.140625" style="56" customWidth="1"/>
    <col min="5949" max="5949" width="14.42578125" style="56" customWidth="1"/>
    <col min="5950" max="5950" width="16.28515625" style="56" customWidth="1"/>
    <col min="5951" max="5954" width="14.42578125" style="56" customWidth="1"/>
    <col min="5955" max="5956" width="13.140625" style="56" customWidth="1"/>
    <col min="5957" max="5957" width="15.5703125" style="56" customWidth="1"/>
    <col min="5958" max="5958" width="13.140625" style="56" customWidth="1"/>
    <col min="5959" max="5960" width="14.140625" style="56" customWidth="1"/>
    <col min="5961" max="5961" width="17.7109375" style="56" customWidth="1"/>
    <col min="5962" max="5963" width="13.140625" style="56" customWidth="1"/>
    <col min="5964" max="5964" width="17.140625" style="56" customWidth="1"/>
    <col min="5965" max="5965" width="13.140625" style="56" customWidth="1"/>
    <col min="5966" max="5966" width="14.140625" style="56" customWidth="1"/>
    <col min="5967" max="5967" width="13.140625" style="56" customWidth="1"/>
    <col min="5968" max="5969" width="12.42578125" style="56" customWidth="1"/>
    <col min="5970" max="5970" width="12.140625" style="56" customWidth="1"/>
    <col min="5971" max="5971" width="12.42578125" style="56" customWidth="1"/>
    <col min="5972" max="5972" width="12.140625" style="56" customWidth="1"/>
    <col min="5973" max="5974" width="16.140625" style="56" customWidth="1"/>
    <col min="5975" max="5975" width="16.85546875" style="56" customWidth="1"/>
    <col min="5976" max="5976" width="17.28515625" style="56" customWidth="1"/>
    <col min="5977" max="5977" width="17.42578125" style="56" customWidth="1"/>
    <col min="5978" max="5978" width="16.140625" style="56" customWidth="1"/>
    <col min="5979" max="5979" width="15.5703125" style="56" customWidth="1"/>
    <col min="5980" max="5980" width="17.85546875" style="56" customWidth="1"/>
    <col min="5981" max="5981" width="17.42578125" style="56" customWidth="1"/>
    <col min="5982" max="5982" width="17.28515625" style="56" customWidth="1"/>
    <col min="5983" max="5983" width="17" style="56" customWidth="1"/>
    <col min="5984" max="5984" width="15.5703125" style="56" customWidth="1"/>
    <col min="5985" max="5985" width="16.85546875" style="56" customWidth="1"/>
    <col min="5986" max="5986" width="16.7109375" style="56" customWidth="1"/>
    <col min="5987" max="5987" width="16.28515625" style="56" customWidth="1"/>
    <col min="5988" max="5988" width="17" style="56" customWidth="1"/>
    <col min="5989" max="5989" width="17.85546875" style="56" customWidth="1"/>
    <col min="5990" max="5990" width="17" style="56" customWidth="1"/>
    <col min="5991" max="5991" width="16.42578125" style="56" customWidth="1"/>
    <col min="5992" max="5992" width="16.140625" style="56" customWidth="1"/>
    <col min="5993" max="6095" width="9.85546875" style="56"/>
    <col min="6096" max="6096" width="20.5703125" style="56" customWidth="1"/>
    <col min="6097" max="6097" width="22.7109375" style="56" customWidth="1"/>
    <col min="6098" max="6098" width="19.140625" style="56" customWidth="1"/>
    <col min="6099" max="6100" width="17.140625" style="56" customWidth="1"/>
    <col min="6101" max="6101" width="19.5703125" style="56" customWidth="1"/>
    <col min="6102" max="6103" width="16.28515625" style="56" customWidth="1"/>
    <col min="6104" max="6104" width="12" style="56" customWidth="1"/>
    <col min="6105" max="6105" width="13.42578125" style="56" customWidth="1"/>
    <col min="6106" max="6110" width="15.42578125" style="56" customWidth="1"/>
    <col min="6111" max="6114" width="14.5703125" style="56" customWidth="1"/>
    <col min="6115" max="6115" width="15" style="56" customWidth="1"/>
    <col min="6116" max="6116" width="14.5703125" style="56" customWidth="1"/>
    <col min="6117" max="6129" width="14.140625" style="56" customWidth="1"/>
    <col min="6130" max="6130" width="17.5703125" style="56" customWidth="1"/>
    <col min="6131" max="6131" width="13.140625" style="56" customWidth="1"/>
    <col min="6132" max="6132" width="14.28515625" style="56" customWidth="1"/>
    <col min="6133" max="6136" width="13.140625" style="56" customWidth="1"/>
    <col min="6137" max="6137" width="13.85546875" style="56" customWidth="1"/>
    <col min="6138" max="6173" width="15.140625" style="56" customWidth="1"/>
    <col min="6174" max="6185" width="13.140625" style="56" customWidth="1"/>
    <col min="6186" max="6186" width="18.28515625" style="56" customWidth="1"/>
    <col min="6187" max="6187" width="15.85546875" style="56" customWidth="1"/>
    <col min="6188" max="6189" width="16.140625" style="56" customWidth="1"/>
    <col min="6190" max="6191" width="16.28515625" style="56" customWidth="1"/>
    <col min="6192" max="6192" width="17.7109375" style="56" customWidth="1"/>
    <col min="6193" max="6193" width="16.28515625" style="56" customWidth="1"/>
    <col min="6194" max="6194" width="18.42578125" style="56" customWidth="1"/>
    <col min="6195" max="6195" width="19.140625" style="56" customWidth="1"/>
    <col min="6196" max="6196" width="18.28515625" style="56" customWidth="1"/>
    <col min="6197" max="6198" width="16.7109375" style="56" customWidth="1"/>
    <col min="6199" max="6202" width="13.140625" style="56" customWidth="1"/>
    <col min="6203" max="6203" width="18.42578125" style="56" customWidth="1"/>
    <col min="6204" max="6204" width="13.140625" style="56" customWidth="1"/>
    <col min="6205" max="6205" width="14.42578125" style="56" customWidth="1"/>
    <col min="6206" max="6206" width="16.28515625" style="56" customWidth="1"/>
    <col min="6207" max="6210" width="14.42578125" style="56" customWidth="1"/>
    <col min="6211" max="6212" width="13.140625" style="56" customWidth="1"/>
    <col min="6213" max="6213" width="15.5703125" style="56" customWidth="1"/>
    <col min="6214" max="6214" width="13.140625" style="56" customWidth="1"/>
    <col min="6215" max="6216" width="14.140625" style="56" customWidth="1"/>
    <col min="6217" max="6217" width="17.7109375" style="56" customWidth="1"/>
    <col min="6218" max="6219" width="13.140625" style="56" customWidth="1"/>
    <col min="6220" max="6220" width="17.140625" style="56" customWidth="1"/>
    <col min="6221" max="6221" width="13.140625" style="56" customWidth="1"/>
    <col min="6222" max="6222" width="14.140625" style="56" customWidth="1"/>
    <col min="6223" max="6223" width="13.140625" style="56" customWidth="1"/>
    <col min="6224" max="6225" width="12.42578125" style="56" customWidth="1"/>
    <col min="6226" max="6226" width="12.140625" style="56" customWidth="1"/>
    <col min="6227" max="6227" width="12.42578125" style="56" customWidth="1"/>
    <col min="6228" max="6228" width="12.140625" style="56" customWidth="1"/>
    <col min="6229" max="6230" width="16.140625" style="56" customWidth="1"/>
    <col min="6231" max="6231" width="16.85546875" style="56" customWidth="1"/>
    <col min="6232" max="6232" width="17.28515625" style="56" customWidth="1"/>
    <col min="6233" max="6233" width="17.42578125" style="56" customWidth="1"/>
    <col min="6234" max="6234" width="16.140625" style="56" customWidth="1"/>
    <col min="6235" max="6235" width="15.5703125" style="56" customWidth="1"/>
    <col min="6236" max="6236" width="17.85546875" style="56" customWidth="1"/>
    <col min="6237" max="6237" width="17.42578125" style="56" customWidth="1"/>
    <col min="6238" max="6238" width="17.28515625" style="56" customWidth="1"/>
    <col min="6239" max="6239" width="17" style="56" customWidth="1"/>
    <col min="6240" max="6240" width="15.5703125" style="56" customWidth="1"/>
    <col min="6241" max="6241" width="16.85546875" style="56" customWidth="1"/>
    <col min="6242" max="6242" width="16.7109375" style="56" customWidth="1"/>
    <col min="6243" max="6243" width="16.28515625" style="56" customWidth="1"/>
    <col min="6244" max="6244" width="17" style="56" customWidth="1"/>
    <col min="6245" max="6245" width="17.85546875" style="56" customWidth="1"/>
    <col min="6246" max="6246" width="17" style="56" customWidth="1"/>
    <col min="6247" max="6247" width="16.42578125" style="56" customWidth="1"/>
    <col min="6248" max="6248" width="16.140625" style="56" customWidth="1"/>
    <col min="6249" max="6351" width="9.85546875" style="56"/>
    <col min="6352" max="6352" width="20.5703125" style="56" customWidth="1"/>
    <col min="6353" max="6353" width="22.7109375" style="56" customWidth="1"/>
    <col min="6354" max="6354" width="19.140625" style="56" customWidth="1"/>
    <col min="6355" max="6356" width="17.140625" style="56" customWidth="1"/>
    <col min="6357" max="6357" width="19.5703125" style="56" customWidth="1"/>
    <col min="6358" max="6359" width="16.28515625" style="56" customWidth="1"/>
    <col min="6360" max="6360" width="12" style="56" customWidth="1"/>
    <col min="6361" max="6361" width="13.42578125" style="56" customWidth="1"/>
    <col min="6362" max="6366" width="15.42578125" style="56" customWidth="1"/>
    <col min="6367" max="6370" width="14.5703125" style="56" customWidth="1"/>
    <col min="6371" max="6371" width="15" style="56" customWidth="1"/>
    <col min="6372" max="6372" width="14.5703125" style="56" customWidth="1"/>
    <col min="6373" max="6385" width="14.140625" style="56" customWidth="1"/>
    <col min="6386" max="6386" width="17.5703125" style="56" customWidth="1"/>
    <col min="6387" max="6387" width="13.140625" style="56" customWidth="1"/>
    <col min="6388" max="6388" width="14.28515625" style="56" customWidth="1"/>
    <col min="6389" max="6392" width="13.140625" style="56" customWidth="1"/>
    <col min="6393" max="6393" width="13.85546875" style="56" customWidth="1"/>
    <col min="6394" max="6429" width="15.140625" style="56" customWidth="1"/>
    <col min="6430" max="6441" width="13.140625" style="56" customWidth="1"/>
    <col min="6442" max="6442" width="18.28515625" style="56" customWidth="1"/>
    <col min="6443" max="6443" width="15.85546875" style="56" customWidth="1"/>
    <col min="6444" max="6445" width="16.140625" style="56" customWidth="1"/>
    <col min="6446" max="6447" width="16.28515625" style="56" customWidth="1"/>
    <col min="6448" max="6448" width="17.7109375" style="56" customWidth="1"/>
    <col min="6449" max="6449" width="16.28515625" style="56" customWidth="1"/>
    <col min="6450" max="6450" width="18.42578125" style="56" customWidth="1"/>
    <col min="6451" max="6451" width="19.140625" style="56" customWidth="1"/>
    <col min="6452" max="6452" width="18.28515625" style="56" customWidth="1"/>
    <col min="6453" max="6454" width="16.7109375" style="56" customWidth="1"/>
    <col min="6455" max="6458" width="13.140625" style="56" customWidth="1"/>
    <col min="6459" max="6459" width="18.42578125" style="56" customWidth="1"/>
    <col min="6460" max="6460" width="13.140625" style="56" customWidth="1"/>
    <col min="6461" max="6461" width="14.42578125" style="56" customWidth="1"/>
    <col min="6462" max="6462" width="16.28515625" style="56" customWidth="1"/>
    <col min="6463" max="6466" width="14.42578125" style="56" customWidth="1"/>
    <col min="6467" max="6468" width="13.140625" style="56" customWidth="1"/>
    <col min="6469" max="6469" width="15.5703125" style="56" customWidth="1"/>
    <col min="6470" max="6470" width="13.140625" style="56" customWidth="1"/>
    <col min="6471" max="6472" width="14.140625" style="56" customWidth="1"/>
    <col min="6473" max="6473" width="17.7109375" style="56" customWidth="1"/>
    <col min="6474" max="6475" width="13.140625" style="56" customWidth="1"/>
    <col min="6476" max="6476" width="17.140625" style="56" customWidth="1"/>
    <col min="6477" max="6477" width="13.140625" style="56" customWidth="1"/>
    <col min="6478" max="6478" width="14.140625" style="56" customWidth="1"/>
    <col min="6479" max="6479" width="13.140625" style="56" customWidth="1"/>
    <col min="6480" max="6481" width="12.42578125" style="56" customWidth="1"/>
    <col min="6482" max="6482" width="12.140625" style="56" customWidth="1"/>
    <col min="6483" max="6483" width="12.42578125" style="56" customWidth="1"/>
    <col min="6484" max="6484" width="12.140625" style="56" customWidth="1"/>
    <col min="6485" max="6486" width="16.140625" style="56" customWidth="1"/>
    <col min="6487" max="6487" width="16.85546875" style="56" customWidth="1"/>
    <col min="6488" max="6488" width="17.28515625" style="56" customWidth="1"/>
    <col min="6489" max="6489" width="17.42578125" style="56" customWidth="1"/>
    <col min="6490" max="6490" width="16.140625" style="56" customWidth="1"/>
    <col min="6491" max="6491" width="15.5703125" style="56" customWidth="1"/>
    <col min="6492" max="6492" width="17.85546875" style="56" customWidth="1"/>
    <col min="6493" max="6493" width="17.42578125" style="56" customWidth="1"/>
    <col min="6494" max="6494" width="17.28515625" style="56" customWidth="1"/>
    <col min="6495" max="6495" width="17" style="56" customWidth="1"/>
    <col min="6496" max="6496" width="15.5703125" style="56" customWidth="1"/>
    <col min="6497" max="6497" width="16.85546875" style="56" customWidth="1"/>
    <col min="6498" max="6498" width="16.7109375" style="56" customWidth="1"/>
    <col min="6499" max="6499" width="16.28515625" style="56" customWidth="1"/>
    <col min="6500" max="6500" width="17" style="56" customWidth="1"/>
    <col min="6501" max="6501" width="17.85546875" style="56" customWidth="1"/>
    <col min="6502" max="6502" width="17" style="56" customWidth="1"/>
    <col min="6503" max="6503" width="16.42578125" style="56" customWidth="1"/>
    <col min="6504" max="6504" width="16.140625" style="56" customWidth="1"/>
    <col min="6505" max="6607" width="9.85546875" style="56"/>
    <col min="6608" max="6608" width="20.5703125" style="56" customWidth="1"/>
    <col min="6609" max="6609" width="22.7109375" style="56" customWidth="1"/>
    <col min="6610" max="6610" width="19.140625" style="56" customWidth="1"/>
    <col min="6611" max="6612" width="17.140625" style="56" customWidth="1"/>
    <col min="6613" max="6613" width="19.5703125" style="56" customWidth="1"/>
    <col min="6614" max="6615" width="16.28515625" style="56" customWidth="1"/>
    <col min="6616" max="6616" width="12" style="56" customWidth="1"/>
    <col min="6617" max="6617" width="13.42578125" style="56" customWidth="1"/>
    <col min="6618" max="6622" width="15.42578125" style="56" customWidth="1"/>
    <col min="6623" max="6626" width="14.5703125" style="56" customWidth="1"/>
    <col min="6627" max="6627" width="15" style="56" customWidth="1"/>
    <col min="6628" max="6628" width="14.5703125" style="56" customWidth="1"/>
    <col min="6629" max="6641" width="14.140625" style="56" customWidth="1"/>
    <col min="6642" max="6642" width="17.5703125" style="56" customWidth="1"/>
    <col min="6643" max="6643" width="13.140625" style="56" customWidth="1"/>
    <col min="6644" max="6644" width="14.28515625" style="56" customWidth="1"/>
    <col min="6645" max="6648" width="13.140625" style="56" customWidth="1"/>
    <col min="6649" max="6649" width="13.85546875" style="56" customWidth="1"/>
    <col min="6650" max="6685" width="15.140625" style="56" customWidth="1"/>
    <col min="6686" max="6697" width="13.140625" style="56" customWidth="1"/>
    <col min="6698" max="6698" width="18.28515625" style="56" customWidth="1"/>
    <col min="6699" max="6699" width="15.85546875" style="56" customWidth="1"/>
    <col min="6700" max="6701" width="16.140625" style="56" customWidth="1"/>
    <col min="6702" max="6703" width="16.28515625" style="56" customWidth="1"/>
    <col min="6704" max="6704" width="17.7109375" style="56" customWidth="1"/>
    <col min="6705" max="6705" width="16.28515625" style="56" customWidth="1"/>
    <col min="6706" max="6706" width="18.42578125" style="56" customWidth="1"/>
    <col min="6707" max="6707" width="19.140625" style="56" customWidth="1"/>
    <col min="6708" max="6708" width="18.28515625" style="56" customWidth="1"/>
    <col min="6709" max="6710" width="16.7109375" style="56" customWidth="1"/>
    <col min="6711" max="6714" width="13.140625" style="56" customWidth="1"/>
    <col min="6715" max="6715" width="18.42578125" style="56" customWidth="1"/>
    <col min="6716" max="6716" width="13.140625" style="56" customWidth="1"/>
    <col min="6717" max="6717" width="14.42578125" style="56" customWidth="1"/>
    <col min="6718" max="6718" width="16.28515625" style="56" customWidth="1"/>
    <col min="6719" max="6722" width="14.42578125" style="56" customWidth="1"/>
    <col min="6723" max="6724" width="13.140625" style="56" customWidth="1"/>
    <col min="6725" max="6725" width="15.5703125" style="56" customWidth="1"/>
    <col min="6726" max="6726" width="13.140625" style="56" customWidth="1"/>
    <col min="6727" max="6728" width="14.140625" style="56" customWidth="1"/>
    <col min="6729" max="6729" width="17.7109375" style="56" customWidth="1"/>
    <col min="6730" max="6731" width="13.140625" style="56" customWidth="1"/>
    <col min="6732" max="6732" width="17.140625" style="56" customWidth="1"/>
    <col min="6733" max="6733" width="13.140625" style="56" customWidth="1"/>
    <col min="6734" max="6734" width="14.140625" style="56" customWidth="1"/>
    <col min="6735" max="6735" width="13.140625" style="56" customWidth="1"/>
    <col min="6736" max="6737" width="12.42578125" style="56" customWidth="1"/>
    <col min="6738" max="6738" width="12.140625" style="56" customWidth="1"/>
    <col min="6739" max="6739" width="12.42578125" style="56" customWidth="1"/>
    <col min="6740" max="6740" width="12.140625" style="56" customWidth="1"/>
    <col min="6741" max="6742" width="16.140625" style="56" customWidth="1"/>
    <col min="6743" max="6743" width="16.85546875" style="56" customWidth="1"/>
    <col min="6744" max="6744" width="17.28515625" style="56" customWidth="1"/>
    <col min="6745" max="6745" width="17.42578125" style="56" customWidth="1"/>
    <col min="6746" max="6746" width="16.140625" style="56" customWidth="1"/>
    <col min="6747" max="6747" width="15.5703125" style="56" customWidth="1"/>
    <col min="6748" max="6748" width="17.85546875" style="56" customWidth="1"/>
    <col min="6749" max="6749" width="17.42578125" style="56" customWidth="1"/>
    <col min="6750" max="6750" width="17.28515625" style="56" customWidth="1"/>
    <col min="6751" max="6751" width="17" style="56" customWidth="1"/>
    <col min="6752" max="6752" width="15.5703125" style="56" customWidth="1"/>
    <col min="6753" max="6753" width="16.85546875" style="56" customWidth="1"/>
    <col min="6754" max="6754" width="16.7109375" style="56" customWidth="1"/>
    <col min="6755" max="6755" width="16.28515625" style="56" customWidth="1"/>
    <col min="6756" max="6756" width="17" style="56" customWidth="1"/>
    <col min="6757" max="6757" width="17.85546875" style="56" customWidth="1"/>
    <col min="6758" max="6758" width="17" style="56" customWidth="1"/>
    <col min="6759" max="6759" width="16.42578125" style="56" customWidth="1"/>
    <col min="6760" max="6760" width="16.140625" style="56" customWidth="1"/>
    <col min="6761" max="6863" width="9.85546875" style="56"/>
    <col min="6864" max="6864" width="20.5703125" style="56" customWidth="1"/>
    <col min="6865" max="6865" width="22.7109375" style="56" customWidth="1"/>
    <col min="6866" max="6866" width="19.140625" style="56" customWidth="1"/>
    <col min="6867" max="6868" width="17.140625" style="56" customWidth="1"/>
    <col min="6869" max="6869" width="19.5703125" style="56" customWidth="1"/>
    <col min="6870" max="6871" width="16.28515625" style="56" customWidth="1"/>
    <col min="6872" max="6872" width="12" style="56" customWidth="1"/>
    <col min="6873" max="6873" width="13.42578125" style="56" customWidth="1"/>
    <col min="6874" max="6878" width="15.42578125" style="56" customWidth="1"/>
    <col min="6879" max="6882" width="14.5703125" style="56" customWidth="1"/>
    <col min="6883" max="6883" width="15" style="56" customWidth="1"/>
    <col min="6884" max="6884" width="14.5703125" style="56" customWidth="1"/>
    <col min="6885" max="6897" width="14.140625" style="56" customWidth="1"/>
    <col min="6898" max="6898" width="17.5703125" style="56" customWidth="1"/>
    <col min="6899" max="6899" width="13.140625" style="56" customWidth="1"/>
    <col min="6900" max="6900" width="14.28515625" style="56" customWidth="1"/>
    <col min="6901" max="6904" width="13.140625" style="56" customWidth="1"/>
    <col min="6905" max="6905" width="13.85546875" style="56" customWidth="1"/>
    <col min="6906" max="6941" width="15.140625" style="56" customWidth="1"/>
    <col min="6942" max="6953" width="13.140625" style="56" customWidth="1"/>
    <col min="6954" max="6954" width="18.28515625" style="56" customWidth="1"/>
    <col min="6955" max="6955" width="15.85546875" style="56" customWidth="1"/>
    <col min="6956" max="6957" width="16.140625" style="56" customWidth="1"/>
    <col min="6958" max="6959" width="16.28515625" style="56" customWidth="1"/>
    <col min="6960" max="6960" width="17.7109375" style="56" customWidth="1"/>
    <col min="6961" max="6961" width="16.28515625" style="56" customWidth="1"/>
    <col min="6962" max="6962" width="18.42578125" style="56" customWidth="1"/>
    <col min="6963" max="6963" width="19.140625" style="56" customWidth="1"/>
    <col min="6964" max="6964" width="18.28515625" style="56" customWidth="1"/>
    <col min="6965" max="6966" width="16.7109375" style="56" customWidth="1"/>
    <col min="6967" max="6970" width="13.140625" style="56" customWidth="1"/>
    <col min="6971" max="6971" width="18.42578125" style="56" customWidth="1"/>
    <col min="6972" max="6972" width="13.140625" style="56" customWidth="1"/>
    <col min="6973" max="6973" width="14.42578125" style="56" customWidth="1"/>
    <col min="6974" max="6974" width="16.28515625" style="56" customWidth="1"/>
    <col min="6975" max="6978" width="14.42578125" style="56" customWidth="1"/>
    <col min="6979" max="6980" width="13.140625" style="56" customWidth="1"/>
    <col min="6981" max="6981" width="15.5703125" style="56" customWidth="1"/>
    <col min="6982" max="6982" width="13.140625" style="56" customWidth="1"/>
    <col min="6983" max="6984" width="14.140625" style="56" customWidth="1"/>
    <col min="6985" max="6985" width="17.7109375" style="56" customWidth="1"/>
    <col min="6986" max="6987" width="13.140625" style="56" customWidth="1"/>
    <col min="6988" max="6988" width="17.140625" style="56" customWidth="1"/>
    <col min="6989" max="6989" width="13.140625" style="56" customWidth="1"/>
    <col min="6990" max="6990" width="14.140625" style="56" customWidth="1"/>
    <col min="6991" max="6991" width="13.140625" style="56" customWidth="1"/>
    <col min="6992" max="6993" width="12.42578125" style="56" customWidth="1"/>
    <col min="6994" max="6994" width="12.140625" style="56" customWidth="1"/>
    <col min="6995" max="6995" width="12.42578125" style="56" customWidth="1"/>
    <col min="6996" max="6996" width="12.140625" style="56" customWidth="1"/>
    <col min="6997" max="6998" width="16.140625" style="56" customWidth="1"/>
    <col min="6999" max="6999" width="16.85546875" style="56" customWidth="1"/>
    <col min="7000" max="7000" width="17.28515625" style="56" customWidth="1"/>
    <col min="7001" max="7001" width="17.42578125" style="56" customWidth="1"/>
    <col min="7002" max="7002" width="16.140625" style="56" customWidth="1"/>
    <col min="7003" max="7003" width="15.5703125" style="56" customWidth="1"/>
    <col min="7004" max="7004" width="17.85546875" style="56" customWidth="1"/>
    <col min="7005" max="7005" width="17.42578125" style="56" customWidth="1"/>
    <col min="7006" max="7006" width="17.28515625" style="56" customWidth="1"/>
    <col min="7007" max="7007" width="17" style="56" customWidth="1"/>
    <col min="7008" max="7008" width="15.5703125" style="56" customWidth="1"/>
    <col min="7009" max="7009" width="16.85546875" style="56" customWidth="1"/>
    <col min="7010" max="7010" width="16.7109375" style="56" customWidth="1"/>
    <col min="7011" max="7011" width="16.28515625" style="56" customWidth="1"/>
    <col min="7012" max="7012" width="17" style="56" customWidth="1"/>
    <col min="7013" max="7013" width="17.85546875" style="56" customWidth="1"/>
    <col min="7014" max="7014" width="17" style="56" customWidth="1"/>
    <col min="7015" max="7015" width="16.42578125" style="56" customWidth="1"/>
    <col min="7016" max="7016" width="16.140625" style="56" customWidth="1"/>
    <col min="7017" max="7119" width="9.85546875" style="56"/>
    <col min="7120" max="7120" width="20.5703125" style="56" customWidth="1"/>
    <col min="7121" max="7121" width="22.7109375" style="56" customWidth="1"/>
    <col min="7122" max="7122" width="19.140625" style="56" customWidth="1"/>
    <col min="7123" max="7124" width="17.140625" style="56" customWidth="1"/>
    <col min="7125" max="7125" width="19.5703125" style="56" customWidth="1"/>
    <col min="7126" max="7127" width="16.28515625" style="56" customWidth="1"/>
    <col min="7128" max="7128" width="12" style="56" customWidth="1"/>
    <col min="7129" max="7129" width="13.42578125" style="56" customWidth="1"/>
    <col min="7130" max="7134" width="15.42578125" style="56" customWidth="1"/>
    <col min="7135" max="7138" width="14.5703125" style="56" customWidth="1"/>
    <col min="7139" max="7139" width="15" style="56" customWidth="1"/>
    <col min="7140" max="7140" width="14.5703125" style="56" customWidth="1"/>
    <col min="7141" max="7153" width="14.140625" style="56" customWidth="1"/>
    <col min="7154" max="7154" width="17.5703125" style="56" customWidth="1"/>
    <col min="7155" max="7155" width="13.140625" style="56" customWidth="1"/>
    <col min="7156" max="7156" width="14.28515625" style="56" customWidth="1"/>
    <col min="7157" max="7160" width="13.140625" style="56" customWidth="1"/>
    <col min="7161" max="7161" width="13.85546875" style="56" customWidth="1"/>
    <col min="7162" max="7197" width="15.140625" style="56" customWidth="1"/>
    <col min="7198" max="7209" width="13.140625" style="56" customWidth="1"/>
    <col min="7210" max="7210" width="18.28515625" style="56" customWidth="1"/>
    <col min="7211" max="7211" width="15.85546875" style="56" customWidth="1"/>
    <col min="7212" max="7213" width="16.140625" style="56" customWidth="1"/>
    <col min="7214" max="7215" width="16.28515625" style="56" customWidth="1"/>
    <col min="7216" max="7216" width="17.7109375" style="56" customWidth="1"/>
    <col min="7217" max="7217" width="16.28515625" style="56" customWidth="1"/>
    <col min="7218" max="7218" width="18.42578125" style="56" customWidth="1"/>
    <col min="7219" max="7219" width="19.140625" style="56" customWidth="1"/>
    <col min="7220" max="7220" width="18.28515625" style="56" customWidth="1"/>
    <col min="7221" max="7222" width="16.7109375" style="56" customWidth="1"/>
    <col min="7223" max="7226" width="13.140625" style="56" customWidth="1"/>
    <col min="7227" max="7227" width="18.42578125" style="56" customWidth="1"/>
    <col min="7228" max="7228" width="13.140625" style="56" customWidth="1"/>
    <col min="7229" max="7229" width="14.42578125" style="56" customWidth="1"/>
    <col min="7230" max="7230" width="16.28515625" style="56" customWidth="1"/>
    <col min="7231" max="7234" width="14.42578125" style="56" customWidth="1"/>
    <col min="7235" max="7236" width="13.140625" style="56" customWidth="1"/>
    <col min="7237" max="7237" width="15.5703125" style="56" customWidth="1"/>
    <col min="7238" max="7238" width="13.140625" style="56" customWidth="1"/>
    <col min="7239" max="7240" width="14.140625" style="56" customWidth="1"/>
    <col min="7241" max="7241" width="17.7109375" style="56" customWidth="1"/>
    <col min="7242" max="7243" width="13.140625" style="56" customWidth="1"/>
    <col min="7244" max="7244" width="17.140625" style="56" customWidth="1"/>
    <col min="7245" max="7245" width="13.140625" style="56" customWidth="1"/>
    <col min="7246" max="7246" width="14.140625" style="56" customWidth="1"/>
    <col min="7247" max="7247" width="13.140625" style="56" customWidth="1"/>
    <col min="7248" max="7249" width="12.42578125" style="56" customWidth="1"/>
    <col min="7250" max="7250" width="12.140625" style="56" customWidth="1"/>
    <col min="7251" max="7251" width="12.42578125" style="56" customWidth="1"/>
    <col min="7252" max="7252" width="12.140625" style="56" customWidth="1"/>
    <col min="7253" max="7254" width="16.140625" style="56" customWidth="1"/>
    <col min="7255" max="7255" width="16.85546875" style="56" customWidth="1"/>
    <col min="7256" max="7256" width="17.28515625" style="56" customWidth="1"/>
    <col min="7257" max="7257" width="17.42578125" style="56" customWidth="1"/>
    <col min="7258" max="7258" width="16.140625" style="56" customWidth="1"/>
    <col min="7259" max="7259" width="15.5703125" style="56" customWidth="1"/>
    <col min="7260" max="7260" width="17.85546875" style="56" customWidth="1"/>
    <col min="7261" max="7261" width="17.42578125" style="56" customWidth="1"/>
    <col min="7262" max="7262" width="17.28515625" style="56" customWidth="1"/>
    <col min="7263" max="7263" width="17" style="56" customWidth="1"/>
    <col min="7264" max="7264" width="15.5703125" style="56" customWidth="1"/>
    <col min="7265" max="7265" width="16.85546875" style="56" customWidth="1"/>
    <col min="7266" max="7266" width="16.7109375" style="56" customWidth="1"/>
    <col min="7267" max="7267" width="16.28515625" style="56" customWidth="1"/>
    <col min="7268" max="7268" width="17" style="56" customWidth="1"/>
    <col min="7269" max="7269" width="17.85546875" style="56" customWidth="1"/>
    <col min="7270" max="7270" width="17" style="56" customWidth="1"/>
    <col min="7271" max="7271" width="16.42578125" style="56" customWidth="1"/>
    <col min="7272" max="7272" width="16.140625" style="56" customWidth="1"/>
    <col min="7273" max="7375" width="9.85546875" style="56"/>
    <col min="7376" max="7376" width="20.5703125" style="56" customWidth="1"/>
    <col min="7377" max="7377" width="22.7109375" style="56" customWidth="1"/>
    <col min="7378" max="7378" width="19.140625" style="56" customWidth="1"/>
    <col min="7379" max="7380" width="17.140625" style="56" customWidth="1"/>
    <col min="7381" max="7381" width="19.5703125" style="56" customWidth="1"/>
    <col min="7382" max="7383" width="16.28515625" style="56" customWidth="1"/>
    <col min="7384" max="7384" width="12" style="56" customWidth="1"/>
    <col min="7385" max="7385" width="13.42578125" style="56" customWidth="1"/>
    <col min="7386" max="7390" width="15.42578125" style="56" customWidth="1"/>
    <col min="7391" max="7394" width="14.5703125" style="56" customWidth="1"/>
    <col min="7395" max="7395" width="15" style="56" customWidth="1"/>
    <col min="7396" max="7396" width="14.5703125" style="56" customWidth="1"/>
    <col min="7397" max="7409" width="14.140625" style="56" customWidth="1"/>
    <col min="7410" max="7410" width="17.5703125" style="56" customWidth="1"/>
    <col min="7411" max="7411" width="13.140625" style="56" customWidth="1"/>
    <col min="7412" max="7412" width="14.28515625" style="56" customWidth="1"/>
    <col min="7413" max="7416" width="13.140625" style="56" customWidth="1"/>
    <col min="7417" max="7417" width="13.85546875" style="56" customWidth="1"/>
    <col min="7418" max="7453" width="15.140625" style="56" customWidth="1"/>
    <col min="7454" max="7465" width="13.140625" style="56" customWidth="1"/>
    <col min="7466" max="7466" width="18.28515625" style="56" customWidth="1"/>
    <col min="7467" max="7467" width="15.85546875" style="56" customWidth="1"/>
    <col min="7468" max="7469" width="16.140625" style="56" customWidth="1"/>
    <col min="7470" max="7471" width="16.28515625" style="56" customWidth="1"/>
    <col min="7472" max="7472" width="17.7109375" style="56" customWidth="1"/>
    <col min="7473" max="7473" width="16.28515625" style="56" customWidth="1"/>
    <col min="7474" max="7474" width="18.42578125" style="56" customWidth="1"/>
    <col min="7475" max="7475" width="19.140625" style="56" customWidth="1"/>
    <col min="7476" max="7476" width="18.28515625" style="56" customWidth="1"/>
    <col min="7477" max="7478" width="16.7109375" style="56" customWidth="1"/>
    <col min="7479" max="7482" width="13.140625" style="56" customWidth="1"/>
    <col min="7483" max="7483" width="18.42578125" style="56" customWidth="1"/>
    <col min="7484" max="7484" width="13.140625" style="56" customWidth="1"/>
    <col min="7485" max="7485" width="14.42578125" style="56" customWidth="1"/>
    <col min="7486" max="7486" width="16.28515625" style="56" customWidth="1"/>
    <col min="7487" max="7490" width="14.42578125" style="56" customWidth="1"/>
    <col min="7491" max="7492" width="13.140625" style="56" customWidth="1"/>
    <col min="7493" max="7493" width="15.5703125" style="56" customWidth="1"/>
    <col min="7494" max="7494" width="13.140625" style="56" customWidth="1"/>
    <col min="7495" max="7496" width="14.140625" style="56" customWidth="1"/>
    <col min="7497" max="7497" width="17.7109375" style="56" customWidth="1"/>
    <col min="7498" max="7499" width="13.140625" style="56" customWidth="1"/>
    <col min="7500" max="7500" width="17.140625" style="56" customWidth="1"/>
    <col min="7501" max="7501" width="13.140625" style="56" customWidth="1"/>
    <col min="7502" max="7502" width="14.140625" style="56" customWidth="1"/>
    <col min="7503" max="7503" width="13.140625" style="56" customWidth="1"/>
    <col min="7504" max="7505" width="12.42578125" style="56" customWidth="1"/>
    <col min="7506" max="7506" width="12.140625" style="56" customWidth="1"/>
    <col min="7507" max="7507" width="12.42578125" style="56" customWidth="1"/>
    <col min="7508" max="7508" width="12.140625" style="56" customWidth="1"/>
    <col min="7509" max="7510" width="16.140625" style="56" customWidth="1"/>
    <col min="7511" max="7511" width="16.85546875" style="56" customWidth="1"/>
    <col min="7512" max="7512" width="17.28515625" style="56" customWidth="1"/>
    <col min="7513" max="7513" width="17.42578125" style="56" customWidth="1"/>
    <col min="7514" max="7514" width="16.140625" style="56" customWidth="1"/>
    <col min="7515" max="7515" width="15.5703125" style="56" customWidth="1"/>
    <col min="7516" max="7516" width="17.85546875" style="56" customWidth="1"/>
    <col min="7517" max="7517" width="17.42578125" style="56" customWidth="1"/>
    <col min="7518" max="7518" width="17.28515625" style="56" customWidth="1"/>
    <col min="7519" max="7519" width="17" style="56" customWidth="1"/>
    <col min="7520" max="7520" width="15.5703125" style="56" customWidth="1"/>
    <col min="7521" max="7521" width="16.85546875" style="56" customWidth="1"/>
    <col min="7522" max="7522" width="16.7109375" style="56" customWidth="1"/>
    <col min="7523" max="7523" width="16.28515625" style="56" customWidth="1"/>
    <col min="7524" max="7524" width="17" style="56" customWidth="1"/>
    <col min="7525" max="7525" width="17.85546875" style="56" customWidth="1"/>
    <col min="7526" max="7526" width="17" style="56" customWidth="1"/>
    <col min="7527" max="7527" width="16.42578125" style="56" customWidth="1"/>
    <col min="7528" max="7528" width="16.140625" style="56" customWidth="1"/>
    <col min="7529" max="7631" width="9.85546875" style="56"/>
    <col min="7632" max="7632" width="20.5703125" style="56" customWidth="1"/>
    <col min="7633" max="7633" width="22.7109375" style="56" customWidth="1"/>
    <col min="7634" max="7634" width="19.140625" style="56" customWidth="1"/>
    <col min="7635" max="7636" width="17.140625" style="56" customWidth="1"/>
    <col min="7637" max="7637" width="19.5703125" style="56" customWidth="1"/>
    <col min="7638" max="7639" width="16.28515625" style="56" customWidth="1"/>
    <col min="7640" max="7640" width="12" style="56" customWidth="1"/>
    <col min="7641" max="7641" width="13.42578125" style="56" customWidth="1"/>
    <col min="7642" max="7646" width="15.42578125" style="56" customWidth="1"/>
    <col min="7647" max="7650" width="14.5703125" style="56" customWidth="1"/>
    <col min="7651" max="7651" width="15" style="56" customWidth="1"/>
    <col min="7652" max="7652" width="14.5703125" style="56" customWidth="1"/>
    <col min="7653" max="7665" width="14.140625" style="56" customWidth="1"/>
    <col min="7666" max="7666" width="17.5703125" style="56" customWidth="1"/>
    <col min="7667" max="7667" width="13.140625" style="56" customWidth="1"/>
    <col min="7668" max="7668" width="14.28515625" style="56" customWidth="1"/>
    <col min="7669" max="7672" width="13.140625" style="56" customWidth="1"/>
    <col min="7673" max="7673" width="13.85546875" style="56" customWidth="1"/>
    <col min="7674" max="7709" width="15.140625" style="56" customWidth="1"/>
    <col min="7710" max="7721" width="13.140625" style="56" customWidth="1"/>
    <col min="7722" max="7722" width="18.28515625" style="56" customWidth="1"/>
    <col min="7723" max="7723" width="15.85546875" style="56" customWidth="1"/>
    <col min="7724" max="7725" width="16.140625" style="56" customWidth="1"/>
    <col min="7726" max="7727" width="16.28515625" style="56" customWidth="1"/>
    <col min="7728" max="7728" width="17.7109375" style="56" customWidth="1"/>
    <col min="7729" max="7729" width="16.28515625" style="56" customWidth="1"/>
    <col min="7730" max="7730" width="18.42578125" style="56" customWidth="1"/>
    <col min="7731" max="7731" width="19.140625" style="56" customWidth="1"/>
    <col min="7732" max="7732" width="18.28515625" style="56" customWidth="1"/>
    <col min="7733" max="7734" width="16.7109375" style="56" customWidth="1"/>
    <col min="7735" max="7738" width="13.140625" style="56" customWidth="1"/>
    <col min="7739" max="7739" width="18.42578125" style="56" customWidth="1"/>
    <col min="7740" max="7740" width="13.140625" style="56" customWidth="1"/>
    <col min="7741" max="7741" width="14.42578125" style="56" customWidth="1"/>
    <col min="7742" max="7742" width="16.28515625" style="56" customWidth="1"/>
    <col min="7743" max="7746" width="14.42578125" style="56" customWidth="1"/>
    <col min="7747" max="7748" width="13.140625" style="56" customWidth="1"/>
    <col min="7749" max="7749" width="15.5703125" style="56" customWidth="1"/>
    <col min="7750" max="7750" width="13.140625" style="56" customWidth="1"/>
    <col min="7751" max="7752" width="14.140625" style="56" customWidth="1"/>
    <col min="7753" max="7753" width="17.7109375" style="56" customWidth="1"/>
    <col min="7754" max="7755" width="13.140625" style="56" customWidth="1"/>
    <col min="7756" max="7756" width="17.140625" style="56" customWidth="1"/>
    <col min="7757" max="7757" width="13.140625" style="56" customWidth="1"/>
    <col min="7758" max="7758" width="14.140625" style="56" customWidth="1"/>
    <col min="7759" max="7759" width="13.140625" style="56" customWidth="1"/>
    <col min="7760" max="7761" width="12.42578125" style="56" customWidth="1"/>
    <col min="7762" max="7762" width="12.140625" style="56" customWidth="1"/>
    <col min="7763" max="7763" width="12.42578125" style="56" customWidth="1"/>
    <col min="7764" max="7764" width="12.140625" style="56" customWidth="1"/>
    <col min="7765" max="7766" width="16.140625" style="56" customWidth="1"/>
    <col min="7767" max="7767" width="16.85546875" style="56" customWidth="1"/>
    <col min="7768" max="7768" width="17.28515625" style="56" customWidth="1"/>
    <col min="7769" max="7769" width="17.42578125" style="56" customWidth="1"/>
    <col min="7770" max="7770" width="16.140625" style="56" customWidth="1"/>
    <col min="7771" max="7771" width="15.5703125" style="56" customWidth="1"/>
    <col min="7772" max="7772" width="17.85546875" style="56" customWidth="1"/>
    <col min="7773" max="7773" width="17.42578125" style="56" customWidth="1"/>
    <col min="7774" max="7774" width="17.28515625" style="56" customWidth="1"/>
    <col min="7775" max="7775" width="17" style="56" customWidth="1"/>
    <col min="7776" max="7776" width="15.5703125" style="56" customWidth="1"/>
    <col min="7777" max="7777" width="16.85546875" style="56" customWidth="1"/>
    <col min="7778" max="7778" width="16.7109375" style="56" customWidth="1"/>
    <col min="7779" max="7779" width="16.28515625" style="56" customWidth="1"/>
    <col min="7780" max="7780" width="17" style="56" customWidth="1"/>
    <col min="7781" max="7781" width="17.85546875" style="56" customWidth="1"/>
    <col min="7782" max="7782" width="17" style="56" customWidth="1"/>
    <col min="7783" max="7783" width="16.42578125" style="56" customWidth="1"/>
    <col min="7784" max="7784" width="16.140625" style="56" customWidth="1"/>
    <col min="7785" max="7887" width="9.85546875" style="56"/>
    <col min="7888" max="7888" width="20.5703125" style="56" customWidth="1"/>
    <col min="7889" max="7889" width="22.7109375" style="56" customWidth="1"/>
    <col min="7890" max="7890" width="19.140625" style="56" customWidth="1"/>
    <col min="7891" max="7892" width="17.140625" style="56" customWidth="1"/>
    <col min="7893" max="7893" width="19.5703125" style="56" customWidth="1"/>
    <col min="7894" max="7895" width="16.28515625" style="56" customWidth="1"/>
    <col min="7896" max="7896" width="12" style="56" customWidth="1"/>
    <col min="7897" max="7897" width="13.42578125" style="56" customWidth="1"/>
    <col min="7898" max="7902" width="15.42578125" style="56" customWidth="1"/>
    <col min="7903" max="7906" width="14.5703125" style="56" customWidth="1"/>
    <col min="7907" max="7907" width="15" style="56" customWidth="1"/>
    <col min="7908" max="7908" width="14.5703125" style="56" customWidth="1"/>
    <col min="7909" max="7921" width="14.140625" style="56" customWidth="1"/>
    <col min="7922" max="7922" width="17.5703125" style="56" customWidth="1"/>
    <col min="7923" max="7923" width="13.140625" style="56" customWidth="1"/>
    <col min="7924" max="7924" width="14.28515625" style="56" customWidth="1"/>
    <col min="7925" max="7928" width="13.140625" style="56" customWidth="1"/>
    <col min="7929" max="7929" width="13.85546875" style="56" customWidth="1"/>
    <col min="7930" max="7965" width="15.140625" style="56" customWidth="1"/>
    <col min="7966" max="7977" width="13.140625" style="56" customWidth="1"/>
    <col min="7978" max="7978" width="18.28515625" style="56" customWidth="1"/>
    <col min="7979" max="7979" width="15.85546875" style="56" customWidth="1"/>
    <col min="7980" max="7981" width="16.140625" style="56" customWidth="1"/>
    <col min="7982" max="7983" width="16.28515625" style="56" customWidth="1"/>
    <col min="7984" max="7984" width="17.7109375" style="56" customWidth="1"/>
    <col min="7985" max="7985" width="16.28515625" style="56" customWidth="1"/>
    <col min="7986" max="7986" width="18.42578125" style="56" customWidth="1"/>
    <col min="7987" max="7987" width="19.140625" style="56" customWidth="1"/>
    <col min="7988" max="7988" width="18.28515625" style="56" customWidth="1"/>
    <col min="7989" max="7990" width="16.7109375" style="56" customWidth="1"/>
    <col min="7991" max="7994" width="13.140625" style="56" customWidth="1"/>
    <col min="7995" max="7995" width="18.42578125" style="56" customWidth="1"/>
    <col min="7996" max="7996" width="13.140625" style="56" customWidth="1"/>
    <col min="7997" max="7997" width="14.42578125" style="56" customWidth="1"/>
    <col min="7998" max="7998" width="16.28515625" style="56" customWidth="1"/>
    <col min="7999" max="8002" width="14.42578125" style="56" customWidth="1"/>
    <col min="8003" max="8004" width="13.140625" style="56" customWidth="1"/>
    <col min="8005" max="8005" width="15.5703125" style="56" customWidth="1"/>
    <col min="8006" max="8006" width="13.140625" style="56" customWidth="1"/>
    <col min="8007" max="8008" width="14.140625" style="56" customWidth="1"/>
    <col min="8009" max="8009" width="17.7109375" style="56" customWidth="1"/>
    <col min="8010" max="8011" width="13.140625" style="56" customWidth="1"/>
    <col min="8012" max="8012" width="17.140625" style="56" customWidth="1"/>
    <col min="8013" max="8013" width="13.140625" style="56" customWidth="1"/>
    <col min="8014" max="8014" width="14.140625" style="56" customWidth="1"/>
    <col min="8015" max="8015" width="13.140625" style="56" customWidth="1"/>
    <col min="8016" max="8017" width="12.42578125" style="56" customWidth="1"/>
    <col min="8018" max="8018" width="12.140625" style="56" customWidth="1"/>
    <col min="8019" max="8019" width="12.42578125" style="56" customWidth="1"/>
    <col min="8020" max="8020" width="12.140625" style="56" customWidth="1"/>
    <col min="8021" max="8022" width="16.140625" style="56" customWidth="1"/>
    <col min="8023" max="8023" width="16.85546875" style="56" customWidth="1"/>
    <col min="8024" max="8024" width="17.28515625" style="56" customWidth="1"/>
    <col min="8025" max="8025" width="17.42578125" style="56" customWidth="1"/>
    <col min="8026" max="8026" width="16.140625" style="56" customWidth="1"/>
    <col min="8027" max="8027" width="15.5703125" style="56" customWidth="1"/>
    <col min="8028" max="8028" width="17.85546875" style="56" customWidth="1"/>
    <col min="8029" max="8029" width="17.42578125" style="56" customWidth="1"/>
    <col min="8030" max="8030" width="17.28515625" style="56" customWidth="1"/>
    <col min="8031" max="8031" width="17" style="56" customWidth="1"/>
    <col min="8032" max="8032" width="15.5703125" style="56" customWidth="1"/>
    <col min="8033" max="8033" width="16.85546875" style="56" customWidth="1"/>
    <col min="8034" max="8034" width="16.7109375" style="56" customWidth="1"/>
    <col min="8035" max="8035" width="16.28515625" style="56" customWidth="1"/>
    <col min="8036" max="8036" width="17" style="56" customWidth="1"/>
    <col min="8037" max="8037" width="17.85546875" style="56" customWidth="1"/>
    <col min="8038" max="8038" width="17" style="56" customWidth="1"/>
    <col min="8039" max="8039" width="16.42578125" style="56" customWidth="1"/>
    <col min="8040" max="8040" width="16.140625" style="56" customWidth="1"/>
    <col min="8041" max="8143" width="9.85546875" style="56"/>
    <col min="8144" max="8144" width="20.5703125" style="56" customWidth="1"/>
    <col min="8145" max="8145" width="22.7109375" style="56" customWidth="1"/>
    <col min="8146" max="8146" width="19.140625" style="56" customWidth="1"/>
    <col min="8147" max="8148" width="17.140625" style="56" customWidth="1"/>
    <col min="8149" max="8149" width="19.5703125" style="56" customWidth="1"/>
    <col min="8150" max="8151" width="16.28515625" style="56" customWidth="1"/>
    <col min="8152" max="8152" width="12" style="56" customWidth="1"/>
    <col min="8153" max="8153" width="13.42578125" style="56" customWidth="1"/>
    <col min="8154" max="8158" width="15.42578125" style="56" customWidth="1"/>
    <col min="8159" max="8162" width="14.5703125" style="56" customWidth="1"/>
    <col min="8163" max="8163" width="15" style="56" customWidth="1"/>
    <col min="8164" max="8164" width="14.5703125" style="56" customWidth="1"/>
    <col min="8165" max="8177" width="14.140625" style="56" customWidth="1"/>
    <col min="8178" max="8178" width="17.5703125" style="56" customWidth="1"/>
    <col min="8179" max="8179" width="13.140625" style="56" customWidth="1"/>
    <col min="8180" max="8180" width="14.28515625" style="56" customWidth="1"/>
    <col min="8181" max="8184" width="13.140625" style="56" customWidth="1"/>
    <col min="8185" max="8185" width="13.85546875" style="56" customWidth="1"/>
    <col min="8186" max="8221" width="15.140625" style="56" customWidth="1"/>
    <col min="8222" max="8233" width="13.140625" style="56" customWidth="1"/>
    <col min="8234" max="8234" width="18.28515625" style="56" customWidth="1"/>
    <col min="8235" max="8235" width="15.85546875" style="56" customWidth="1"/>
    <col min="8236" max="8237" width="16.140625" style="56" customWidth="1"/>
    <col min="8238" max="8239" width="16.28515625" style="56" customWidth="1"/>
    <col min="8240" max="8240" width="17.7109375" style="56" customWidth="1"/>
    <col min="8241" max="8241" width="16.28515625" style="56" customWidth="1"/>
    <col min="8242" max="8242" width="18.42578125" style="56" customWidth="1"/>
    <col min="8243" max="8243" width="19.140625" style="56" customWidth="1"/>
    <col min="8244" max="8244" width="18.28515625" style="56" customWidth="1"/>
    <col min="8245" max="8246" width="16.7109375" style="56" customWidth="1"/>
    <col min="8247" max="8250" width="13.140625" style="56" customWidth="1"/>
    <col min="8251" max="8251" width="18.42578125" style="56" customWidth="1"/>
    <col min="8252" max="8252" width="13.140625" style="56" customWidth="1"/>
    <col min="8253" max="8253" width="14.42578125" style="56" customWidth="1"/>
    <col min="8254" max="8254" width="16.28515625" style="56" customWidth="1"/>
    <col min="8255" max="8258" width="14.42578125" style="56" customWidth="1"/>
    <col min="8259" max="8260" width="13.140625" style="56" customWidth="1"/>
    <col min="8261" max="8261" width="15.5703125" style="56" customWidth="1"/>
    <col min="8262" max="8262" width="13.140625" style="56" customWidth="1"/>
    <col min="8263" max="8264" width="14.140625" style="56" customWidth="1"/>
    <col min="8265" max="8265" width="17.7109375" style="56" customWidth="1"/>
    <col min="8266" max="8267" width="13.140625" style="56" customWidth="1"/>
    <col min="8268" max="8268" width="17.140625" style="56" customWidth="1"/>
    <col min="8269" max="8269" width="13.140625" style="56" customWidth="1"/>
    <col min="8270" max="8270" width="14.140625" style="56" customWidth="1"/>
    <col min="8271" max="8271" width="13.140625" style="56" customWidth="1"/>
    <col min="8272" max="8273" width="12.42578125" style="56" customWidth="1"/>
    <col min="8274" max="8274" width="12.140625" style="56" customWidth="1"/>
    <col min="8275" max="8275" width="12.42578125" style="56" customWidth="1"/>
    <col min="8276" max="8276" width="12.140625" style="56" customWidth="1"/>
    <col min="8277" max="8278" width="16.140625" style="56" customWidth="1"/>
    <col min="8279" max="8279" width="16.85546875" style="56" customWidth="1"/>
    <col min="8280" max="8280" width="17.28515625" style="56" customWidth="1"/>
    <col min="8281" max="8281" width="17.42578125" style="56" customWidth="1"/>
    <col min="8282" max="8282" width="16.140625" style="56" customWidth="1"/>
    <col min="8283" max="8283" width="15.5703125" style="56" customWidth="1"/>
    <col min="8284" max="8284" width="17.85546875" style="56" customWidth="1"/>
    <col min="8285" max="8285" width="17.42578125" style="56" customWidth="1"/>
    <col min="8286" max="8286" width="17.28515625" style="56" customWidth="1"/>
    <col min="8287" max="8287" width="17" style="56" customWidth="1"/>
    <col min="8288" max="8288" width="15.5703125" style="56" customWidth="1"/>
    <col min="8289" max="8289" width="16.85546875" style="56" customWidth="1"/>
    <col min="8290" max="8290" width="16.7109375" style="56" customWidth="1"/>
    <col min="8291" max="8291" width="16.28515625" style="56" customWidth="1"/>
    <col min="8292" max="8292" width="17" style="56" customWidth="1"/>
    <col min="8293" max="8293" width="17.85546875" style="56" customWidth="1"/>
    <col min="8294" max="8294" width="17" style="56" customWidth="1"/>
    <col min="8295" max="8295" width="16.42578125" style="56" customWidth="1"/>
    <col min="8296" max="8296" width="16.140625" style="56" customWidth="1"/>
    <col min="8297" max="8399" width="9.85546875" style="56"/>
    <col min="8400" max="8400" width="20.5703125" style="56" customWidth="1"/>
    <col min="8401" max="8401" width="22.7109375" style="56" customWidth="1"/>
    <col min="8402" max="8402" width="19.140625" style="56" customWidth="1"/>
    <col min="8403" max="8404" width="17.140625" style="56" customWidth="1"/>
    <col min="8405" max="8405" width="19.5703125" style="56" customWidth="1"/>
    <col min="8406" max="8407" width="16.28515625" style="56" customWidth="1"/>
    <col min="8408" max="8408" width="12" style="56" customWidth="1"/>
    <col min="8409" max="8409" width="13.42578125" style="56" customWidth="1"/>
    <col min="8410" max="8414" width="15.42578125" style="56" customWidth="1"/>
    <col min="8415" max="8418" width="14.5703125" style="56" customWidth="1"/>
    <col min="8419" max="8419" width="15" style="56" customWidth="1"/>
    <col min="8420" max="8420" width="14.5703125" style="56" customWidth="1"/>
    <col min="8421" max="8433" width="14.140625" style="56" customWidth="1"/>
    <col min="8434" max="8434" width="17.5703125" style="56" customWidth="1"/>
    <col min="8435" max="8435" width="13.140625" style="56" customWidth="1"/>
    <col min="8436" max="8436" width="14.28515625" style="56" customWidth="1"/>
    <col min="8437" max="8440" width="13.140625" style="56" customWidth="1"/>
    <col min="8441" max="8441" width="13.85546875" style="56" customWidth="1"/>
    <col min="8442" max="8477" width="15.140625" style="56" customWidth="1"/>
    <col min="8478" max="8489" width="13.140625" style="56" customWidth="1"/>
    <col min="8490" max="8490" width="18.28515625" style="56" customWidth="1"/>
    <col min="8491" max="8491" width="15.85546875" style="56" customWidth="1"/>
    <col min="8492" max="8493" width="16.140625" style="56" customWidth="1"/>
    <col min="8494" max="8495" width="16.28515625" style="56" customWidth="1"/>
    <col min="8496" max="8496" width="17.7109375" style="56" customWidth="1"/>
    <col min="8497" max="8497" width="16.28515625" style="56" customWidth="1"/>
    <col min="8498" max="8498" width="18.42578125" style="56" customWidth="1"/>
    <col min="8499" max="8499" width="19.140625" style="56" customWidth="1"/>
    <col min="8500" max="8500" width="18.28515625" style="56" customWidth="1"/>
    <col min="8501" max="8502" width="16.7109375" style="56" customWidth="1"/>
    <col min="8503" max="8506" width="13.140625" style="56" customWidth="1"/>
    <col min="8507" max="8507" width="18.42578125" style="56" customWidth="1"/>
    <col min="8508" max="8508" width="13.140625" style="56" customWidth="1"/>
    <col min="8509" max="8509" width="14.42578125" style="56" customWidth="1"/>
    <col min="8510" max="8510" width="16.28515625" style="56" customWidth="1"/>
    <col min="8511" max="8514" width="14.42578125" style="56" customWidth="1"/>
    <col min="8515" max="8516" width="13.140625" style="56" customWidth="1"/>
    <col min="8517" max="8517" width="15.5703125" style="56" customWidth="1"/>
    <col min="8518" max="8518" width="13.140625" style="56" customWidth="1"/>
    <col min="8519" max="8520" width="14.140625" style="56" customWidth="1"/>
    <col min="8521" max="8521" width="17.7109375" style="56" customWidth="1"/>
    <col min="8522" max="8523" width="13.140625" style="56" customWidth="1"/>
    <col min="8524" max="8524" width="17.140625" style="56" customWidth="1"/>
    <col min="8525" max="8525" width="13.140625" style="56" customWidth="1"/>
    <col min="8526" max="8526" width="14.140625" style="56" customWidth="1"/>
    <col min="8527" max="8527" width="13.140625" style="56" customWidth="1"/>
    <col min="8528" max="8529" width="12.42578125" style="56" customWidth="1"/>
    <col min="8530" max="8530" width="12.140625" style="56" customWidth="1"/>
    <col min="8531" max="8531" width="12.42578125" style="56" customWidth="1"/>
    <col min="8532" max="8532" width="12.140625" style="56" customWidth="1"/>
    <col min="8533" max="8534" width="16.140625" style="56" customWidth="1"/>
    <col min="8535" max="8535" width="16.85546875" style="56" customWidth="1"/>
    <col min="8536" max="8536" width="17.28515625" style="56" customWidth="1"/>
    <col min="8537" max="8537" width="17.42578125" style="56" customWidth="1"/>
    <col min="8538" max="8538" width="16.140625" style="56" customWidth="1"/>
    <col min="8539" max="8539" width="15.5703125" style="56" customWidth="1"/>
    <col min="8540" max="8540" width="17.85546875" style="56" customWidth="1"/>
    <col min="8541" max="8541" width="17.42578125" style="56" customWidth="1"/>
    <col min="8542" max="8542" width="17.28515625" style="56" customWidth="1"/>
    <col min="8543" max="8543" width="17" style="56" customWidth="1"/>
    <col min="8544" max="8544" width="15.5703125" style="56" customWidth="1"/>
    <col min="8545" max="8545" width="16.85546875" style="56" customWidth="1"/>
    <col min="8546" max="8546" width="16.7109375" style="56" customWidth="1"/>
    <col min="8547" max="8547" width="16.28515625" style="56" customWidth="1"/>
    <col min="8548" max="8548" width="17" style="56" customWidth="1"/>
    <col min="8549" max="8549" width="17.85546875" style="56" customWidth="1"/>
    <col min="8550" max="8550" width="17" style="56" customWidth="1"/>
    <col min="8551" max="8551" width="16.42578125" style="56" customWidth="1"/>
    <col min="8552" max="8552" width="16.140625" style="56" customWidth="1"/>
    <col min="8553" max="8655" width="9.85546875" style="56"/>
    <col min="8656" max="8656" width="20.5703125" style="56" customWidth="1"/>
    <col min="8657" max="8657" width="22.7109375" style="56" customWidth="1"/>
    <col min="8658" max="8658" width="19.140625" style="56" customWidth="1"/>
    <col min="8659" max="8660" width="17.140625" style="56" customWidth="1"/>
    <col min="8661" max="8661" width="19.5703125" style="56" customWidth="1"/>
    <col min="8662" max="8663" width="16.28515625" style="56" customWidth="1"/>
    <col min="8664" max="8664" width="12" style="56" customWidth="1"/>
    <col min="8665" max="8665" width="13.42578125" style="56" customWidth="1"/>
    <col min="8666" max="8670" width="15.42578125" style="56" customWidth="1"/>
    <col min="8671" max="8674" width="14.5703125" style="56" customWidth="1"/>
    <col min="8675" max="8675" width="15" style="56" customWidth="1"/>
    <col min="8676" max="8676" width="14.5703125" style="56" customWidth="1"/>
    <col min="8677" max="8689" width="14.140625" style="56" customWidth="1"/>
    <col min="8690" max="8690" width="17.5703125" style="56" customWidth="1"/>
    <col min="8691" max="8691" width="13.140625" style="56" customWidth="1"/>
    <col min="8692" max="8692" width="14.28515625" style="56" customWidth="1"/>
    <col min="8693" max="8696" width="13.140625" style="56" customWidth="1"/>
    <col min="8697" max="8697" width="13.85546875" style="56" customWidth="1"/>
    <col min="8698" max="8733" width="15.140625" style="56" customWidth="1"/>
    <col min="8734" max="8745" width="13.140625" style="56" customWidth="1"/>
    <col min="8746" max="8746" width="18.28515625" style="56" customWidth="1"/>
    <col min="8747" max="8747" width="15.85546875" style="56" customWidth="1"/>
    <col min="8748" max="8749" width="16.140625" style="56" customWidth="1"/>
    <col min="8750" max="8751" width="16.28515625" style="56" customWidth="1"/>
    <col min="8752" max="8752" width="17.7109375" style="56" customWidth="1"/>
    <col min="8753" max="8753" width="16.28515625" style="56" customWidth="1"/>
    <col min="8754" max="8754" width="18.42578125" style="56" customWidth="1"/>
    <col min="8755" max="8755" width="19.140625" style="56" customWidth="1"/>
    <col min="8756" max="8756" width="18.28515625" style="56" customWidth="1"/>
    <col min="8757" max="8758" width="16.7109375" style="56" customWidth="1"/>
    <col min="8759" max="8762" width="13.140625" style="56" customWidth="1"/>
    <col min="8763" max="8763" width="18.42578125" style="56" customWidth="1"/>
    <col min="8764" max="8764" width="13.140625" style="56" customWidth="1"/>
    <col min="8765" max="8765" width="14.42578125" style="56" customWidth="1"/>
    <col min="8766" max="8766" width="16.28515625" style="56" customWidth="1"/>
    <col min="8767" max="8770" width="14.42578125" style="56" customWidth="1"/>
    <col min="8771" max="8772" width="13.140625" style="56" customWidth="1"/>
    <col min="8773" max="8773" width="15.5703125" style="56" customWidth="1"/>
    <col min="8774" max="8774" width="13.140625" style="56" customWidth="1"/>
    <col min="8775" max="8776" width="14.140625" style="56" customWidth="1"/>
    <col min="8777" max="8777" width="17.7109375" style="56" customWidth="1"/>
    <col min="8778" max="8779" width="13.140625" style="56" customWidth="1"/>
    <col min="8780" max="8780" width="17.140625" style="56" customWidth="1"/>
    <col min="8781" max="8781" width="13.140625" style="56" customWidth="1"/>
    <col min="8782" max="8782" width="14.140625" style="56" customWidth="1"/>
    <col min="8783" max="8783" width="13.140625" style="56" customWidth="1"/>
    <col min="8784" max="8785" width="12.42578125" style="56" customWidth="1"/>
    <col min="8786" max="8786" width="12.140625" style="56" customWidth="1"/>
    <col min="8787" max="8787" width="12.42578125" style="56" customWidth="1"/>
    <col min="8788" max="8788" width="12.140625" style="56" customWidth="1"/>
    <col min="8789" max="8790" width="16.140625" style="56" customWidth="1"/>
    <col min="8791" max="8791" width="16.85546875" style="56" customWidth="1"/>
    <col min="8792" max="8792" width="17.28515625" style="56" customWidth="1"/>
    <col min="8793" max="8793" width="17.42578125" style="56" customWidth="1"/>
    <col min="8794" max="8794" width="16.140625" style="56" customWidth="1"/>
    <col min="8795" max="8795" width="15.5703125" style="56" customWidth="1"/>
    <col min="8796" max="8796" width="17.85546875" style="56" customWidth="1"/>
    <col min="8797" max="8797" width="17.42578125" style="56" customWidth="1"/>
    <col min="8798" max="8798" width="17.28515625" style="56" customWidth="1"/>
    <col min="8799" max="8799" width="17" style="56" customWidth="1"/>
    <col min="8800" max="8800" width="15.5703125" style="56" customWidth="1"/>
    <col min="8801" max="8801" width="16.85546875" style="56" customWidth="1"/>
    <col min="8802" max="8802" width="16.7109375" style="56" customWidth="1"/>
    <col min="8803" max="8803" width="16.28515625" style="56" customWidth="1"/>
    <col min="8804" max="8804" width="17" style="56" customWidth="1"/>
    <col min="8805" max="8805" width="17.85546875" style="56" customWidth="1"/>
    <col min="8806" max="8806" width="17" style="56" customWidth="1"/>
    <col min="8807" max="8807" width="16.42578125" style="56" customWidth="1"/>
    <col min="8808" max="8808" width="16.140625" style="56" customWidth="1"/>
    <col min="8809" max="8911" width="9.85546875" style="56"/>
    <col min="8912" max="8912" width="20.5703125" style="56" customWidth="1"/>
    <col min="8913" max="8913" width="22.7109375" style="56" customWidth="1"/>
    <col min="8914" max="8914" width="19.140625" style="56" customWidth="1"/>
    <col min="8915" max="8916" width="17.140625" style="56" customWidth="1"/>
    <col min="8917" max="8917" width="19.5703125" style="56" customWidth="1"/>
    <col min="8918" max="8919" width="16.28515625" style="56" customWidth="1"/>
    <col min="8920" max="8920" width="12" style="56" customWidth="1"/>
    <col min="8921" max="8921" width="13.42578125" style="56" customWidth="1"/>
    <col min="8922" max="8926" width="15.42578125" style="56" customWidth="1"/>
    <col min="8927" max="8930" width="14.5703125" style="56" customWidth="1"/>
    <col min="8931" max="8931" width="15" style="56" customWidth="1"/>
    <col min="8932" max="8932" width="14.5703125" style="56" customWidth="1"/>
    <col min="8933" max="8945" width="14.140625" style="56" customWidth="1"/>
    <col min="8946" max="8946" width="17.5703125" style="56" customWidth="1"/>
    <col min="8947" max="8947" width="13.140625" style="56" customWidth="1"/>
    <col min="8948" max="8948" width="14.28515625" style="56" customWidth="1"/>
    <col min="8949" max="8952" width="13.140625" style="56" customWidth="1"/>
    <col min="8953" max="8953" width="13.85546875" style="56" customWidth="1"/>
    <col min="8954" max="8989" width="15.140625" style="56" customWidth="1"/>
    <col min="8990" max="9001" width="13.140625" style="56" customWidth="1"/>
    <col min="9002" max="9002" width="18.28515625" style="56" customWidth="1"/>
    <col min="9003" max="9003" width="15.85546875" style="56" customWidth="1"/>
    <col min="9004" max="9005" width="16.140625" style="56" customWidth="1"/>
    <col min="9006" max="9007" width="16.28515625" style="56" customWidth="1"/>
    <col min="9008" max="9008" width="17.7109375" style="56" customWidth="1"/>
    <col min="9009" max="9009" width="16.28515625" style="56" customWidth="1"/>
    <col min="9010" max="9010" width="18.42578125" style="56" customWidth="1"/>
    <col min="9011" max="9011" width="19.140625" style="56" customWidth="1"/>
    <col min="9012" max="9012" width="18.28515625" style="56" customWidth="1"/>
    <col min="9013" max="9014" width="16.7109375" style="56" customWidth="1"/>
    <col min="9015" max="9018" width="13.140625" style="56" customWidth="1"/>
    <col min="9019" max="9019" width="18.42578125" style="56" customWidth="1"/>
    <col min="9020" max="9020" width="13.140625" style="56" customWidth="1"/>
    <col min="9021" max="9021" width="14.42578125" style="56" customWidth="1"/>
    <col min="9022" max="9022" width="16.28515625" style="56" customWidth="1"/>
    <col min="9023" max="9026" width="14.42578125" style="56" customWidth="1"/>
    <col min="9027" max="9028" width="13.140625" style="56" customWidth="1"/>
    <col min="9029" max="9029" width="15.5703125" style="56" customWidth="1"/>
    <col min="9030" max="9030" width="13.140625" style="56" customWidth="1"/>
    <col min="9031" max="9032" width="14.140625" style="56" customWidth="1"/>
    <col min="9033" max="9033" width="17.7109375" style="56" customWidth="1"/>
    <col min="9034" max="9035" width="13.140625" style="56" customWidth="1"/>
    <col min="9036" max="9036" width="17.140625" style="56" customWidth="1"/>
    <col min="9037" max="9037" width="13.140625" style="56" customWidth="1"/>
    <col min="9038" max="9038" width="14.140625" style="56" customWidth="1"/>
    <col min="9039" max="9039" width="13.140625" style="56" customWidth="1"/>
    <col min="9040" max="9041" width="12.42578125" style="56" customWidth="1"/>
    <col min="9042" max="9042" width="12.140625" style="56" customWidth="1"/>
    <col min="9043" max="9043" width="12.42578125" style="56" customWidth="1"/>
    <col min="9044" max="9044" width="12.140625" style="56" customWidth="1"/>
    <col min="9045" max="9046" width="16.140625" style="56" customWidth="1"/>
    <col min="9047" max="9047" width="16.85546875" style="56" customWidth="1"/>
    <col min="9048" max="9048" width="17.28515625" style="56" customWidth="1"/>
    <col min="9049" max="9049" width="17.42578125" style="56" customWidth="1"/>
    <col min="9050" max="9050" width="16.140625" style="56" customWidth="1"/>
    <col min="9051" max="9051" width="15.5703125" style="56" customWidth="1"/>
    <col min="9052" max="9052" width="17.85546875" style="56" customWidth="1"/>
    <col min="9053" max="9053" width="17.42578125" style="56" customWidth="1"/>
    <col min="9054" max="9054" width="17.28515625" style="56" customWidth="1"/>
    <col min="9055" max="9055" width="17" style="56" customWidth="1"/>
    <col min="9056" max="9056" width="15.5703125" style="56" customWidth="1"/>
    <col min="9057" max="9057" width="16.85546875" style="56" customWidth="1"/>
    <col min="9058" max="9058" width="16.7109375" style="56" customWidth="1"/>
    <col min="9059" max="9059" width="16.28515625" style="56" customWidth="1"/>
    <col min="9060" max="9060" width="17" style="56" customWidth="1"/>
    <col min="9061" max="9061" width="17.85546875" style="56" customWidth="1"/>
    <col min="9062" max="9062" width="17" style="56" customWidth="1"/>
    <col min="9063" max="9063" width="16.42578125" style="56" customWidth="1"/>
    <col min="9064" max="9064" width="16.140625" style="56" customWidth="1"/>
    <col min="9065" max="9167" width="9.85546875" style="56"/>
    <col min="9168" max="9168" width="20.5703125" style="56" customWidth="1"/>
    <col min="9169" max="9169" width="22.7109375" style="56" customWidth="1"/>
    <col min="9170" max="9170" width="19.140625" style="56" customWidth="1"/>
    <col min="9171" max="9172" width="17.140625" style="56" customWidth="1"/>
    <col min="9173" max="9173" width="19.5703125" style="56" customWidth="1"/>
    <col min="9174" max="9175" width="16.28515625" style="56" customWidth="1"/>
    <col min="9176" max="9176" width="12" style="56" customWidth="1"/>
    <col min="9177" max="9177" width="13.42578125" style="56" customWidth="1"/>
    <col min="9178" max="9182" width="15.42578125" style="56" customWidth="1"/>
    <col min="9183" max="9186" width="14.5703125" style="56" customWidth="1"/>
    <col min="9187" max="9187" width="15" style="56" customWidth="1"/>
    <col min="9188" max="9188" width="14.5703125" style="56" customWidth="1"/>
    <col min="9189" max="9201" width="14.140625" style="56" customWidth="1"/>
    <col min="9202" max="9202" width="17.5703125" style="56" customWidth="1"/>
    <col min="9203" max="9203" width="13.140625" style="56" customWidth="1"/>
    <col min="9204" max="9204" width="14.28515625" style="56" customWidth="1"/>
    <col min="9205" max="9208" width="13.140625" style="56" customWidth="1"/>
    <col min="9209" max="9209" width="13.85546875" style="56" customWidth="1"/>
    <col min="9210" max="9245" width="15.140625" style="56" customWidth="1"/>
    <col min="9246" max="9257" width="13.140625" style="56" customWidth="1"/>
    <col min="9258" max="9258" width="18.28515625" style="56" customWidth="1"/>
    <col min="9259" max="9259" width="15.85546875" style="56" customWidth="1"/>
    <col min="9260" max="9261" width="16.140625" style="56" customWidth="1"/>
    <col min="9262" max="9263" width="16.28515625" style="56" customWidth="1"/>
    <col min="9264" max="9264" width="17.7109375" style="56" customWidth="1"/>
    <col min="9265" max="9265" width="16.28515625" style="56" customWidth="1"/>
    <col min="9266" max="9266" width="18.42578125" style="56" customWidth="1"/>
    <col min="9267" max="9267" width="19.140625" style="56" customWidth="1"/>
    <col min="9268" max="9268" width="18.28515625" style="56" customWidth="1"/>
    <col min="9269" max="9270" width="16.7109375" style="56" customWidth="1"/>
    <col min="9271" max="9274" width="13.140625" style="56" customWidth="1"/>
    <col min="9275" max="9275" width="18.42578125" style="56" customWidth="1"/>
    <col min="9276" max="9276" width="13.140625" style="56" customWidth="1"/>
    <col min="9277" max="9277" width="14.42578125" style="56" customWidth="1"/>
    <col min="9278" max="9278" width="16.28515625" style="56" customWidth="1"/>
    <col min="9279" max="9282" width="14.42578125" style="56" customWidth="1"/>
    <col min="9283" max="9284" width="13.140625" style="56" customWidth="1"/>
    <col min="9285" max="9285" width="15.5703125" style="56" customWidth="1"/>
    <col min="9286" max="9286" width="13.140625" style="56" customWidth="1"/>
    <col min="9287" max="9288" width="14.140625" style="56" customWidth="1"/>
    <col min="9289" max="9289" width="17.7109375" style="56" customWidth="1"/>
    <col min="9290" max="9291" width="13.140625" style="56" customWidth="1"/>
    <col min="9292" max="9292" width="17.140625" style="56" customWidth="1"/>
    <col min="9293" max="9293" width="13.140625" style="56" customWidth="1"/>
    <col min="9294" max="9294" width="14.140625" style="56" customWidth="1"/>
    <col min="9295" max="9295" width="13.140625" style="56" customWidth="1"/>
    <col min="9296" max="9297" width="12.42578125" style="56" customWidth="1"/>
    <col min="9298" max="9298" width="12.140625" style="56" customWidth="1"/>
    <col min="9299" max="9299" width="12.42578125" style="56" customWidth="1"/>
    <col min="9300" max="9300" width="12.140625" style="56" customWidth="1"/>
    <col min="9301" max="9302" width="16.140625" style="56" customWidth="1"/>
    <col min="9303" max="9303" width="16.85546875" style="56" customWidth="1"/>
    <col min="9304" max="9304" width="17.28515625" style="56" customWidth="1"/>
    <col min="9305" max="9305" width="17.42578125" style="56" customWidth="1"/>
    <col min="9306" max="9306" width="16.140625" style="56" customWidth="1"/>
    <col min="9307" max="9307" width="15.5703125" style="56" customWidth="1"/>
    <col min="9308" max="9308" width="17.85546875" style="56" customWidth="1"/>
    <col min="9309" max="9309" width="17.42578125" style="56" customWidth="1"/>
    <col min="9310" max="9310" width="17.28515625" style="56" customWidth="1"/>
    <col min="9311" max="9311" width="17" style="56" customWidth="1"/>
    <col min="9312" max="9312" width="15.5703125" style="56" customWidth="1"/>
    <col min="9313" max="9313" width="16.85546875" style="56" customWidth="1"/>
    <col min="9314" max="9314" width="16.7109375" style="56" customWidth="1"/>
    <col min="9315" max="9315" width="16.28515625" style="56" customWidth="1"/>
    <col min="9316" max="9316" width="17" style="56" customWidth="1"/>
    <col min="9317" max="9317" width="17.85546875" style="56" customWidth="1"/>
    <col min="9318" max="9318" width="17" style="56" customWidth="1"/>
    <col min="9319" max="9319" width="16.42578125" style="56" customWidth="1"/>
    <col min="9320" max="9320" width="16.140625" style="56" customWidth="1"/>
    <col min="9321" max="9423" width="9.85546875" style="56"/>
    <col min="9424" max="9424" width="20.5703125" style="56" customWidth="1"/>
    <col min="9425" max="9425" width="22.7109375" style="56" customWidth="1"/>
    <col min="9426" max="9426" width="19.140625" style="56" customWidth="1"/>
    <col min="9427" max="9428" width="17.140625" style="56" customWidth="1"/>
    <col min="9429" max="9429" width="19.5703125" style="56" customWidth="1"/>
    <col min="9430" max="9431" width="16.28515625" style="56" customWidth="1"/>
    <col min="9432" max="9432" width="12" style="56" customWidth="1"/>
    <col min="9433" max="9433" width="13.42578125" style="56" customWidth="1"/>
    <col min="9434" max="9438" width="15.42578125" style="56" customWidth="1"/>
    <col min="9439" max="9442" width="14.5703125" style="56" customWidth="1"/>
    <col min="9443" max="9443" width="15" style="56" customWidth="1"/>
    <col min="9444" max="9444" width="14.5703125" style="56" customWidth="1"/>
    <col min="9445" max="9457" width="14.140625" style="56" customWidth="1"/>
    <col min="9458" max="9458" width="17.5703125" style="56" customWidth="1"/>
    <col min="9459" max="9459" width="13.140625" style="56" customWidth="1"/>
    <col min="9460" max="9460" width="14.28515625" style="56" customWidth="1"/>
    <col min="9461" max="9464" width="13.140625" style="56" customWidth="1"/>
    <col min="9465" max="9465" width="13.85546875" style="56" customWidth="1"/>
    <col min="9466" max="9501" width="15.140625" style="56" customWidth="1"/>
    <col min="9502" max="9513" width="13.140625" style="56" customWidth="1"/>
    <col min="9514" max="9514" width="18.28515625" style="56" customWidth="1"/>
    <col min="9515" max="9515" width="15.85546875" style="56" customWidth="1"/>
    <col min="9516" max="9517" width="16.140625" style="56" customWidth="1"/>
    <col min="9518" max="9519" width="16.28515625" style="56" customWidth="1"/>
    <col min="9520" max="9520" width="17.7109375" style="56" customWidth="1"/>
    <col min="9521" max="9521" width="16.28515625" style="56" customWidth="1"/>
    <col min="9522" max="9522" width="18.42578125" style="56" customWidth="1"/>
    <col min="9523" max="9523" width="19.140625" style="56" customWidth="1"/>
    <col min="9524" max="9524" width="18.28515625" style="56" customWidth="1"/>
    <col min="9525" max="9526" width="16.7109375" style="56" customWidth="1"/>
    <col min="9527" max="9530" width="13.140625" style="56" customWidth="1"/>
    <col min="9531" max="9531" width="18.42578125" style="56" customWidth="1"/>
    <col min="9532" max="9532" width="13.140625" style="56" customWidth="1"/>
    <col min="9533" max="9533" width="14.42578125" style="56" customWidth="1"/>
    <col min="9534" max="9534" width="16.28515625" style="56" customWidth="1"/>
    <col min="9535" max="9538" width="14.42578125" style="56" customWidth="1"/>
    <col min="9539" max="9540" width="13.140625" style="56" customWidth="1"/>
    <col min="9541" max="9541" width="15.5703125" style="56" customWidth="1"/>
    <col min="9542" max="9542" width="13.140625" style="56" customWidth="1"/>
    <col min="9543" max="9544" width="14.140625" style="56" customWidth="1"/>
    <col min="9545" max="9545" width="17.7109375" style="56" customWidth="1"/>
    <col min="9546" max="9547" width="13.140625" style="56" customWidth="1"/>
    <col min="9548" max="9548" width="17.140625" style="56" customWidth="1"/>
    <col min="9549" max="9549" width="13.140625" style="56" customWidth="1"/>
    <col min="9550" max="9550" width="14.140625" style="56" customWidth="1"/>
    <col min="9551" max="9551" width="13.140625" style="56" customWidth="1"/>
    <col min="9552" max="9553" width="12.42578125" style="56" customWidth="1"/>
    <col min="9554" max="9554" width="12.140625" style="56" customWidth="1"/>
    <col min="9555" max="9555" width="12.42578125" style="56" customWidth="1"/>
    <col min="9556" max="9556" width="12.140625" style="56" customWidth="1"/>
    <col min="9557" max="9558" width="16.140625" style="56" customWidth="1"/>
    <col min="9559" max="9559" width="16.85546875" style="56" customWidth="1"/>
    <col min="9560" max="9560" width="17.28515625" style="56" customWidth="1"/>
    <col min="9561" max="9561" width="17.42578125" style="56" customWidth="1"/>
    <col min="9562" max="9562" width="16.140625" style="56" customWidth="1"/>
    <col min="9563" max="9563" width="15.5703125" style="56" customWidth="1"/>
    <col min="9564" max="9564" width="17.85546875" style="56" customWidth="1"/>
    <col min="9565" max="9565" width="17.42578125" style="56" customWidth="1"/>
    <col min="9566" max="9566" width="17.28515625" style="56" customWidth="1"/>
    <col min="9567" max="9567" width="17" style="56" customWidth="1"/>
    <col min="9568" max="9568" width="15.5703125" style="56" customWidth="1"/>
    <col min="9569" max="9569" width="16.85546875" style="56" customWidth="1"/>
    <col min="9570" max="9570" width="16.7109375" style="56" customWidth="1"/>
    <col min="9571" max="9571" width="16.28515625" style="56" customWidth="1"/>
    <col min="9572" max="9572" width="17" style="56" customWidth="1"/>
    <col min="9573" max="9573" width="17.85546875" style="56" customWidth="1"/>
    <col min="9574" max="9574" width="17" style="56" customWidth="1"/>
    <col min="9575" max="9575" width="16.42578125" style="56" customWidth="1"/>
    <col min="9576" max="9576" width="16.140625" style="56" customWidth="1"/>
    <col min="9577" max="9679" width="9.85546875" style="56"/>
    <col min="9680" max="9680" width="20.5703125" style="56" customWidth="1"/>
    <col min="9681" max="9681" width="22.7109375" style="56" customWidth="1"/>
    <col min="9682" max="9682" width="19.140625" style="56" customWidth="1"/>
    <col min="9683" max="9684" width="17.140625" style="56" customWidth="1"/>
    <col min="9685" max="9685" width="19.5703125" style="56" customWidth="1"/>
    <col min="9686" max="9687" width="16.28515625" style="56" customWidth="1"/>
    <col min="9688" max="9688" width="12" style="56" customWidth="1"/>
    <col min="9689" max="9689" width="13.42578125" style="56" customWidth="1"/>
    <col min="9690" max="9694" width="15.42578125" style="56" customWidth="1"/>
    <col min="9695" max="9698" width="14.5703125" style="56" customWidth="1"/>
    <col min="9699" max="9699" width="15" style="56" customWidth="1"/>
    <col min="9700" max="9700" width="14.5703125" style="56" customWidth="1"/>
    <col min="9701" max="9713" width="14.140625" style="56" customWidth="1"/>
    <col min="9714" max="9714" width="17.5703125" style="56" customWidth="1"/>
    <col min="9715" max="9715" width="13.140625" style="56" customWidth="1"/>
    <col min="9716" max="9716" width="14.28515625" style="56" customWidth="1"/>
    <col min="9717" max="9720" width="13.140625" style="56" customWidth="1"/>
    <col min="9721" max="9721" width="13.85546875" style="56" customWidth="1"/>
    <col min="9722" max="9757" width="15.140625" style="56" customWidth="1"/>
    <col min="9758" max="9769" width="13.140625" style="56" customWidth="1"/>
    <col min="9770" max="9770" width="18.28515625" style="56" customWidth="1"/>
    <col min="9771" max="9771" width="15.85546875" style="56" customWidth="1"/>
    <col min="9772" max="9773" width="16.140625" style="56" customWidth="1"/>
    <col min="9774" max="9775" width="16.28515625" style="56" customWidth="1"/>
    <col min="9776" max="9776" width="17.7109375" style="56" customWidth="1"/>
    <col min="9777" max="9777" width="16.28515625" style="56" customWidth="1"/>
    <col min="9778" max="9778" width="18.42578125" style="56" customWidth="1"/>
    <col min="9779" max="9779" width="19.140625" style="56" customWidth="1"/>
    <col min="9780" max="9780" width="18.28515625" style="56" customWidth="1"/>
    <col min="9781" max="9782" width="16.7109375" style="56" customWidth="1"/>
    <col min="9783" max="9786" width="13.140625" style="56" customWidth="1"/>
    <col min="9787" max="9787" width="18.42578125" style="56" customWidth="1"/>
    <col min="9788" max="9788" width="13.140625" style="56" customWidth="1"/>
    <col min="9789" max="9789" width="14.42578125" style="56" customWidth="1"/>
    <col min="9790" max="9790" width="16.28515625" style="56" customWidth="1"/>
    <col min="9791" max="9794" width="14.42578125" style="56" customWidth="1"/>
    <col min="9795" max="9796" width="13.140625" style="56" customWidth="1"/>
    <col min="9797" max="9797" width="15.5703125" style="56" customWidth="1"/>
    <col min="9798" max="9798" width="13.140625" style="56" customWidth="1"/>
    <col min="9799" max="9800" width="14.140625" style="56" customWidth="1"/>
    <col min="9801" max="9801" width="17.7109375" style="56" customWidth="1"/>
    <col min="9802" max="9803" width="13.140625" style="56" customWidth="1"/>
    <col min="9804" max="9804" width="17.140625" style="56" customWidth="1"/>
    <col min="9805" max="9805" width="13.140625" style="56" customWidth="1"/>
    <col min="9806" max="9806" width="14.140625" style="56" customWidth="1"/>
    <col min="9807" max="9807" width="13.140625" style="56" customWidth="1"/>
    <col min="9808" max="9809" width="12.42578125" style="56" customWidth="1"/>
    <col min="9810" max="9810" width="12.140625" style="56" customWidth="1"/>
    <col min="9811" max="9811" width="12.42578125" style="56" customWidth="1"/>
    <col min="9812" max="9812" width="12.140625" style="56" customWidth="1"/>
    <col min="9813" max="9814" width="16.140625" style="56" customWidth="1"/>
    <col min="9815" max="9815" width="16.85546875" style="56" customWidth="1"/>
    <col min="9816" max="9816" width="17.28515625" style="56" customWidth="1"/>
    <col min="9817" max="9817" width="17.42578125" style="56" customWidth="1"/>
    <col min="9818" max="9818" width="16.140625" style="56" customWidth="1"/>
    <col min="9819" max="9819" width="15.5703125" style="56" customWidth="1"/>
    <col min="9820" max="9820" width="17.85546875" style="56" customWidth="1"/>
    <col min="9821" max="9821" width="17.42578125" style="56" customWidth="1"/>
    <col min="9822" max="9822" width="17.28515625" style="56" customWidth="1"/>
    <col min="9823" max="9823" width="17" style="56" customWidth="1"/>
    <col min="9824" max="9824" width="15.5703125" style="56" customWidth="1"/>
    <col min="9825" max="9825" width="16.85546875" style="56" customWidth="1"/>
    <col min="9826" max="9826" width="16.7109375" style="56" customWidth="1"/>
    <col min="9827" max="9827" width="16.28515625" style="56" customWidth="1"/>
    <col min="9828" max="9828" width="17" style="56" customWidth="1"/>
    <col min="9829" max="9829" width="17.85546875" style="56" customWidth="1"/>
    <col min="9830" max="9830" width="17" style="56" customWidth="1"/>
    <col min="9831" max="9831" width="16.42578125" style="56" customWidth="1"/>
    <col min="9832" max="9832" width="16.140625" style="56" customWidth="1"/>
    <col min="9833" max="9935" width="9.85546875" style="56"/>
    <col min="9936" max="9936" width="20.5703125" style="56" customWidth="1"/>
    <col min="9937" max="9937" width="22.7109375" style="56" customWidth="1"/>
    <col min="9938" max="9938" width="19.140625" style="56" customWidth="1"/>
    <col min="9939" max="9940" width="17.140625" style="56" customWidth="1"/>
    <col min="9941" max="9941" width="19.5703125" style="56" customWidth="1"/>
    <col min="9942" max="9943" width="16.28515625" style="56" customWidth="1"/>
    <col min="9944" max="9944" width="12" style="56" customWidth="1"/>
    <col min="9945" max="9945" width="13.42578125" style="56" customWidth="1"/>
    <col min="9946" max="9950" width="15.42578125" style="56" customWidth="1"/>
    <col min="9951" max="9954" width="14.5703125" style="56" customWidth="1"/>
    <col min="9955" max="9955" width="15" style="56" customWidth="1"/>
    <col min="9956" max="9956" width="14.5703125" style="56" customWidth="1"/>
    <col min="9957" max="9969" width="14.140625" style="56" customWidth="1"/>
    <col min="9970" max="9970" width="17.5703125" style="56" customWidth="1"/>
    <col min="9971" max="9971" width="13.140625" style="56" customWidth="1"/>
    <col min="9972" max="9972" width="14.28515625" style="56" customWidth="1"/>
    <col min="9973" max="9976" width="13.140625" style="56" customWidth="1"/>
    <col min="9977" max="9977" width="13.85546875" style="56" customWidth="1"/>
    <col min="9978" max="10013" width="15.140625" style="56" customWidth="1"/>
    <col min="10014" max="10025" width="13.140625" style="56" customWidth="1"/>
    <col min="10026" max="10026" width="18.28515625" style="56" customWidth="1"/>
    <col min="10027" max="10027" width="15.85546875" style="56" customWidth="1"/>
    <col min="10028" max="10029" width="16.140625" style="56" customWidth="1"/>
    <col min="10030" max="10031" width="16.28515625" style="56" customWidth="1"/>
    <col min="10032" max="10032" width="17.7109375" style="56" customWidth="1"/>
    <col min="10033" max="10033" width="16.28515625" style="56" customWidth="1"/>
    <col min="10034" max="10034" width="18.42578125" style="56" customWidth="1"/>
    <col min="10035" max="10035" width="19.140625" style="56" customWidth="1"/>
    <col min="10036" max="10036" width="18.28515625" style="56" customWidth="1"/>
    <col min="10037" max="10038" width="16.7109375" style="56" customWidth="1"/>
    <col min="10039" max="10042" width="13.140625" style="56" customWidth="1"/>
    <col min="10043" max="10043" width="18.42578125" style="56" customWidth="1"/>
    <col min="10044" max="10044" width="13.140625" style="56" customWidth="1"/>
    <col min="10045" max="10045" width="14.42578125" style="56" customWidth="1"/>
    <col min="10046" max="10046" width="16.28515625" style="56" customWidth="1"/>
    <col min="10047" max="10050" width="14.42578125" style="56" customWidth="1"/>
    <col min="10051" max="10052" width="13.140625" style="56" customWidth="1"/>
    <col min="10053" max="10053" width="15.5703125" style="56" customWidth="1"/>
    <col min="10054" max="10054" width="13.140625" style="56" customWidth="1"/>
    <col min="10055" max="10056" width="14.140625" style="56" customWidth="1"/>
    <col min="10057" max="10057" width="17.7109375" style="56" customWidth="1"/>
    <col min="10058" max="10059" width="13.140625" style="56" customWidth="1"/>
    <col min="10060" max="10060" width="17.140625" style="56" customWidth="1"/>
    <col min="10061" max="10061" width="13.140625" style="56" customWidth="1"/>
    <col min="10062" max="10062" width="14.140625" style="56" customWidth="1"/>
    <col min="10063" max="10063" width="13.140625" style="56" customWidth="1"/>
    <col min="10064" max="10065" width="12.42578125" style="56" customWidth="1"/>
    <col min="10066" max="10066" width="12.140625" style="56" customWidth="1"/>
    <col min="10067" max="10067" width="12.42578125" style="56" customWidth="1"/>
    <col min="10068" max="10068" width="12.140625" style="56" customWidth="1"/>
    <col min="10069" max="10070" width="16.140625" style="56" customWidth="1"/>
    <col min="10071" max="10071" width="16.85546875" style="56" customWidth="1"/>
    <col min="10072" max="10072" width="17.28515625" style="56" customWidth="1"/>
    <col min="10073" max="10073" width="17.42578125" style="56" customWidth="1"/>
    <col min="10074" max="10074" width="16.140625" style="56" customWidth="1"/>
    <col min="10075" max="10075" width="15.5703125" style="56" customWidth="1"/>
    <col min="10076" max="10076" width="17.85546875" style="56" customWidth="1"/>
    <col min="10077" max="10077" width="17.42578125" style="56" customWidth="1"/>
    <col min="10078" max="10078" width="17.28515625" style="56" customWidth="1"/>
    <col min="10079" max="10079" width="17" style="56" customWidth="1"/>
    <col min="10080" max="10080" width="15.5703125" style="56" customWidth="1"/>
    <col min="10081" max="10081" width="16.85546875" style="56" customWidth="1"/>
    <col min="10082" max="10082" width="16.7109375" style="56" customWidth="1"/>
    <col min="10083" max="10083" width="16.28515625" style="56" customWidth="1"/>
    <col min="10084" max="10084" width="17" style="56" customWidth="1"/>
    <col min="10085" max="10085" width="17.85546875" style="56" customWidth="1"/>
    <col min="10086" max="10086" width="17" style="56" customWidth="1"/>
    <col min="10087" max="10087" width="16.42578125" style="56" customWidth="1"/>
    <col min="10088" max="10088" width="16.140625" style="56" customWidth="1"/>
    <col min="10089" max="10191" width="9.85546875" style="56"/>
    <col min="10192" max="10192" width="20.5703125" style="56" customWidth="1"/>
    <col min="10193" max="10193" width="22.7109375" style="56" customWidth="1"/>
    <col min="10194" max="10194" width="19.140625" style="56" customWidth="1"/>
    <col min="10195" max="10196" width="17.140625" style="56" customWidth="1"/>
    <col min="10197" max="10197" width="19.5703125" style="56" customWidth="1"/>
    <col min="10198" max="10199" width="16.28515625" style="56" customWidth="1"/>
    <col min="10200" max="10200" width="12" style="56" customWidth="1"/>
    <col min="10201" max="10201" width="13.42578125" style="56" customWidth="1"/>
    <col min="10202" max="10206" width="15.42578125" style="56" customWidth="1"/>
    <col min="10207" max="10210" width="14.5703125" style="56" customWidth="1"/>
    <col min="10211" max="10211" width="15" style="56" customWidth="1"/>
    <col min="10212" max="10212" width="14.5703125" style="56" customWidth="1"/>
    <col min="10213" max="10225" width="14.140625" style="56" customWidth="1"/>
    <col min="10226" max="10226" width="17.5703125" style="56" customWidth="1"/>
    <col min="10227" max="10227" width="13.140625" style="56" customWidth="1"/>
    <col min="10228" max="10228" width="14.28515625" style="56" customWidth="1"/>
    <col min="10229" max="10232" width="13.140625" style="56" customWidth="1"/>
    <col min="10233" max="10233" width="13.85546875" style="56" customWidth="1"/>
    <col min="10234" max="10269" width="15.140625" style="56" customWidth="1"/>
    <col min="10270" max="10281" width="13.140625" style="56" customWidth="1"/>
    <col min="10282" max="10282" width="18.28515625" style="56" customWidth="1"/>
    <col min="10283" max="10283" width="15.85546875" style="56" customWidth="1"/>
    <col min="10284" max="10285" width="16.140625" style="56" customWidth="1"/>
    <col min="10286" max="10287" width="16.28515625" style="56" customWidth="1"/>
    <col min="10288" max="10288" width="17.7109375" style="56" customWidth="1"/>
    <col min="10289" max="10289" width="16.28515625" style="56" customWidth="1"/>
    <col min="10290" max="10290" width="18.42578125" style="56" customWidth="1"/>
    <col min="10291" max="10291" width="19.140625" style="56" customWidth="1"/>
    <col min="10292" max="10292" width="18.28515625" style="56" customWidth="1"/>
    <col min="10293" max="10294" width="16.7109375" style="56" customWidth="1"/>
    <col min="10295" max="10298" width="13.140625" style="56" customWidth="1"/>
    <col min="10299" max="10299" width="18.42578125" style="56" customWidth="1"/>
    <col min="10300" max="10300" width="13.140625" style="56" customWidth="1"/>
    <col min="10301" max="10301" width="14.42578125" style="56" customWidth="1"/>
    <col min="10302" max="10302" width="16.28515625" style="56" customWidth="1"/>
    <col min="10303" max="10306" width="14.42578125" style="56" customWidth="1"/>
    <col min="10307" max="10308" width="13.140625" style="56" customWidth="1"/>
    <col min="10309" max="10309" width="15.5703125" style="56" customWidth="1"/>
    <col min="10310" max="10310" width="13.140625" style="56" customWidth="1"/>
    <col min="10311" max="10312" width="14.140625" style="56" customWidth="1"/>
    <col min="10313" max="10313" width="17.7109375" style="56" customWidth="1"/>
    <col min="10314" max="10315" width="13.140625" style="56" customWidth="1"/>
    <col min="10316" max="10316" width="17.140625" style="56" customWidth="1"/>
    <col min="10317" max="10317" width="13.140625" style="56" customWidth="1"/>
    <col min="10318" max="10318" width="14.140625" style="56" customWidth="1"/>
    <col min="10319" max="10319" width="13.140625" style="56" customWidth="1"/>
    <col min="10320" max="10321" width="12.42578125" style="56" customWidth="1"/>
    <col min="10322" max="10322" width="12.140625" style="56" customWidth="1"/>
    <col min="10323" max="10323" width="12.42578125" style="56" customWidth="1"/>
    <col min="10324" max="10324" width="12.140625" style="56" customWidth="1"/>
    <col min="10325" max="10326" width="16.140625" style="56" customWidth="1"/>
    <col min="10327" max="10327" width="16.85546875" style="56" customWidth="1"/>
    <col min="10328" max="10328" width="17.28515625" style="56" customWidth="1"/>
    <col min="10329" max="10329" width="17.42578125" style="56" customWidth="1"/>
    <col min="10330" max="10330" width="16.140625" style="56" customWidth="1"/>
    <col min="10331" max="10331" width="15.5703125" style="56" customWidth="1"/>
    <col min="10332" max="10332" width="17.85546875" style="56" customWidth="1"/>
    <col min="10333" max="10333" width="17.42578125" style="56" customWidth="1"/>
    <col min="10334" max="10334" width="17.28515625" style="56" customWidth="1"/>
    <col min="10335" max="10335" width="17" style="56" customWidth="1"/>
    <col min="10336" max="10336" width="15.5703125" style="56" customWidth="1"/>
    <col min="10337" max="10337" width="16.85546875" style="56" customWidth="1"/>
    <col min="10338" max="10338" width="16.7109375" style="56" customWidth="1"/>
    <col min="10339" max="10339" width="16.28515625" style="56" customWidth="1"/>
    <col min="10340" max="10340" width="17" style="56" customWidth="1"/>
    <col min="10341" max="10341" width="17.85546875" style="56" customWidth="1"/>
    <col min="10342" max="10342" width="17" style="56" customWidth="1"/>
    <col min="10343" max="10343" width="16.42578125" style="56" customWidth="1"/>
    <col min="10344" max="10344" width="16.140625" style="56" customWidth="1"/>
    <col min="10345" max="10447" width="9.85546875" style="56"/>
    <col min="10448" max="10448" width="20.5703125" style="56" customWidth="1"/>
    <col min="10449" max="10449" width="22.7109375" style="56" customWidth="1"/>
    <col min="10450" max="10450" width="19.140625" style="56" customWidth="1"/>
    <col min="10451" max="10452" width="17.140625" style="56" customWidth="1"/>
    <col min="10453" max="10453" width="19.5703125" style="56" customWidth="1"/>
    <col min="10454" max="10455" width="16.28515625" style="56" customWidth="1"/>
    <col min="10456" max="10456" width="12" style="56" customWidth="1"/>
    <col min="10457" max="10457" width="13.42578125" style="56" customWidth="1"/>
    <col min="10458" max="10462" width="15.42578125" style="56" customWidth="1"/>
    <col min="10463" max="10466" width="14.5703125" style="56" customWidth="1"/>
    <col min="10467" max="10467" width="15" style="56" customWidth="1"/>
    <col min="10468" max="10468" width="14.5703125" style="56" customWidth="1"/>
    <col min="10469" max="10481" width="14.140625" style="56" customWidth="1"/>
    <col min="10482" max="10482" width="17.5703125" style="56" customWidth="1"/>
    <col min="10483" max="10483" width="13.140625" style="56" customWidth="1"/>
    <col min="10484" max="10484" width="14.28515625" style="56" customWidth="1"/>
    <col min="10485" max="10488" width="13.140625" style="56" customWidth="1"/>
    <col min="10489" max="10489" width="13.85546875" style="56" customWidth="1"/>
    <col min="10490" max="10525" width="15.140625" style="56" customWidth="1"/>
    <col min="10526" max="10537" width="13.140625" style="56" customWidth="1"/>
    <col min="10538" max="10538" width="18.28515625" style="56" customWidth="1"/>
    <col min="10539" max="10539" width="15.85546875" style="56" customWidth="1"/>
    <col min="10540" max="10541" width="16.140625" style="56" customWidth="1"/>
    <col min="10542" max="10543" width="16.28515625" style="56" customWidth="1"/>
    <col min="10544" max="10544" width="17.7109375" style="56" customWidth="1"/>
    <col min="10545" max="10545" width="16.28515625" style="56" customWidth="1"/>
    <col min="10546" max="10546" width="18.42578125" style="56" customWidth="1"/>
    <col min="10547" max="10547" width="19.140625" style="56" customWidth="1"/>
    <col min="10548" max="10548" width="18.28515625" style="56" customWidth="1"/>
    <col min="10549" max="10550" width="16.7109375" style="56" customWidth="1"/>
    <col min="10551" max="10554" width="13.140625" style="56" customWidth="1"/>
    <col min="10555" max="10555" width="18.42578125" style="56" customWidth="1"/>
    <col min="10556" max="10556" width="13.140625" style="56" customWidth="1"/>
    <col min="10557" max="10557" width="14.42578125" style="56" customWidth="1"/>
    <col min="10558" max="10558" width="16.28515625" style="56" customWidth="1"/>
    <col min="10559" max="10562" width="14.42578125" style="56" customWidth="1"/>
    <col min="10563" max="10564" width="13.140625" style="56" customWidth="1"/>
    <col min="10565" max="10565" width="15.5703125" style="56" customWidth="1"/>
    <col min="10566" max="10566" width="13.140625" style="56" customWidth="1"/>
    <col min="10567" max="10568" width="14.140625" style="56" customWidth="1"/>
    <col min="10569" max="10569" width="17.7109375" style="56" customWidth="1"/>
    <col min="10570" max="10571" width="13.140625" style="56" customWidth="1"/>
    <col min="10572" max="10572" width="17.140625" style="56" customWidth="1"/>
    <col min="10573" max="10573" width="13.140625" style="56" customWidth="1"/>
    <col min="10574" max="10574" width="14.140625" style="56" customWidth="1"/>
    <col min="10575" max="10575" width="13.140625" style="56" customWidth="1"/>
    <col min="10576" max="10577" width="12.42578125" style="56" customWidth="1"/>
    <col min="10578" max="10578" width="12.140625" style="56" customWidth="1"/>
    <col min="10579" max="10579" width="12.42578125" style="56" customWidth="1"/>
    <col min="10580" max="10580" width="12.140625" style="56" customWidth="1"/>
    <col min="10581" max="10582" width="16.140625" style="56" customWidth="1"/>
    <col min="10583" max="10583" width="16.85546875" style="56" customWidth="1"/>
    <col min="10584" max="10584" width="17.28515625" style="56" customWidth="1"/>
    <col min="10585" max="10585" width="17.42578125" style="56" customWidth="1"/>
    <col min="10586" max="10586" width="16.140625" style="56" customWidth="1"/>
    <col min="10587" max="10587" width="15.5703125" style="56" customWidth="1"/>
    <col min="10588" max="10588" width="17.85546875" style="56" customWidth="1"/>
    <col min="10589" max="10589" width="17.42578125" style="56" customWidth="1"/>
    <col min="10590" max="10590" width="17.28515625" style="56" customWidth="1"/>
    <col min="10591" max="10591" width="17" style="56" customWidth="1"/>
    <col min="10592" max="10592" width="15.5703125" style="56" customWidth="1"/>
    <col min="10593" max="10593" width="16.85546875" style="56" customWidth="1"/>
    <col min="10594" max="10594" width="16.7109375" style="56" customWidth="1"/>
    <col min="10595" max="10595" width="16.28515625" style="56" customWidth="1"/>
    <col min="10596" max="10596" width="17" style="56" customWidth="1"/>
    <col min="10597" max="10597" width="17.85546875" style="56" customWidth="1"/>
    <col min="10598" max="10598" width="17" style="56" customWidth="1"/>
    <col min="10599" max="10599" width="16.42578125" style="56" customWidth="1"/>
    <col min="10600" max="10600" width="16.140625" style="56" customWidth="1"/>
    <col min="10601" max="10703" width="9.85546875" style="56"/>
    <col min="10704" max="10704" width="20.5703125" style="56" customWidth="1"/>
    <col min="10705" max="10705" width="22.7109375" style="56" customWidth="1"/>
    <col min="10706" max="10706" width="19.140625" style="56" customWidth="1"/>
    <col min="10707" max="10708" width="17.140625" style="56" customWidth="1"/>
    <col min="10709" max="10709" width="19.5703125" style="56" customWidth="1"/>
    <col min="10710" max="10711" width="16.28515625" style="56" customWidth="1"/>
    <col min="10712" max="10712" width="12" style="56" customWidth="1"/>
    <col min="10713" max="10713" width="13.42578125" style="56" customWidth="1"/>
    <col min="10714" max="10718" width="15.42578125" style="56" customWidth="1"/>
    <col min="10719" max="10722" width="14.5703125" style="56" customWidth="1"/>
    <col min="10723" max="10723" width="15" style="56" customWidth="1"/>
    <col min="10724" max="10724" width="14.5703125" style="56" customWidth="1"/>
    <col min="10725" max="10737" width="14.140625" style="56" customWidth="1"/>
    <col min="10738" max="10738" width="17.5703125" style="56" customWidth="1"/>
    <col min="10739" max="10739" width="13.140625" style="56" customWidth="1"/>
    <col min="10740" max="10740" width="14.28515625" style="56" customWidth="1"/>
    <col min="10741" max="10744" width="13.140625" style="56" customWidth="1"/>
    <col min="10745" max="10745" width="13.85546875" style="56" customWidth="1"/>
    <col min="10746" max="10781" width="15.140625" style="56" customWidth="1"/>
    <col min="10782" max="10793" width="13.140625" style="56" customWidth="1"/>
    <col min="10794" max="10794" width="18.28515625" style="56" customWidth="1"/>
    <col min="10795" max="10795" width="15.85546875" style="56" customWidth="1"/>
    <col min="10796" max="10797" width="16.140625" style="56" customWidth="1"/>
    <col min="10798" max="10799" width="16.28515625" style="56" customWidth="1"/>
    <col min="10800" max="10800" width="17.7109375" style="56" customWidth="1"/>
    <col min="10801" max="10801" width="16.28515625" style="56" customWidth="1"/>
    <col min="10802" max="10802" width="18.42578125" style="56" customWidth="1"/>
    <col min="10803" max="10803" width="19.140625" style="56" customWidth="1"/>
    <col min="10804" max="10804" width="18.28515625" style="56" customWidth="1"/>
    <col min="10805" max="10806" width="16.7109375" style="56" customWidth="1"/>
    <col min="10807" max="10810" width="13.140625" style="56" customWidth="1"/>
    <col min="10811" max="10811" width="18.42578125" style="56" customWidth="1"/>
    <col min="10812" max="10812" width="13.140625" style="56" customWidth="1"/>
    <col min="10813" max="10813" width="14.42578125" style="56" customWidth="1"/>
    <col min="10814" max="10814" width="16.28515625" style="56" customWidth="1"/>
    <col min="10815" max="10818" width="14.42578125" style="56" customWidth="1"/>
    <col min="10819" max="10820" width="13.140625" style="56" customWidth="1"/>
    <col min="10821" max="10821" width="15.5703125" style="56" customWidth="1"/>
    <col min="10822" max="10822" width="13.140625" style="56" customWidth="1"/>
    <col min="10823" max="10824" width="14.140625" style="56" customWidth="1"/>
    <col min="10825" max="10825" width="17.7109375" style="56" customWidth="1"/>
    <col min="10826" max="10827" width="13.140625" style="56" customWidth="1"/>
    <col min="10828" max="10828" width="17.140625" style="56" customWidth="1"/>
    <col min="10829" max="10829" width="13.140625" style="56" customWidth="1"/>
    <col min="10830" max="10830" width="14.140625" style="56" customWidth="1"/>
    <col min="10831" max="10831" width="13.140625" style="56" customWidth="1"/>
    <col min="10832" max="10833" width="12.42578125" style="56" customWidth="1"/>
    <col min="10834" max="10834" width="12.140625" style="56" customWidth="1"/>
    <col min="10835" max="10835" width="12.42578125" style="56" customWidth="1"/>
    <col min="10836" max="10836" width="12.140625" style="56" customWidth="1"/>
    <col min="10837" max="10838" width="16.140625" style="56" customWidth="1"/>
    <col min="10839" max="10839" width="16.85546875" style="56" customWidth="1"/>
    <col min="10840" max="10840" width="17.28515625" style="56" customWidth="1"/>
    <col min="10841" max="10841" width="17.42578125" style="56" customWidth="1"/>
    <col min="10842" max="10842" width="16.140625" style="56" customWidth="1"/>
    <col min="10843" max="10843" width="15.5703125" style="56" customWidth="1"/>
    <col min="10844" max="10844" width="17.85546875" style="56" customWidth="1"/>
    <col min="10845" max="10845" width="17.42578125" style="56" customWidth="1"/>
    <col min="10846" max="10846" width="17.28515625" style="56" customWidth="1"/>
    <col min="10847" max="10847" width="17" style="56" customWidth="1"/>
    <col min="10848" max="10848" width="15.5703125" style="56" customWidth="1"/>
    <col min="10849" max="10849" width="16.85546875" style="56" customWidth="1"/>
    <col min="10850" max="10850" width="16.7109375" style="56" customWidth="1"/>
    <col min="10851" max="10851" width="16.28515625" style="56" customWidth="1"/>
    <col min="10852" max="10852" width="17" style="56" customWidth="1"/>
    <col min="10853" max="10853" width="17.85546875" style="56" customWidth="1"/>
    <col min="10854" max="10854" width="17" style="56" customWidth="1"/>
    <col min="10855" max="10855" width="16.42578125" style="56" customWidth="1"/>
    <col min="10856" max="10856" width="16.140625" style="56" customWidth="1"/>
    <col min="10857" max="10959" width="9.85546875" style="56"/>
    <col min="10960" max="10960" width="20.5703125" style="56" customWidth="1"/>
    <col min="10961" max="10961" width="22.7109375" style="56" customWidth="1"/>
    <col min="10962" max="10962" width="19.140625" style="56" customWidth="1"/>
    <col min="10963" max="10964" width="17.140625" style="56" customWidth="1"/>
    <col min="10965" max="10965" width="19.5703125" style="56" customWidth="1"/>
    <col min="10966" max="10967" width="16.28515625" style="56" customWidth="1"/>
    <col min="10968" max="10968" width="12" style="56" customWidth="1"/>
    <col min="10969" max="10969" width="13.42578125" style="56" customWidth="1"/>
    <col min="10970" max="10974" width="15.42578125" style="56" customWidth="1"/>
    <col min="10975" max="10978" width="14.5703125" style="56" customWidth="1"/>
    <col min="10979" max="10979" width="15" style="56" customWidth="1"/>
    <col min="10980" max="10980" width="14.5703125" style="56" customWidth="1"/>
    <col min="10981" max="10993" width="14.140625" style="56" customWidth="1"/>
    <col min="10994" max="10994" width="17.5703125" style="56" customWidth="1"/>
    <col min="10995" max="10995" width="13.140625" style="56" customWidth="1"/>
    <col min="10996" max="10996" width="14.28515625" style="56" customWidth="1"/>
    <col min="10997" max="11000" width="13.140625" style="56" customWidth="1"/>
    <col min="11001" max="11001" width="13.85546875" style="56" customWidth="1"/>
    <col min="11002" max="11037" width="15.140625" style="56" customWidth="1"/>
    <col min="11038" max="11049" width="13.140625" style="56" customWidth="1"/>
    <col min="11050" max="11050" width="18.28515625" style="56" customWidth="1"/>
    <col min="11051" max="11051" width="15.85546875" style="56" customWidth="1"/>
    <col min="11052" max="11053" width="16.140625" style="56" customWidth="1"/>
    <col min="11054" max="11055" width="16.28515625" style="56" customWidth="1"/>
    <col min="11056" max="11056" width="17.7109375" style="56" customWidth="1"/>
    <col min="11057" max="11057" width="16.28515625" style="56" customWidth="1"/>
    <col min="11058" max="11058" width="18.42578125" style="56" customWidth="1"/>
    <col min="11059" max="11059" width="19.140625" style="56" customWidth="1"/>
    <col min="11060" max="11060" width="18.28515625" style="56" customWidth="1"/>
    <col min="11061" max="11062" width="16.7109375" style="56" customWidth="1"/>
    <col min="11063" max="11066" width="13.140625" style="56" customWidth="1"/>
    <col min="11067" max="11067" width="18.42578125" style="56" customWidth="1"/>
    <col min="11068" max="11068" width="13.140625" style="56" customWidth="1"/>
    <col min="11069" max="11069" width="14.42578125" style="56" customWidth="1"/>
    <col min="11070" max="11070" width="16.28515625" style="56" customWidth="1"/>
    <col min="11071" max="11074" width="14.42578125" style="56" customWidth="1"/>
    <col min="11075" max="11076" width="13.140625" style="56" customWidth="1"/>
    <col min="11077" max="11077" width="15.5703125" style="56" customWidth="1"/>
    <col min="11078" max="11078" width="13.140625" style="56" customWidth="1"/>
    <col min="11079" max="11080" width="14.140625" style="56" customWidth="1"/>
    <col min="11081" max="11081" width="17.7109375" style="56" customWidth="1"/>
    <col min="11082" max="11083" width="13.140625" style="56" customWidth="1"/>
    <col min="11084" max="11084" width="17.140625" style="56" customWidth="1"/>
    <col min="11085" max="11085" width="13.140625" style="56" customWidth="1"/>
    <col min="11086" max="11086" width="14.140625" style="56" customWidth="1"/>
    <col min="11087" max="11087" width="13.140625" style="56" customWidth="1"/>
    <col min="11088" max="11089" width="12.42578125" style="56" customWidth="1"/>
    <col min="11090" max="11090" width="12.140625" style="56" customWidth="1"/>
    <col min="11091" max="11091" width="12.42578125" style="56" customWidth="1"/>
    <col min="11092" max="11092" width="12.140625" style="56" customWidth="1"/>
    <col min="11093" max="11094" width="16.140625" style="56" customWidth="1"/>
    <col min="11095" max="11095" width="16.85546875" style="56" customWidth="1"/>
    <col min="11096" max="11096" width="17.28515625" style="56" customWidth="1"/>
    <col min="11097" max="11097" width="17.42578125" style="56" customWidth="1"/>
    <col min="11098" max="11098" width="16.140625" style="56" customWidth="1"/>
    <col min="11099" max="11099" width="15.5703125" style="56" customWidth="1"/>
    <col min="11100" max="11100" width="17.85546875" style="56" customWidth="1"/>
    <col min="11101" max="11101" width="17.42578125" style="56" customWidth="1"/>
    <col min="11102" max="11102" width="17.28515625" style="56" customWidth="1"/>
    <col min="11103" max="11103" width="17" style="56" customWidth="1"/>
    <col min="11104" max="11104" width="15.5703125" style="56" customWidth="1"/>
    <col min="11105" max="11105" width="16.85546875" style="56" customWidth="1"/>
    <col min="11106" max="11106" width="16.7109375" style="56" customWidth="1"/>
    <col min="11107" max="11107" width="16.28515625" style="56" customWidth="1"/>
    <col min="11108" max="11108" width="17" style="56" customWidth="1"/>
    <col min="11109" max="11109" width="17.85546875" style="56" customWidth="1"/>
    <col min="11110" max="11110" width="17" style="56" customWidth="1"/>
    <col min="11111" max="11111" width="16.42578125" style="56" customWidth="1"/>
    <col min="11112" max="11112" width="16.140625" style="56" customWidth="1"/>
    <col min="11113" max="11215" width="9.85546875" style="56"/>
    <col min="11216" max="11216" width="20.5703125" style="56" customWidth="1"/>
    <col min="11217" max="11217" width="22.7109375" style="56" customWidth="1"/>
    <col min="11218" max="11218" width="19.140625" style="56" customWidth="1"/>
    <col min="11219" max="11220" width="17.140625" style="56" customWidth="1"/>
    <col min="11221" max="11221" width="19.5703125" style="56" customWidth="1"/>
    <col min="11222" max="11223" width="16.28515625" style="56" customWidth="1"/>
    <col min="11224" max="11224" width="12" style="56" customWidth="1"/>
    <col min="11225" max="11225" width="13.42578125" style="56" customWidth="1"/>
    <col min="11226" max="11230" width="15.42578125" style="56" customWidth="1"/>
    <col min="11231" max="11234" width="14.5703125" style="56" customWidth="1"/>
    <col min="11235" max="11235" width="15" style="56" customWidth="1"/>
    <col min="11236" max="11236" width="14.5703125" style="56" customWidth="1"/>
    <col min="11237" max="11249" width="14.140625" style="56" customWidth="1"/>
    <col min="11250" max="11250" width="17.5703125" style="56" customWidth="1"/>
    <col min="11251" max="11251" width="13.140625" style="56" customWidth="1"/>
    <col min="11252" max="11252" width="14.28515625" style="56" customWidth="1"/>
    <col min="11253" max="11256" width="13.140625" style="56" customWidth="1"/>
    <col min="11257" max="11257" width="13.85546875" style="56" customWidth="1"/>
    <col min="11258" max="11293" width="15.140625" style="56" customWidth="1"/>
    <col min="11294" max="11305" width="13.140625" style="56" customWidth="1"/>
    <col min="11306" max="11306" width="18.28515625" style="56" customWidth="1"/>
    <col min="11307" max="11307" width="15.85546875" style="56" customWidth="1"/>
    <col min="11308" max="11309" width="16.140625" style="56" customWidth="1"/>
    <col min="11310" max="11311" width="16.28515625" style="56" customWidth="1"/>
    <col min="11312" max="11312" width="17.7109375" style="56" customWidth="1"/>
    <col min="11313" max="11313" width="16.28515625" style="56" customWidth="1"/>
    <col min="11314" max="11314" width="18.42578125" style="56" customWidth="1"/>
    <col min="11315" max="11315" width="19.140625" style="56" customWidth="1"/>
    <col min="11316" max="11316" width="18.28515625" style="56" customWidth="1"/>
    <col min="11317" max="11318" width="16.7109375" style="56" customWidth="1"/>
    <col min="11319" max="11322" width="13.140625" style="56" customWidth="1"/>
    <col min="11323" max="11323" width="18.42578125" style="56" customWidth="1"/>
    <col min="11324" max="11324" width="13.140625" style="56" customWidth="1"/>
    <col min="11325" max="11325" width="14.42578125" style="56" customWidth="1"/>
    <col min="11326" max="11326" width="16.28515625" style="56" customWidth="1"/>
    <col min="11327" max="11330" width="14.42578125" style="56" customWidth="1"/>
    <col min="11331" max="11332" width="13.140625" style="56" customWidth="1"/>
    <col min="11333" max="11333" width="15.5703125" style="56" customWidth="1"/>
    <col min="11334" max="11334" width="13.140625" style="56" customWidth="1"/>
    <col min="11335" max="11336" width="14.140625" style="56" customWidth="1"/>
    <col min="11337" max="11337" width="17.7109375" style="56" customWidth="1"/>
    <col min="11338" max="11339" width="13.140625" style="56" customWidth="1"/>
    <col min="11340" max="11340" width="17.140625" style="56" customWidth="1"/>
    <col min="11341" max="11341" width="13.140625" style="56" customWidth="1"/>
    <col min="11342" max="11342" width="14.140625" style="56" customWidth="1"/>
    <col min="11343" max="11343" width="13.140625" style="56" customWidth="1"/>
    <col min="11344" max="11345" width="12.42578125" style="56" customWidth="1"/>
    <col min="11346" max="11346" width="12.140625" style="56" customWidth="1"/>
    <col min="11347" max="11347" width="12.42578125" style="56" customWidth="1"/>
    <col min="11348" max="11348" width="12.140625" style="56" customWidth="1"/>
    <col min="11349" max="11350" width="16.140625" style="56" customWidth="1"/>
    <col min="11351" max="11351" width="16.85546875" style="56" customWidth="1"/>
    <col min="11352" max="11352" width="17.28515625" style="56" customWidth="1"/>
    <col min="11353" max="11353" width="17.42578125" style="56" customWidth="1"/>
    <col min="11354" max="11354" width="16.140625" style="56" customWidth="1"/>
    <col min="11355" max="11355" width="15.5703125" style="56" customWidth="1"/>
    <col min="11356" max="11356" width="17.85546875" style="56" customWidth="1"/>
    <col min="11357" max="11357" width="17.42578125" style="56" customWidth="1"/>
    <col min="11358" max="11358" width="17.28515625" style="56" customWidth="1"/>
    <col min="11359" max="11359" width="17" style="56" customWidth="1"/>
    <col min="11360" max="11360" width="15.5703125" style="56" customWidth="1"/>
    <col min="11361" max="11361" width="16.85546875" style="56" customWidth="1"/>
    <col min="11362" max="11362" width="16.7109375" style="56" customWidth="1"/>
    <col min="11363" max="11363" width="16.28515625" style="56" customWidth="1"/>
    <col min="11364" max="11364" width="17" style="56" customWidth="1"/>
    <col min="11365" max="11365" width="17.85546875" style="56" customWidth="1"/>
    <col min="11366" max="11366" width="17" style="56" customWidth="1"/>
    <col min="11367" max="11367" width="16.42578125" style="56" customWidth="1"/>
    <col min="11368" max="11368" width="16.140625" style="56" customWidth="1"/>
    <col min="11369" max="11471" width="9.85546875" style="56"/>
    <col min="11472" max="11472" width="20.5703125" style="56" customWidth="1"/>
    <col min="11473" max="11473" width="22.7109375" style="56" customWidth="1"/>
    <col min="11474" max="11474" width="19.140625" style="56" customWidth="1"/>
    <col min="11475" max="11476" width="17.140625" style="56" customWidth="1"/>
    <col min="11477" max="11477" width="19.5703125" style="56" customWidth="1"/>
    <col min="11478" max="11479" width="16.28515625" style="56" customWidth="1"/>
    <col min="11480" max="11480" width="12" style="56" customWidth="1"/>
    <col min="11481" max="11481" width="13.42578125" style="56" customWidth="1"/>
    <col min="11482" max="11486" width="15.42578125" style="56" customWidth="1"/>
    <col min="11487" max="11490" width="14.5703125" style="56" customWidth="1"/>
    <col min="11491" max="11491" width="15" style="56" customWidth="1"/>
    <col min="11492" max="11492" width="14.5703125" style="56" customWidth="1"/>
    <col min="11493" max="11505" width="14.140625" style="56" customWidth="1"/>
    <col min="11506" max="11506" width="17.5703125" style="56" customWidth="1"/>
    <col min="11507" max="11507" width="13.140625" style="56" customWidth="1"/>
    <col min="11508" max="11508" width="14.28515625" style="56" customWidth="1"/>
    <col min="11509" max="11512" width="13.140625" style="56" customWidth="1"/>
    <col min="11513" max="11513" width="13.85546875" style="56" customWidth="1"/>
    <col min="11514" max="11549" width="15.140625" style="56" customWidth="1"/>
    <col min="11550" max="11561" width="13.140625" style="56" customWidth="1"/>
    <col min="11562" max="11562" width="18.28515625" style="56" customWidth="1"/>
    <col min="11563" max="11563" width="15.85546875" style="56" customWidth="1"/>
    <col min="11564" max="11565" width="16.140625" style="56" customWidth="1"/>
    <col min="11566" max="11567" width="16.28515625" style="56" customWidth="1"/>
    <col min="11568" max="11568" width="17.7109375" style="56" customWidth="1"/>
    <col min="11569" max="11569" width="16.28515625" style="56" customWidth="1"/>
    <col min="11570" max="11570" width="18.42578125" style="56" customWidth="1"/>
    <col min="11571" max="11571" width="19.140625" style="56" customWidth="1"/>
    <col min="11572" max="11572" width="18.28515625" style="56" customWidth="1"/>
    <col min="11573" max="11574" width="16.7109375" style="56" customWidth="1"/>
    <col min="11575" max="11578" width="13.140625" style="56" customWidth="1"/>
    <col min="11579" max="11579" width="18.42578125" style="56" customWidth="1"/>
    <col min="11580" max="11580" width="13.140625" style="56" customWidth="1"/>
    <col min="11581" max="11581" width="14.42578125" style="56" customWidth="1"/>
    <col min="11582" max="11582" width="16.28515625" style="56" customWidth="1"/>
    <col min="11583" max="11586" width="14.42578125" style="56" customWidth="1"/>
    <col min="11587" max="11588" width="13.140625" style="56" customWidth="1"/>
    <col min="11589" max="11589" width="15.5703125" style="56" customWidth="1"/>
    <col min="11590" max="11590" width="13.140625" style="56" customWidth="1"/>
    <col min="11591" max="11592" width="14.140625" style="56" customWidth="1"/>
    <col min="11593" max="11593" width="17.7109375" style="56" customWidth="1"/>
    <col min="11594" max="11595" width="13.140625" style="56" customWidth="1"/>
    <col min="11596" max="11596" width="17.140625" style="56" customWidth="1"/>
    <col min="11597" max="11597" width="13.140625" style="56" customWidth="1"/>
    <col min="11598" max="11598" width="14.140625" style="56" customWidth="1"/>
    <col min="11599" max="11599" width="13.140625" style="56" customWidth="1"/>
    <col min="11600" max="11601" width="12.42578125" style="56" customWidth="1"/>
    <col min="11602" max="11602" width="12.140625" style="56" customWidth="1"/>
    <col min="11603" max="11603" width="12.42578125" style="56" customWidth="1"/>
    <col min="11604" max="11604" width="12.140625" style="56" customWidth="1"/>
    <col min="11605" max="11606" width="16.140625" style="56" customWidth="1"/>
    <col min="11607" max="11607" width="16.85546875" style="56" customWidth="1"/>
    <col min="11608" max="11608" width="17.28515625" style="56" customWidth="1"/>
    <col min="11609" max="11609" width="17.42578125" style="56" customWidth="1"/>
    <col min="11610" max="11610" width="16.140625" style="56" customWidth="1"/>
    <col min="11611" max="11611" width="15.5703125" style="56" customWidth="1"/>
    <col min="11612" max="11612" width="17.85546875" style="56" customWidth="1"/>
    <col min="11613" max="11613" width="17.42578125" style="56" customWidth="1"/>
    <col min="11614" max="11614" width="17.28515625" style="56" customWidth="1"/>
    <col min="11615" max="11615" width="17" style="56" customWidth="1"/>
    <col min="11616" max="11616" width="15.5703125" style="56" customWidth="1"/>
    <col min="11617" max="11617" width="16.85546875" style="56" customWidth="1"/>
    <col min="11618" max="11618" width="16.7109375" style="56" customWidth="1"/>
    <col min="11619" max="11619" width="16.28515625" style="56" customWidth="1"/>
    <col min="11620" max="11620" width="17" style="56" customWidth="1"/>
    <col min="11621" max="11621" width="17.85546875" style="56" customWidth="1"/>
    <col min="11622" max="11622" width="17" style="56" customWidth="1"/>
    <col min="11623" max="11623" width="16.42578125" style="56" customWidth="1"/>
    <col min="11624" max="11624" width="16.140625" style="56" customWidth="1"/>
    <col min="11625" max="11727" width="9.85546875" style="56"/>
    <col min="11728" max="11728" width="20.5703125" style="56" customWidth="1"/>
    <col min="11729" max="11729" width="22.7109375" style="56" customWidth="1"/>
    <col min="11730" max="11730" width="19.140625" style="56" customWidth="1"/>
    <col min="11731" max="11732" width="17.140625" style="56" customWidth="1"/>
    <col min="11733" max="11733" width="19.5703125" style="56" customWidth="1"/>
    <col min="11734" max="11735" width="16.28515625" style="56" customWidth="1"/>
    <col min="11736" max="11736" width="12" style="56" customWidth="1"/>
    <col min="11737" max="11737" width="13.42578125" style="56" customWidth="1"/>
    <col min="11738" max="11742" width="15.42578125" style="56" customWidth="1"/>
    <col min="11743" max="11746" width="14.5703125" style="56" customWidth="1"/>
    <col min="11747" max="11747" width="15" style="56" customWidth="1"/>
    <col min="11748" max="11748" width="14.5703125" style="56" customWidth="1"/>
    <col min="11749" max="11761" width="14.140625" style="56" customWidth="1"/>
    <col min="11762" max="11762" width="17.5703125" style="56" customWidth="1"/>
    <col min="11763" max="11763" width="13.140625" style="56" customWidth="1"/>
    <col min="11764" max="11764" width="14.28515625" style="56" customWidth="1"/>
    <col min="11765" max="11768" width="13.140625" style="56" customWidth="1"/>
    <col min="11769" max="11769" width="13.85546875" style="56" customWidth="1"/>
    <col min="11770" max="11805" width="15.140625" style="56" customWidth="1"/>
    <col min="11806" max="11817" width="13.140625" style="56" customWidth="1"/>
    <col min="11818" max="11818" width="18.28515625" style="56" customWidth="1"/>
    <col min="11819" max="11819" width="15.85546875" style="56" customWidth="1"/>
    <col min="11820" max="11821" width="16.140625" style="56" customWidth="1"/>
    <col min="11822" max="11823" width="16.28515625" style="56" customWidth="1"/>
    <col min="11824" max="11824" width="17.7109375" style="56" customWidth="1"/>
    <col min="11825" max="11825" width="16.28515625" style="56" customWidth="1"/>
    <col min="11826" max="11826" width="18.42578125" style="56" customWidth="1"/>
    <col min="11827" max="11827" width="19.140625" style="56" customWidth="1"/>
    <col min="11828" max="11828" width="18.28515625" style="56" customWidth="1"/>
    <col min="11829" max="11830" width="16.7109375" style="56" customWidth="1"/>
    <col min="11831" max="11834" width="13.140625" style="56" customWidth="1"/>
    <col min="11835" max="11835" width="18.42578125" style="56" customWidth="1"/>
    <col min="11836" max="11836" width="13.140625" style="56" customWidth="1"/>
    <col min="11837" max="11837" width="14.42578125" style="56" customWidth="1"/>
    <col min="11838" max="11838" width="16.28515625" style="56" customWidth="1"/>
    <col min="11839" max="11842" width="14.42578125" style="56" customWidth="1"/>
    <col min="11843" max="11844" width="13.140625" style="56" customWidth="1"/>
    <col min="11845" max="11845" width="15.5703125" style="56" customWidth="1"/>
    <col min="11846" max="11846" width="13.140625" style="56" customWidth="1"/>
    <col min="11847" max="11848" width="14.140625" style="56" customWidth="1"/>
    <col min="11849" max="11849" width="17.7109375" style="56" customWidth="1"/>
    <col min="11850" max="11851" width="13.140625" style="56" customWidth="1"/>
    <col min="11852" max="11852" width="17.140625" style="56" customWidth="1"/>
    <col min="11853" max="11853" width="13.140625" style="56" customWidth="1"/>
    <col min="11854" max="11854" width="14.140625" style="56" customWidth="1"/>
    <col min="11855" max="11855" width="13.140625" style="56" customWidth="1"/>
    <col min="11856" max="11857" width="12.42578125" style="56" customWidth="1"/>
    <col min="11858" max="11858" width="12.140625" style="56" customWidth="1"/>
    <col min="11859" max="11859" width="12.42578125" style="56" customWidth="1"/>
    <col min="11860" max="11860" width="12.140625" style="56" customWidth="1"/>
    <col min="11861" max="11862" width="16.140625" style="56" customWidth="1"/>
    <col min="11863" max="11863" width="16.85546875" style="56" customWidth="1"/>
    <col min="11864" max="11864" width="17.28515625" style="56" customWidth="1"/>
    <col min="11865" max="11865" width="17.42578125" style="56" customWidth="1"/>
    <col min="11866" max="11866" width="16.140625" style="56" customWidth="1"/>
    <col min="11867" max="11867" width="15.5703125" style="56" customWidth="1"/>
    <col min="11868" max="11868" width="17.85546875" style="56" customWidth="1"/>
    <col min="11869" max="11869" width="17.42578125" style="56" customWidth="1"/>
    <col min="11870" max="11870" width="17.28515625" style="56" customWidth="1"/>
    <col min="11871" max="11871" width="17" style="56" customWidth="1"/>
    <col min="11872" max="11872" width="15.5703125" style="56" customWidth="1"/>
    <col min="11873" max="11873" width="16.85546875" style="56" customWidth="1"/>
    <col min="11874" max="11874" width="16.7109375" style="56" customWidth="1"/>
    <col min="11875" max="11875" width="16.28515625" style="56" customWidth="1"/>
    <col min="11876" max="11876" width="17" style="56" customWidth="1"/>
    <col min="11877" max="11877" width="17.85546875" style="56" customWidth="1"/>
    <col min="11878" max="11878" width="17" style="56" customWidth="1"/>
    <col min="11879" max="11879" width="16.42578125" style="56" customWidth="1"/>
    <col min="11880" max="11880" width="16.140625" style="56" customWidth="1"/>
    <col min="11881" max="11983" width="9.85546875" style="56"/>
    <col min="11984" max="11984" width="20.5703125" style="56" customWidth="1"/>
    <col min="11985" max="11985" width="22.7109375" style="56" customWidth="1"/>
    <col min="11986" max="11986" width="19.140625" style="56" customWidth="1"/>
    <col min="11987" max="11988" width="17.140625" style="56" customWidth="1"/>
    <col min="11989" max="11989" width="19.5703125" style="56" customWidth="1"/>
    <col min="11990" max="11991" width="16.28515625" style="56" customWidth="1"/>
    <col min="11992" max="11992" width="12" style="56" customWidth="1"/>
    <col min="11993" max="11993" width="13.42578125" style="56" customWidth="1"/>
    <col min="11994" max="11998" width="15.42578125" style="56" customWidth="1"/>
    <col min="11999" max="12002" width="14.5703125" style="56" customWidth="1"/>
    <col min="12003" max="12003" width="15" style="56" customWidth="1"/>
    <col min="12004" max="12004" width="14.5703125" style="56" customWidth="1"/>
    <col min="12005" max="12017" width="14.140625" style="56" customWidth="1"/>
    <col min="12018" max="12018" width="17.5703125" style="56" customWidth="1"/>
    <col min="12019" max="12019" width="13.140625" style="56" customWidth="1"/>
    <col min="12020" max="12020" width="14.28515625" style="56" customWidth="1"/>
    <col min="12021" max="12024" width="13.140625" style="56" customWidth="1"/>
    <col min="12025" max="12025" width="13.85546875" style="56" customWidth="1"/>
    <col min="12026" max="12061" width="15.140625" style="56" customWidth="1"/>
    <col min="12062" max="12073" width="13.140625" style="56" customWidth="1"/>
    <col min="12074" max="12074" width="18.28515625" style="56" customWidth="1"/>
    <col min="12075" max="12075" width="15.85546875" style="56" customWidth="1"/>
    <col min="12076" max="12077" width="16.140625" style="56" customWidth="1"/>
    <col min="12078" max="12079" width="16.28515625" style="56" customWidth="1"/>
    <col min="12080" max="12080" width="17.7109375" style="56" customWidth="1"/>
    <col min="12081" max="12081" width="16.28515625" style="56" customWidth="1"/>
    <col min="12082" max="12082" width="18.42578125" style="56" customWidth="1"/>
    <col min="12083" max="12083" width="19.140625" style="56" customWidth="1"/>
    <col min="12084" max="12084" width="18.28515625" style="56" customWidth="1"/>
    <col min="12085" max="12086" width="16.7109375" style="56" customWidth="1"/>
    <col min="12087" max="12090" width="13.140625" style="56" customWidth="1"/>
    <col min="12091" max="12091" width="18.42578125" style="56" customWidth="1"/>
    <col min="12092" max="12092" width="13.140625" style="56" customWidth="1"/>
    <col min="12093" max="12093" width="14.42578125" style="56" customWidth="1"/>
    <col min="12094" max="12094" width="16.28515625" style="56" customWidth="1"/>
    <col min="12095" max="12098" width="14.42578125" style="56" customWidth="1"/>
    <col min="12099" max="12100" width="13.140625" style="56" customWidth="1"/>
    <col min="12101" max="12101" width="15.5703125" style="56" customWidth="1"/>
    <col min="12102" max="12102" width="13.140625" style="56" customWidth="1"/>
    <col min="12103" max="12104" width="14.140625" style="56" customWidth="1"/>
    <col min="12105" max="12105" width="17.7109375" style="56" customWidth="1"/>
    <col min="12106" max="12107" width="13.140625" style="56" customWidth="1"/>
    <col min="12108" max="12108" width="17.140625" style="56" customWidth="1"/>
    <col min="12109" max="12109" width="13.140625" style="56" customWidth="1"/>
    <col min="12110" max="12110" width="14.140625" style="56" customWidth="1"/>
    <col min="12111" max="12111" width="13.140625" style="56" customWidth="1"/>
    <col min="12112" max="12113" width="12.42578125" style="56" customWidth="1"/>
    <col min="12114" max="12114" width="12.140625" style="56" customWidth="1"/>
    <col min="12115" max="12115" width="12.42578125" style="56" customWidth="1"/>
    <col min="12116" max="12116" width="12.140625" style="56" customWidth="1"/>
    <col min="12117" max="12118" width="16.140625" style="56" customWidth="1"/>
    <col min="12119" max="12119" width="16.85546875" style="56" customWidth="1"/>
    <col min="12120" max="12120" width="17.28515625" style="56" customWidth="1"/>
    <col min="12121" max="12121" width="17.42578125" style="56" customWidth="1"/>
    <col min="12122" max="12122" width="16.140625" style="56" customWidth="1"/>
    <col min="12123" max="12123" width="15.5703125" style="56" customWidth="1"/>
    <col min="12124" max="12124" width="17.85546875" style="56" customWidth="1"/>
    <col min="12125" max="12125" width="17.42578125" style="56" customWidth="1"/>
    <col min="12126" max="12126" width="17.28515625" style="56" customWidth="1"/>
    <col min="12127" max="12127" width="17" style="56" customWidth="1"/>
    <col min="12128" max="12128" width="15.5703125" style="56" customWidth="1"/>
    <col min="12129" max="12129" width="16.85546875" style="56" customWidth="1"/>
    <col min="12130" max="12130" width="16.7109375" style="56" customWidth="1"/>
    <col min="12131" max="12131" width="16.28515625" style="56" customWidth="1"/>
    <col min="12132" max="12132" width="17" style="56" customWidth="1"/>
    <col min="12133" max="12133" width="17.85546875" style="56" customWidth="1"/>
    <col min="12134" max="12134" width="17" style="56" customWidth="1"/>
    <col min="12135" max="12135" width="16.42578125" style="56" customWidth="1"/>
    <col min="12136" max="12136" width="16.140625" style="56" customWidth="1"/>
    <col min="12137" max="12239" width="9.85546875" style="56"/>
    <col min="12240" max="12240" width="20.5703125" style="56" customWidth="1"/>
    <col min="12241" max="12241" width="22.7109375" style="56" customWidth="1"/>
    <col min="12242" max="12242" width="19.140625" style="56" customWidth="1"/>
    <col min="12243" max="12244" width="17.140625" style="56" customWidth="1"/>
    <col min="12245" max="12245" width="19.5703125" style="56" customWidth="1"/>
    <col min="12246" max="12247" width="16.28515625" style="56" customWidth="1"/>
    <col min="12248" max="12248" width="12" style="56" customWidth="1"/>
    <col min="12249" max="12249" width="13.42578125" style="56" customWidth="1"/>
    <col min="12250" max="12254" width="15.42578125" style="56" customWidth="1"/>
    <col min="12255" max="12258" width="14.5703125" style="56" customWidth="1"/>
    <col min="12259" max="12259" width="15" style="56" customWidth="1"/>
    <col min="12260" max="12260" width="14.5703125" style="56" customWidth="1"/>
    <col min="12261" max="12273" width="14.140625" style="56" customWidth="1"/>
    <col min="12274" max="12274" width="17.5703125" style="56" customWidth="1"/>
    <col min="12275" max="12275" width="13.140625" style="56" customWidth="1"/>
    <col min="12276" max="12276" width="14.28515625" style="56" customWidth="1"/>
    <col min="12277" max="12280" width="13.140625" style="56" customWidth="1"/>
    <col min="12281" max="12281" width="13.85546875" style="56" customWidth="1"/>
    <col min="12282" max="12317" width="15.140625" style="56" customWidth="1"/>
    <col min="12318" max="12329" width="13.140625" style="56" customWidth="1"/>
    <col min="12330" max="12330" width="18.28515625" style="56" customWidth="1"/>
    <col min="12331" max="12331" width="15.85546875" style="56" customWidth="1"/>
    <col min="12332" max="12333" width="16.140625" style="56" customWidth="1"/>
    <col min="12334" max="12335" width="16.28515625" style="56" customWidth="1"/>
    <col min="12336" max="12336" width="17.7109375" style="56" customWidth="1"/>
    <col min="12337" max="12337" width="16.28515625" style="56" customWidth="1"/>
    <col min="12338" max="12338" width="18.42578125" style="56" customWidth="1"/>
    <col min="12339" max="12339" width="19.140625" style="56" customWidth="1"/>
    <col min="12340" max="12340" width="18.28515625" style="56" customWidth="1"/>
    <col min="12341" max="12342" width="16.7109375" style="56" customWidth="1"/>
    <col min="12343" max="12346" width="13.140625" style="56" customWidth="1"/>
    <col min="12347" max="12347" width="18.42578125" style="56" customWidth="1"/>
    <col min="12348" max="12348" width="13.140625" style="56" customWidth="1"/>
    <col min="12349" max="12349" width="14.42578125" style="56" customWidth="1"/>
    <col min="12350" max="12350" width="16.28515625" style="56" customWidth="1"/>
    <col min="12351" max="12354" width="14.42578125" style="56" customWidth="1"/>
    <col min="12355" max="12356" width="13.140625" style="56" customWidth="1"/>
    <col min="12357" max="12357" width="15.5703125" style="56" customWidth="1"/>
    <col min="12358" max="12358" width="13.140625" style="56" customWidth="1"/>
    <col min="12359" max="12360" width="14.140625" style="56" customWidth="1"/>
    <col min="12361" max="12361" width="17.7109375" style="56" customWidth="1"/>
    <col min="12362" max="12363" width="13.140625" style="56" customWidth="1"/>
    <col min="12364" max="12364" width="17.140625" style="56" customWidth="1"/>
    <col min="12365" max="12365" width="13.140625" style="56" customWidth="1"/>
    <col min="12366" max="12366" width="14.140625" style="56" customWidth="1"/>
    <col min="12367" max="12367" width="13.140625" style="56" customWidth="1"/>
    <col min="12368" max="12369" width="12.42578125" style="56" customWidth="1"/>
    <col min="12370" max="12370" width="12.140625" style="56" customWidth="1"/>
    <col min="12371" max="12371" width="12.42578125" style="56" customWidth="1"/>
    <col min="12372" max="12372" width="12.140625" style="56" customWidth="1"/>
    <col min="12373" max="12374" width="16.140625" style="56" customWidth="1"/>
    <col min="12375" max="12375" width="16.85546875" style="56" customWidth="1"/>
    <col min="12376" max="12376" width="17.28515625" style="56" customWidth="1"/>
    <col min="12377" max="12377" width="17.42578125" style="56" customWidth="1"/>
    <col min="12378" max="12378" width="16.140625" style="56" customWidth="1"/>
    <col min="12379" max="12379" width="15.5703125" style="56" customWidth="1"/>
    <col min="12380" max="12380" width="17.85546875" style="56" customWidth="1"/>
    <col min="12381" max="12381" width="17.42578125" style="56" customWidth="1"/>
    <col min="12382" max="12382" width="17.28515625" style="56" customWidth="1"/>
    <col min="12383" max="12383" width="17" style="56" customWidth="1"/>
    <col min="12384" max="12384" width="15.5703125" style="56" customWidth="1"/>
    <col min="12385" max="12385" width="16.85546875" style="56" customWidth="1"/>
    <col min="12386" max="12386" width="16.7109375" style="56" customWidth="1"/>
    <col min="12387" max="12387" width="16.28515625" style="56" customWidth="1"/>
    <col min="12388" max="12388" width="17" style="56" customWidth="1"/>
    <col min="12389" max="12389" width="17.85546875" style="56" customWidth="1"/>
    <col min="12390" max="12390" width="17" style="56" customWidth="1"/>
    <col min="12391" max="12391" width="16.42578125" style="56" customWidth="1"/>
    <col min="12392" max="12392" width="16.140625" style="56" customWidth="1"/>
    <col min="12393" max="12495" width="9.85546875" style="56"/>
    <col min="12496" max="12496" width="20.5703125" style="56" customWidth="1"/>
    <col min="12497" max="12497" width="22.7109375" style="56" customWidth="1"/>
    <col min="12498" max="12498" width="19.140625" style="56" customWidth="1"/>
    <col min="12499" max="12500" width="17.140625" style="56" customWidth="1"/>
    <col min="12501" max="12501" width="19.5703125" style="56" customWidth="1"/>
    <col min="12502" max="12503" width="16.28515625" style="56" customWidth="1"/>
    <col min="12504" max="12504" width="12" style="56" customWidth="1"/>
    <col min="12505" max="12505" width="13.42578125" style="56" customWidth="1"/>
    <col min="12506" max="12510" width="15.42578125" style="56" customWidth="1"/>
    <col min="12511" max="12514" width="14.5703125" style="56" customWidth="1"/>
    <col min="12515" max="12515" width="15" style="56" customWidth="1"/>
    <col min="12516" max="12516" width="14.5703125" style="56" customWidth="1"/>
    <col min="12517" max="12529" width="14.140625" style="56" customWidth="1"/>
    <col min="12530" max="12530" width="17.5703125" style="56" customWidth="1"/>
    <col min="12531" max="12531" width="13.140625" style="56" customWidth="1"/>
    <col min="12532" max="12532" width="14.28515625" style="56" customWidth="1"/>
    <col min="12533" max="12536" width="13.140625" style="56" customWidth="1"/>
    <col min="12537" max="12537" width="13.85546875" style="56" customWidth="1"/>
    <col min="12538" max="12573" width="15.140625" style="56" customWidth="1"/>
    <col min="12574" max="12585" width="13.140625" style="56" customWidth="1"/>
    <col min="12586" max="12586" width="18.28515625" style="56" customWidth="1"/>
    <col min="12587" max="12587" width="15.85546875" style="56" customWidth="1"/>
    <col min="12588" max="12589" width="16.140625" style="56" customWidth="1"/>
    <col min="12590" max="12591" width="16.28515625" style="56" customWidth="1"/>
    <col min="12592" max="12592" width="17.7109375" style="56" customWidth="1"/>
    <col min="12593" max="12593" width="16.28515625" style="56" customWidth="1"/>
    <col min="12594" max="12594" width="18.42578125" style="56" customWidth="1"/>
    <col min="12595" max="12595" width="19.140625" style="56" customWidth="1"/>
    <col min="12596" max="12596" width="18.28515625" style="56" customWidth="1"/>
    <col min="12597" max="12598" width="16.7109375" style="56" customWidth="1"/>
    <col min="12599" max="12602" width="13.140625" style="56" customWidth="1"/>
    <col min="12603" max="12603" width="18.42578125" style="56" customWidth="1"/>
    <col min="12604" max="12604" width="13.140625" style="56" customWidth="1"/>
    <col min="12605" max="12605" width="14.42578125" style="56" customWidth="1"/>
    <col min="12606" max="12606" width="16.28515625" style="56" customWidth="1"/>
    <col min="12607" max="12610" width="14.42578125" style="56" customWidth="1"/>
    <col min="12611" max="12612" width="13.140625" style="56" customWidth="1"/>
    <col min="12613" max="12613" width="15.5703125" style="56" customWidth="1"/>
    <col min="12614" max="12614" width="13.140625" style="56" customWidth="1"/>
    <col min="12615" max="12616" width="14.140625" style="56" customWidth="1"/>
    <col min="12617" max="12617" width="17.7109375" style="56" customWidth="1"/>
    <col min="12618" max="12619" width="13.140625" style="56" customWidth="1"/>
    <col min="12620" max="12620" width="17.140625" style="56" customWidth="1"/>
    <col min="12621" max="12621" width="13.140625" style="56" customWidth="1"/>
    <col min="12622" max="12622" width="14.140625" style="56" customWidth="1"/>
    <col min="12623" max="12623" width="13.140625" style="56" customWidth="1"/>
    <col min="12624" max="12625" width="12.42578125" style="56" customWidth="1"/>
    <col min="12626" max="12626" width="12.140625" style="56" customWidth="1"/>
    <col min="12627" max="12627" width="12.42578125" style="56" customWidth="1"/>
    <col min="12628" max="12628" width="12.140625" style="56" customWidth="1"/>
    <col min="12629" max="12630" width="16.140625" style="56" customWidth="1"/>
    <col min="12631" max="12631" width="16.85546875" style="56" customWidth="1"/>
    <col min="12632" max="12632" width="17.28515625" style="56" customWidth="1"/>
    <col min="12633" max="12633" width="17.42578125" style="56" customWidth="1"/>
    <col min="12634" max="12634" width="16.140625" style="56" customWidth="1"/>
    <col min="12635" max="12635" width="15.5703125" style="56" customWidth="1"/>
    <col min="12636" max="12636" width="17.85546875" style="56" customWidth="1"/>
    <col min="12637" max="12637" width="17.42578125" style="56" customWidth="1"/>
    <col min="12638" max="12638" width="17.28515625" style="56" customWidth="1"/>
    <col min="12639" max="12639" width="17" style="56" customWidth="1"/>
    <col min="12640" max="12640" width="15.5703125" style="56" customWidth="1"/>
    <col min="12641" max="12641" width="16.85546875" style="56" customWidth="1"/>
    <col min="12642" max="12642" width="16.7109375" style="56" customWidth="1"/>
    <col min="12643" max="12643" width="16.28515625" style="56" customWidth="1"/>
    <col min="12644" max="12644" width="17" style="56" customWidth="1"/>
    <col min="12645" max="12645" width="17.85546875" style="56" customWidth="1"/>
    <col min="12646" max="12646" width="17" style="56" customWidth="1"/>
    <col min="12647" max="12647" width="16.42578125" style="56" customWidth="1"/>
    <col min="12648" max="12648" width="16.140625" style="56" customWidth="1"/>
    <col min="12649" max="12751" width="9.85546875" style="56"/>
    <col min="12752" max="12752" width="20.5703125" style="56" customWidth="1"/>
    <col min="12753" max="12753" width="22.7109375" style="56" customWidth="1"/>
    <col min="12754" max="12754" width="19.140625" style="56" customWidth="1"/>
    <col min="12755" max="12756" width="17.140625" style="56" customWidth="1"/>
    <col min="12757" max="12757" width="19.5703125" style="56" customWidth="1"/>
    <col min="12758" max="12759" width="16.28515625" style="56" customWidth="1"/>
    <col min="12760" max="12760" width="12" style="56" customWidth="1"/>
    <col min="12761" max="12761" width="13.42578125" style="56" customWidth="1"/>
    <col min="12762" max="12766" width="15.42578125" style="56" customWidth="1"/>
    <col min="12767" max="12770" width="14.5703125" style="56" customWidth="1"/>
    <col min="12771" max="12771" width="15" style="56" customWidth="1"/>
    <col min="12772" max="12772" width="14.5703125" style="56" customWidth="1"/>
    <col min="12773" max="12785" width="14.140625" style="56" customWidth="1"/>
    <col min="12786" max="12786" width="17.5703125" style="56" customWidth="1"/>
    <col min="12787" max="12787" width="13.140625" style="56" customWidth="1"/>
    <col min="12788" max="12788" width="14.28515625" style="56" customWidth="1"/>
    <col min="12789" max="12792" width="13.140625" style="56" customWidth="1"/>
    <col min="12793" max="12793" width="13.85546875" style="56" customWidth="1"/>
    <col min="12794" max="12829" width="15.140625" style="56" customWidth="1"/>
    <col min="12830" max="12841" width="13.140625" style="56" customWidth="1"/>
    <col min="12842" max="12842" width="18.28515625" style="56" customWidth="1"/>
    <col min="12843" max="12843" width="15.85546875" style="56" customWidth="1"/>
    <col min="12844" max="12845" width="16.140625" style="56" customWidth="1"/>
    <col min="12846" max="12847" width="16.28515625" style="56" customWidth="1"/>
    <col min="12848" max="12848" width="17.7109375" style="56" customWidth="1"/>
    <col min="12849" max="12849" width="16.28515625" style="56" customWidth="1"/>
    <col min="12850" max="12850" width="18.42578125" style="56" customWidth="1"/>
    <col min="12851" max="12851" width="19.140625" style="56" customWidth="1"/>
    <col min="12852" max="12852" width="18.28515625" style="56" customWidth="1"/>
    <col min="12853" max="12854" width="16.7109375" style="56" customWidth="1"/>
    <col min="12855" max="12858" width="13.140625" style="56" customWidth="1"/>
    <col min="12859" max="12859" width="18.42578125" style="56" customWidth="1"/>
    <col min="12860" max="12860" width="13.140625" style="56" customWidth="1"/>
    <col min="12861" max="12861" width="14.42578125" style="56" customWidth="1"/>
    <col min="12862" max="12862" width="16.28515625" style="56" customWidth="1"/>
    <col min="12863" max="12866" width="14.42578125" style="56" customWidth="1"/>
    <col min="12867" max="12868" width="13.140625" style="56" customWidth="1"/>
    <col min="12869" max="12869" width="15.5703125" style="56" customWidth="1"/>
    <col min="12870" max="12870" width="13.140625" style="56" customWidth="1"/>
    <col min="12871" max="12872" width="14.140625" style="56" customWidth="1"/>
    <col min="12873" max="12873" width="17.7109375" style="56" customWidth="1"/>
    <col min="12874" max="12875" width="13.140625" style="56" customWidth="1"/>
    <col min="12876" max="12876" width="17.140625" style="56" customWidth="1"/>
    <col min="12877" max="12877" width="13.140625" style="56" customWidth="1"/>
    <col min="12878" max="12878" width="14.140625" style="56" customWidth="1"/>
    <col min="12879" max="12879" width="13.140625" style="56" customWidth="1"/>
    <col min="12880" max="12881" width="12.42578125" style="56" customWidth="1"/>
    <col min="12882" max="12882" width="12.140625" style="56" customWidth="1"/>
    <col min="12883" max="12883" width="12.42578125" style="56" customWidth="1"/>
    <col min="12884" max="12884" width="12.140625" style="56" customWidth="1"/>
    <col min="12885" max="12886" width="16.140625" style="56" customWidth="1"/>
    <col min="12887" max="12887" width="16.85546875" style="56" customWidth="1"/>
    <col min="12888" max="12888" width="17.28515625" style="56" customWidth="1"/>
    <col min="12889" max="12889" width="17.42578125" style="56" customWidth="1"/>
    <col min="12890" max="12890" width="16.140625" style="56" customWidth="1"/>
    <col min="12891" max="12891" width="15.5703125" style="56" customWidth="1"/>
    <col min="12892" max="12892" width="17.85546875" style="56" customWidth="1"/>
    <col min="12893" max="12893" width="17.42578125" style="56" customWidth="1"/>
    <col min="12894" max="12894" width="17.28515625" style="56" customWidth="1"/>
    <col min="12895" max="12895" width="17" style="56" customWidth="1"/>
    <col min="12896" max="12896" width="15.5703125" style="56" customWidth="1"/>
    <col min="12897" max="12897" width="16.85546875" style="56" customWidth="1"/>
    <col min="12898" max="12898" width="16.7109375" style="56" customWidth="1"/>
    <col min="12899" max="12899" width="16.28515625" style="56" customWidth="1"/>
    <col min="12900" max="12900" width="17" style="56" customWidth="1"/>
    <col min="12901" max="12901" width="17.85546875" style="56" customWidth="1"/>
    <col min="12902" max="12902" width="17" style="56" customWidth="1"/>
    <col min="12903" max="12903" width="16.42578125" style="56" customWidth="1"/>
    <col min="12904" max="12904" width="16.140625" style="56" customWidth="1"/>
    <col min="12905" max="13007" width="9.85546875" style="56"/>
    <col min="13008" max="13008" width="20.5703125" style="56" customWidth="1"/>
    <col min="13009" max="13009" width="22.7109375" style="56" customWidth="1"/>
    <col min="13010" max="13010" width="19.140625" style="56" customWidth="1"/>
    <col min="13011" max="13012" width="17.140625" style="56" customWidth="1"/>
    <col min="13013" max="13013" width="19.5703125" style="56" customWidth="1"/>
    <col min="13014" max="13015" width="16.28515625" style="56" customWidth="1"/>
    <col min="13016" max="13016" width="12" style="56" customWidth="1"/>
    <col min="13017" max="13017" width="13.42578125" style="56" customWidth="1"/>
    <col min="13018" max="13022" width="15.42578125" style="56" customWidth="1"/>
    <col min="13023" max="13026" width="14.5703125" style="56" customWidth="1"/>
    <col min="13027" max="13027" width="15" style="56" customWidth="1"/>
    <col min="13028" max="13028" width="14.5703125" style="56" customWidth="1"/>
    <col min="13029" max="13041" width="14.140625" style="56" customWidth="1"/>
    <col min="13042" max="13042" width="17.5703125" style="56" customWidth="1"/>
    <col min="13043" max="13043" width="13.140625" style="56" customWidth="1"/>
    <col min="13044" max="13044" width="14.28515625" style="56" customWidth="1"/>
    <col min="13045" max="13048" width="13.140625" style="56" customWidth="1"/>
    <col min="13049" max="13049" width="13.85546875" style="56" customWidth="1"/>
    <col min="13050" max="13085" width="15.140625" style="56" customWidth="1"/>
    <col min="13086" max="13097" width="13.140625" style="56" customWidth="1"/>
    <col min="13098" max="13098" width="18.28515625" style="56" customWidth="1"/>
    <col min="13099" max="13099" width="15.85546875" style="56" customWidth="1"/>
    <col min="13100" max="13101" width="16.140625" style="56" customWidth="1"/>
    <col min="13102" max="13103" width="16.28515625" style="56" customWidth="1"/>
    <col min="13104" max="13104" width="17.7109375" style="56" customWidth="1"/>
    <col min="13105" max="13105" width="16.28515625" style="56" customWidth="1"/>
    <col min="13106" max="13106" width="18.42578125" style="56" customWidth="1"/>
    <col min="13107" max="13107" width="19.140625" style="56" customWidth="1"/>
    <col min="13108" max="13108" width="18.28515625" style="56" customWidth="1"/>
    <col min="13109" max="13110" width="16.7109375" style="56" customWidth="1"/>
    <col min="13111" max="13114" width="13.140625" style="56" customWidth="1"/>
    <col min="13115" max="13115" width="18.42578125" style="56" customWidth="1"/>
    <col min="13116" max="13116" width="13.140625" style="56" customWidth="1"/>
    <col min="13117" max="13117" width="14.42578125" style="56" customWidth="1"/>
    <col min="13118" max="13118" width="16.28515625" style="56" customWidth="1"/>
    <col min="13119" max="13122" width="14.42578125" style="56" customWidth="1"/>
    <col min="13123" max="13124" width="13.140625" style="56" customWidth="1"/>
    <col min="13125" max="13125" width="15.5703125" style="56" customWidth="1"/>
    <col min="13126" max="13126" width="13.140625" style="56" customWidth="1"/>
    <col min="13127" max="13128" width="14.140625" style="56" customWidth="1"/>
    <col min="13129" max="13129" width="17.7109375" style="56" customWidth="1"/>
    <col min="13130" max="13131" width="13.140625" style="56" customWidth="1"/>
    <col min="13132" max="13132" width="17.140625" style="56" customWidth="1"/>
    <col min="13133" max="13133" width="13.140625" style="56" customWidth="1"/>
    <col min="13134" max="13134" width="14.140625" style="56" customWidth="1"/>
    <col min="13135" max="13135" width="13.140625" style="56" customWidth="1"/>
    <col min="13136" max="13137" width="12.42578125" style="56" customWidth="1"/>
    <col min="13138" max="13138" width="12.140625" style="56" customWidth="1"/>
    <col min="13139" max="13139" width="12.42578125" style="56" customWidth="1"/>
    <col min="13140" max="13140" width="12.140625" style="56" customWidth="1"/>
    <col min="13141" max="13142" width="16.140625" style="56" customWidth="1"/>
    <col min="13143" max="13143" width="16.85546875" style="56" customWidth="1"/>
    <col min="13144" max="13144" width="17.28515625" style="56" customWidth="1"/>
    <col min="13145" max="13145" width="17.42578125" style="56" customWidth="1"/>
    <col min="13146" max="13146" width="16.140625" style="56" customWidth="1"/>
    <col min="13147" max="13147" width="15.5703125" style="56" customWidth="1"/>
    <col min="13148" max="13148" width="17.85546875" style="56" customWidth="1"/>
    <col min="13149" max="13149" width="17.42578125" style="56" customWidth="1"/>
    <col min="13150" max="13150" width="17.28515625" style="56" customWidth="1"/>
    <col min="13151" max="13151" width="17" style="56" customWidth="1"/>
    <col min="13152" max="13152" width="15.5703125" style="56" customWidth="1"/>
    <col min="13153" max="13153" width="16.85546875" style="56" customWidth="1"/>
    <col min="13154" max="13154" width="16.7109375" style="56" customWidth="1"/>
    <col min="13155" max="13155" width="16.28515625" style="56" customWidth="1"/>
    <col min="13156" max="13156" width="17" style="56" customWidth="1"/>
    <col min="13157" max="13157" width="17.85546875" style="56" customWidth="1"/>
    <col min="13158" max="13158" width="17" style="56" customWidth="1"/>
    <col min="13159" max="13159" width="16.42578125" style="56" customWidth="1"/>
    <col min="13160" max="13160" width="16.140625" style="56" customWidth="1"/>
    <col min="13161" max="13263" width="9.85546875" style="56"/>
    <col min="13264" max="13264" width="20.5703125" style="56" customWidth="1"/>
    <col min="13265" max="13265" width="22.7109375" style="56" customWidth="1"/>
    <col min="13266" max="13266" width="19.140625" style="56" customWidth="1"/>
    <col min="13267" max="13268" width="17.140625" style="56" customWidth="1"/>
    <col min="13269" max="13269" width="19.5703125" style="56" customWidth="1"/>
    <col min="13270" max="13271" width="16.28515625" style="56" customWidth="1"/>
    <col min="13272" max="13272" width="12" style="56" customWidth="1"/>
    <col min="13273" max="13273" width="13.42578125" style="56" customWidth="1"/>
    <col min="13274" max="13278" width="15.42578125" style="56" customWidth="1"/>
    <col min="13279" max="13282" width="14.5703125" style="56" customWidth="1"/>
    <col min="13283" max="13283" width="15" style="56" customWidth="1"/>
    <col min="13284" max="13284" width="14.5703125" style="56" customWidth="1"/>
    <col min="13285" max="13297" width="14.140625" style="56" customWidth="1"/>
    <col min="13298" max="13298" width="17.5703125" style="56" customWidth="1"/>
    <col min="13299" max="13299" width="13.140625" style="56" customWidth="1"/>
    <col min="13300" max="13300" width="14.28515625" style="56" customWidth="1"/>
    <col min="13301" max="13304" width="13.140625" style="56" customWidth="1"/>
    <col min="13305" max="13305" width="13.85546875" style="56" customWidth="1"/>
    <col min="13306" max="13341" width="15.140625" style="56" customWidth="1"/>
    <col min="13342" max="13353" width="13.140625" style="56" customWidth="1"/>
    <col min="13354" max="13354" width="18.28515625" style="56" customWidth="1"/>
    <col min="13355" max="13355" width="15.85546875" style="56" customWidth="1"/>
    <col min="13356" max="13357" width="16.140625" style="56" customWidth="1"/>
    <col min="13358" max="13359" width="16.28515625" style="56" customWidth="1"/>
    <col min="13360" max="13360" width="17.7109375" style="56" customWidth="1"/>
    <col min="13361" max="13361" width="16.28515625" style="56" customWidth="1"/>
    <col min="13362" max="13362" width="18.42578125" style="56" customWidth="1"/>
    <col min="13363" max="13363" width="19.140625" style="56" customWidth="1"/>
    <col min="13364" max="13364" width="18.28515625" style="56" customWidth="1"/>
    <col min="13365" max="13366" width="16.7109375" style="56" customWidth="1"/>
    <col min="13367" max="13370" width="13.140625" style="56" customWidth="1"/>
    <col min="13371" max="13371" width="18.42578125" style="56" customWidth="1"/>
    <col min="13372" max="13372" width="13.140625" style="56" customWidth="1"/>
    <col min="13373" max="13373" width="14.42578125" style="56" customWidth="1"/>
    <col min="13374" max="13374" width="16.28515625" style="56" customWidth="1"/>
    <col min="13375" max="13378" width="14.42578125" style="56" customWidth="1"/>
    <col min="13379" max="13380" width="13.140625" style="56" customWidth="1"/>
    <col min="13381" max="13381" width="15.5703125" style="56" customWidth="1"/>
    <col min="13382" max="13382" width="13.140625" style="56" customWidth="1"/>
    <col min="13383" max="13384" width="14.140625" style="56" customWidth="1"/>
    <col min="13385" max="13385" width="17.7109375" style="56" customWidth="1"/>
    <col min="13386" max="13387" width="13.140625" style="56" customWidth="1"/>
    <col min="13388" max="13388" width="17.140625" style="56" customWidth="1"/>
    <col min="13389" max="13389" width="13.140625" style="56" customWidth="1"/>
    <col min="13390" max="13390" width="14.140625" style="56" customWidth="1"/>
    <col min="13391" max="13391" width="13.140625" style="56" customWidth="1"/>
    <col min="13392" max="13393" width="12.42578125" style="56" customWidth="1"/>
    <col min="13394" max="13394" width="12.140625" style="56" customWidth="1"/>
    <col min="13395" max="13395" width="12.42578125" style="56" customWidth="1"/>
    <col min="13396" max="13396" width="12.140625" style="56" customWidth="1"/>
    <col min="13397" max="13398" width="16.140625" style="56" customWidth="1"/>
    <col min="13399" max="13399" width="16.85546875" style="56" customWidth="1"/>
    <col min="13400" max="13400" width="17.28515625" style="56" customWidth="1"/>
    <col min="13401" max="13401" width="17.42578125" style="56" customWidth="1"/>
    <col min="13402" max="13402" width="16.140625" style="56" customWidth="1"/>
    <col min="13403" max="13403" width="15.5703125" style="56" customWidth="1"/>
    <col min="13404" max="13404" width="17.85546875" style="56" customWidth="1"/>
    <col min="13405" max="13405" width="17.42578125" style="56" customWidth="1"/>
    <col min="13406" max="13406" width="17.28515625" style="56" customWidth="1"/>
    <col min="13407" max="13407" width="17" style="56" customWidth="1"/>
    <col min="13408" max="13408" width="15.5703125" style="56" customWidth="1"/>
    <col min="13409" max="13409" width="16.85546875" style="56" customWidth="1"/>
    <col min="13410" max="13410" width="16.7109375" style="56" customWidth="1"/>
    <col min="13411" max="13411" width="16.28515625" style="56" customWidth="1"/>
    <col min="13412" max="13412" width="17" style="56" customWidth="1"/>
    <col min="13413" max="13413" width="17.85546875" style="56" customWidth="1"/>
    <col min="13414" max="13414" width="17" style="56" customWidth="1"/>
    <col min="13415" max="13415" width="16.42578125" style="56" customWidth="1"/>
    <col min="13416" max="13416" width="16.140625" style="56" customWidth="1"/>
    <col min="13417" max="13519" width="9.85546875" style="56"/>
    <col min="13520" max="13520" width="20.5703125" style="56" customWidth="1"/>
    <col min="13521" max="13521" width="22.7109375" style="56" customWidth="1"/>
    <col min="13522" max="13522" width="19.140625" style="56" customWidth="1"/>
    <col min="13523" max="13524" width="17.140625" style="56" customWidth="1"/>
    <col min="13525" max="13525" width="19.5703125" style="56" customWidth="1"/>
    <col min="13526" max="13527" width="16.28515625" style="56" customWidth="1"/>
    <col min="13528" max="13528" width="12" style="56" customWidth="1"/>
    <col min="13529" max="13529" width="13.42578125" style="56" customWidth="1"/>
    <col min="13530" max="13534" width="15.42578125" style="56" customWidth="1"/>
    <col min="13535" max="13538" width="14.5703125" style="56" customWidth="1"/>
    <col min="13539" max="13539" width="15" style="56" customWidth="1"/>
    <col min="13540" max="13540" width="14.5703125" style="56" customWidth="1"/>
    <col min="13541" max="13553" width="14.140625" style="56" customWidth="1"/>
    <col min="13554" max="13554" width="17.5703125" style="56" customWidth="1"/>
    <col min="13555" max="13555" width="13.140625" style="56" customWidth="1"/>
    <col min="13556" max="13556" width="14.28515625" style="56" customWidth="1"/>
    <col min="13557" max="13560" width="13.140625" style="56" customWidth="1"/>
    <col min="13561" max="13561" width="13.85546875" style="56" customWidth="1"/>
    <col min="13562" max="13597" width="15.140625" style="56" customWidth="1"/>
    <col min="13598" max="13609" width="13.140625" style="56" customWidth="1"/>
    <col min="13610" max="13610" width="18.28515625" style="56" customWidth="1"/>
    <col min="13611" max="13611" width="15.85546875" style="56" customWidth="1"/>
    <col min="13612" max="13613" width="16.140625" style="56" customWidth="1"/>
    <col min="13614" max="13615" width="16.28515625" style="56" customWidth="1"/>
    <col min="13616" max="13616" width="17.7109375" style="56" customWidth="1"/>
    <col min="13617" max="13617" width="16.28515625" style="56" customWidth="1"/>
    <col min="13618" max="13618" width="18.42578125" style="56" customWidth="1"/>
    <col min="13619" max="13619" width="19.140625" style="56" customWidth="1"/>
    <col min="13620" max="13620" width="18.28515625" style="56" customWidth="1"/>
    <col min="13621" max="13622" width="16.7109375" style="56" customWidth="1"/>
    <col min="13623" max="13626" width="13.140625" style="56" customWidth="1"/>
    <col min="13627" max="13627" width="18.42578125" style="56" customWidth="1"/>
    <col min="13628" max="13628" width="13.140625" style="56" customWidth="1"/>
    <col min="13629" max="13629" width="14.42578125" style="56" customWidth="1"/>
    <col min="13630" max="13630" width="16.28515625" style="56" customWidth="1"/>
    <col min="13631" max="13634" width="14.42578125" style="56" customWidth="1"/>
    <col min="13635" max="13636" width="13.140625" style="56" customWidth="1"/>
    <col min="13637" max="13637" width="15.5703125" style="56" customWidth="1"/>
    <col min="13638" max="13638" width="13.140625" style="56" customWidth="1"/>
    <col min="13639" max="13640" width="14.140625" style="56" customWidth="1"/>
    <col min="13641" max="13641" width="17.7109375" style="56" customWidth="1"/>
    <col min="13642" max="13643" width="13.140625" style="56" customWidth="1"/>
    <col min="13644" max="13644" width="17.140625" style="56" customWidth="1"/>
    <col min="13645" max="13645" width="13.140625" style="56" customWidth="1"/>
    <col min="13646" max="13646" width="14.140625" style="56" customWidth="1"/>
    <col min="13647" max="13647" width="13.140625" style="56" customWidth="1"/>
    <col min="13648" max="13649" width="12.42578125" style="56" customWidth="1"/>
    <col min="13650" max="13650" width="12.140625" style="56" customWidth="1"/>
    <col min="13651" max="13651" width="12.42578125" style="56" customWidth="1"/>
    <col min="13652" max="13652" width="12.140625" style="56" customWidth="1"/>
    <col min="13653" max="13654" width="16.140625" style="56" customWidth="1"/>
    <col min="13655" max="13655" width="16.85546875" style="56" customWidth="1"/>
    <col min="13656" max="13656" width="17.28515625" style="56" customWidth="1"/>
    <col min="13657" max="13657" width="17.42578125" style="56" customWidth="1"/>
    <col min="13658" max="13658" width="16.140625" style="56" customWidth="1"/>
    <col min="13659" max="13659" width="15.5703125" style="56" customWidth="1"/>
    <col min="13660" max="13660" width="17.85546875" style="56" customWidth="1"/>
    <col min="13661" max="13661" width="17.42578125" style="56" customWidth="1"/>
    <col min="13662" max="13662" width="17.28515625" style="56" customWidth="1"/>
    <col min="13663" max="13663" width="17" style="56" customWidth="1"/>
    <col min="13664" max="13664" width="15.5703125" style="56" customWidth="1"/>
    <col min="13665" max="13665" width="16.85546875" style="56" customWidth="1"/>
    <col min="13666" max="13666" width="16.7109375" style="56" customWidth="1"/>
    <col min="13667" max="13667" width="16.28515625" style="56" customWidth="1"/>
    <col min="13668" max="13668" width="17" style="56" customWidth="1"/>
    <col min="13669" max="13669" width="17.85546875" style="56" customWidth="1"/>
    <col min="13670" max="13670" width="17" style="56" customWidth="1"/>
    <col min="13671" max="13671" width="16.42578125" style="56" customWidth="1"/>
    <col min="13672" max="13672" width="16.140625" style="56" customWidth="1"/>
    <col min="13673" max="13775" width="9.85546875" style="56"/>
    <col min="13776" max="13776" width="20.5703125" style="56" customWidth="1"/>
    <col min="13777" max="13777" width="22.7109375" style="56" customWidth="1"/>
    <col min="13778" max="13778" width="19.140625" style="56" customWidth="1"/>
    <col min="13779" max="13780" width="17.140625" style="56" customWidth="1"/>
    <col min="13781" max="13781" width="19.5703125" style="56" customWidth="1"/>
    <col min="13782" max="13783" width="16.28515625" style="56" customWidth="1"/>
    <col min="13784" max="13784" width="12" style="56" customWidth="1"/>
    <col min="13785" max="13785" width="13.42578125" style="56" customWidth="1"/>
    <col min="13786" max="13790" width="15.42578125" style="56" customWidth="1"/>
    <col min="13791" max="13794" width="14.5703125" style="56" customWidth="1"/>
    <col min="13795" max="13795" width="15" style="56" customWidth="1"/>
    <col min="13796" max="13796" width="14.5703125" style="56" customWidth="1"/>
    <col min="13797" max="13809" width="14.140625" style="56" customWidth="1"/>
    <col min="13810" max="13810" width="17.5703125" style="56" customWidth="1"/>
    <col min="13811" max="13811" width="13.140625" style="56" customWidth="1"/>
    <col min="13812" max="13812" width="14.28515625" style="56" customWidth="1"/>
    <col min="13813" max="13816" width="13.140625" style="56" customWidth="1"/>
    <col min="13817" max="13817" width="13.85546875" style="56" customWidth="1"/>
    <col min="13818" max="13853" width="15.140625" style="56" customWidth="1"/>
    <col min="13854" max="13865" width="13.140625" style="56" customWidth="1"/>
    <col min="13866" max="13866" width="18.28515625" style="56" customWidth="1"/>
    <col min="13867" max="13867" width="15.85546875" style="56" customWidth="1"/>
    <col min="13868" max="13869" width="16.140625" style="56" customWidth="1"/>
    <col min="13870" max="13871" width="16.28515625" style="56" customWidth="1"/>
    <col min="13872" max="13872" width="17.7109375" style="56" customWidth="1"/>
    <col min="13873" max="13873" width="16.28515625" style="56" customWidth="1"/>
    <col min="13874" max="13874" width="18.42578125" style="56" customWidth="1"/>
    <col min="13875" max="13875" width="19.140625" style="56" customWidth="1"/>
    <col min="13876" max="13876" width="18.28515625" style="56" customWidth="1"/>
    <col min="13877" max="13878" width="16.7109375" style="56" customWidth="1"/>
    <col min="13879" max="13882" width="13.140625" style="56" customWidth="1"/>
    <col min="13883" max="13883" width="18.42578125" style="56" customWidth="1"/>
    <col min="13884" max="13884" width="13.140625" style="56" customWidth="1"/>
    <col min="13885" max="13885" width="14.42578125" style="56" customWidth="1"/>
    <col min="13886" max="13886" width="16.28515625" style="56" customWidth="1"/>
    <col min="13887" max="13890" width="14.42578125" style="56" customWidth="1"/>
    <col min="13891" max="13892" width="13.140625" style="56" customWidth="1"/>
    <col min="13893" max="13893" width="15.5703125" style="56" customWidth="1"/>
    <col min="13894" max="13894" width="13.140625" style="56" customWidth="1"/>
    <col min="13895" max="13896" width="14.140625" style="56" customWidth="1"/>
    <col min="13897" max="13897" width="17.7109375" style="56" customWidth="1"/>
    <col min="13898" max="13899" width="13.140625" style="56" customWidth="1"/>
    <col min="13900" max="13900" width="17.140625" style="56" customWidth="1"/>
    <col min="13901" max="13901" width="13.140625" style="56" customWidth="1"/>
    <col min="13902" max="13902" width="14.140625" style="56" customWidth="1"/>
    <col min="13903" max="13903" width="13.140625" style="56" customWidth="1"/>
    <col min="13904" max="13905" width="12.42578125" style="56" customWidth="1"/>
    <col min="13906" max="13906" width="12.140625" style="56" customWidth="1"/>
    <col min="13907" max="13907" width="12.42578125" style="56" customWidth="1"/>
    <col min="13908" max="13908" width="12.140625" style="56" customWidth="1"/>
    <col min="13909" max="13910" width="16.140625" style="56" customWidth="1"/>
    <col min="13911" max="13911" width="16.85546875" style="56" customWidth="1"/>
    <col min="13912" max="13912" width="17.28515625" style="56" customWidth="1"/>
    <col min="13913" max="13913" width="17.42578125" style="56" customWidth="1"/>
    <col min="13914" max="13914" width="16.140625" style="56" customWidth="1"/>
    <col min="13915" max="13915" width="15.5703125" style="56" customWidth="1"/>
    <col min="13916" max="13916" width="17.85546875" style="56" customWidth="1"/>
    <col min="13917" max="13917" width="17.42578125" style="56" customWidth="1"/>
    <col min="13918" max="13918" width="17.28515625" style="56" customWidth="1"/>
    <col min="13919" max="13919" width="17" style="56" customWidth="1"/>
    <col min="13920" max="13920" width="15.5703125" style="56" customWidth="1"/>
    <col min="13921" max="13921" width="16.85546875" style="56" customWidth="1"/>
    <col min="13922" max="13922" width="16.7109375" style="56" customWidth="1"/>
    <col min="13923" max="13923" width="16.28515625" style="56" customWidth="1"/>
    <col min="13924" max="13924" width="17" style="56" customWidth="1"/>
    <col min="13925" max="13925" width="17.85546875" style="56" customWidth="1"/>
    <col min="13926" max="13926" width="17" style="56" customWidth="1"/>
    <col min="13927" max="13927" width="16.42578125" style="56" customWidth="1"/>
    <col min="13928" max="13928" width="16.140625" style="56" customWidth="1"/>
    <col min="13929" max="14031" width="9.85546875" style="56"/>
    <col min="14032" max="14032" width="20.5703125" style="56" customWidth="1"/>
    <col min="14033" max="14033" width="22.7109375" style="56" customWidth="1"/>
    <col min="14034" max="14034" width="19.140625" style="56" customWidth="1"/>
    <col min="14035" max="14036" width="17.140625" style="56" customWidth="1"/>
    <col min="14037" max="14037" width="19.5703125" style="56" customWidth="1"/>
    <col min="14038" max="14039" width="16.28515625" style="56" customWidth="1"/>
    <col min="14040" max="14040" width="12" style="56" customWidth="1"/>
    <col min="14041" max="14041" width="13.42578125" style="56" customWidth="1"/>
    <col min="14042" max="14046" width="15.42578125" style="56" customWidth="1"/>
    <col min="14047" max="14050" width="14.5703125" style="56" customWidth="1"/>
    <col min="14051" max="14051" width="15" style="56" customWidth="1"/>
    <col min="14052" max="14052" width="14.5703125" style="56" customWidth="1"/>
    <col min="14053" max="14065" width="14.140625" style="56" customWidth="1"/>
    <col min="14066" max="14066" width="17.5703125" style="56" customWidth="1"/>
    <col min="14067" max="14067" width="13.140625" style="56" customWidth="1"/>
    <col min="14068" max="14068" width="14.28515625" style="56" customWidth="1"/>
    <col min="14069" max="14072" width="13.140625" style="56" customWidth="1"/>
    <col min="14073" max="14073" width="13.85546875" style="56" customWidth="1"/>
    <col min="14074" max="14109" width="15.140625" style="56" customWidth="1"/>
    <col min="14110" max="14121" width="13.140625" style="56" customWidth="1"/>
    <col min="14122" max="14122" width="18.28515625" style="56" customWidth="1"/>
    <col min="14123" max="14123" width="15.85546875" style="56" customWidth="1"/>
    <col min="14124" max="14125" width="16.140625" style="56" customWidth="1"/>
    <col min="14126" max="14127" width="16.28515625" style="56" customWidth="1"/>
    <col min="14128" max="14128" width="17.7109375" style="56" customWidth="1"/>
    <col min="14129" max="14129" width="16.28515625" style="56" customWidth="1"/>
    <col min="14130" max="14130" width="18.42578125" style="56" customWidth="1"/>
    <col min="14131" max="14131" width="19.140625" style="56" customWidth="1"/>
    <col min="14132" max="14132" width="18.28515625" style="56" customWidth="1"/>
    <col min="14133" max="14134" width="16.7109375" style="56" customWidth="1"/>
    <col min="14135" max="14138" width="13.140625" style="56" customWidth="1"/>
    <col min="14139" max="14139" width="18.42578125" style="56" customWidth="1"/>
    <col min="14140" max="14140" width="13.140625" style="56" customWidth="1"/>
    <col min="14141" max="14141" width="14.42578125" style="56" customWidth="1"/>
    <col min="14142" max="14142" width="16.28515625" style="56" customWidth="1"/>
    <col min="14143" max="14146" width="14.42578125" style="56" customWidth="1"/>
    <col min="14147" max="14148" width="13.140625" style="56" customWidth="1"/>
    <col min="14149" max="14149" width="15.5703125" style="56" customWidth="1"/>
    <col min="14150" max="14150" width="13.140625" style="56" customWidth="1"/>
    <col min="14151" max="14152" width="14.140625" style="56" customWidth="1"/>
    <col min="14153" max="14153" width="17.7109375" style="56" customWidth="1"/>
    <col min="14154" max="14155" width="13.140625" style="56" customWidth="1"/>
    <col min="14156" max="14156" width="17.140625" style="56" customWidth="1"/>
    <col min="14157" max="14157" width="13.140625" style="56" customWidth="1"/>
    <col min="14158" max="14158" width="14.140625" style="56" customWidth="1"/>
    <col min="14159" max="14159" width="13.140625" style="56" customWidth="1"/>
    <col min="14160" max="14161" width="12.42578125" style="56" customWidth="1"/>
    <col min="14162" max="14162" width="12.140625" style="56" customWidth="1"/>
    <col min="14163" max="14163" width="12.42578125" style="56" customWidth="1"/>
    <col min="14164" max="14164" width="12.140625" style="56" customWidth="1"/>
    <col min="14165" max="14166" width="16.140625" style="56" customWidth="1"/>
    <col min="14167" max="14167" width="16.85546875" style="56" customWidth="1"/>
    <col min="14168" max="14168" width="17.28515625" style="56" customWidth="1"/>
    <col min="14169" max="14169" width="17.42578125" style="56" customWidth="1"/>
    <col min="14170" max="14170" width="16.140625" style="56" customWidth="1"/>
    <col min="14171" max="14171" width="15.5703125" style="56" customWidth="1"/>
    <col min="14172" max="14172" width="17.85546875" style="56" customWidth="1"/>
    <col min="14173" max="14173" width="17.42578125" style="56" customWidth="1"/>
    <col min="14174" max="14174" width="17.28515625" style="56" customWidth="1"/>
    <col min="14175" max="14175" width="17" style="56" customWidth="1"/>
    <col min="14176" max="14176" width="15.5703125" style="56" customWidth="1"/>
    <col min="14177" max="14177" width="16.85546875" style="56" customWidth="1"/>
    <col min="14178" max="14178" width="16.7109375" style="56" customWidth="1"/>
    <col min="14179" max="14179" width="16.28515625" style="56" customWidth="1"/>
    <col min="14180" max="14180" width="17" style="56" customWidth="1"/>
    <col min="14181" max="14181" width="17.85546875" style="56" customWidth="1"/>
    <col min="14182" max="14182" width="17" style="56" customWidth="1"/>
    <col min="14183" max="14183" width="16.42578125" style="56" customWidth="1"/>
    <col min="14184" max="14184" width="16.140625" style="56" customWidth="1"/>
    <col min="14185" max="14287" width="9.85546875" style="56"/>
    <col min="14288" max="14288" width="20.5703125" style="56" customWidth="1"/>
    <col min="14289" max="14289" width="22.7109375" style="56" customWidth="1"/>
    <col min="14290" max="14290" width="19.140625" style="56" customWidth="1"/>
    <col min="14291" max="14292" width="17.140625" style="56" customWidth="1"/>
    <col min="14293" max="14293" width="19.5703125" style="56" customWidth="1"/>
    <col min="14294" max="14295" width="16.28515625" style="56" customWidth="1"/>
    <col min="14296" max="14296" width="12" style="56" customWidth="1"/>
    <col min="14297" max="14297" width="13.42578125" style="56" customWidth="1"/>
    <col min="14298" max="14302" width="15.42578125" style="56" customWidth="1"/>
    <col min="14303" max="14306" width="14.5703125" style="56" customWidth="1"/>
    <col min="14307" max="14307" width="15" style="56" customWidth="1"/>
    <col min="14308" max="14308" width="14.5703125" style="56" customWidth="1"/>
    <col min="14309" max="14321" width="14.140625" style="56" customWidth="1"/>
    <col min="14322" max="14322" width="17.5703125" style="56" customWidth="1"/>
    <col min="14323" max="14323" width="13.140625" style="56" customWidth="1"/>
    <col min="14324" max="14324" width="14.28515625" style="56" customWidth="1"/>
    <col min="14325" max="14328" width="13.140625" style="56" customWidth="1"/>
    <col min="14329" max="14329" width="13.85546875" style="56" customWidth="1"/>
    <col min="14330" max="14365" width="15.140625" style="56" customWidth="1"/>
    <col min="14366" max="14377" width="13.140625" style="56" customWidth="1"/>
    <col min="14378" max="14378" width="18.28515625" style="56" customWidth="1"/>
    <col min="14379" max="14379" width="15.85546875" style="56" customWidth="1"/>
    <col min="14380" max="14381" width="16.140625" style="56" customWidth="1"/>
    <col min="14382" max="14383" width="16.28515625" style="56" customWidth="1"/>
    <col min="14384" max="14384" width="17.7109375" style="56" customWidth="1"/>
    <col min="14385" max="14385" width="16.28515625" style="56" customWidth="1"/>
    <col min="14386" max="14386" width="18.42578125" style="56" customWidth="1"/>
    <col min="14387" max="14387" width="19.140625" style="56" customWidth="1"/>
    <col min="14388" max="14388" width="18.28515625" style="56" customWidth="1"/>
    <col min="14389" max="14390" width="16.7109375" style="56" customWidth="1"/>
    <col min="14391" max="14394" width="13.140625" style="56" customWidth="1"/>
    <col min="14395" max="14395" width="18.42578125" style="56" customWidth="1"/>
    <col min="14396" max="14396" width="13.140625" style="56" customWidth="1"/>
    <col min="14397" max="14397" width="14.42578125" style="56" customWidth="1"/>
    <col min="14398" max="14398" width="16.28515625" style="56" customWidth="1"/>
    <col min="14399" max="14402" width="14.42578125" style="56" customWidth="1"/>
    <col min="14403" max="14404" width="13.140625" style="56" customWidth="1"/>
    <col min="14405" max="14405" width="15.5703125" style="56" customWidth="1"/>
    <col min="14406" max="14406" width="13.140625" style="56" customWidth="1"/>
    <col min="14407" max="14408" width="14.140625" style="56" customWidth="1"/>
    <col min="14409" max="14409" width="17.7109375" style="56" customWidth="1"/>
    <col min="14410" max="14411" width="13.140625" style="56" customWidth="1"/>
    <col min="14412" max="14412" width="17.140625" style="56" customWidth="1"/>
    <col min="14413" max="14413" width="13.140625" style="56" customWidth="1"/>
    <col min="14414" max="14414" width="14.140625" style="56" customWidth="1"/>
    <col min="14415" max="14415" width="13.140625" style="56" customWidth="1"/>
    <col min="14416" max="14417" width="12.42578125" style="56" customWidth="1"/>
    <col min="14418" max="14418" width="12.140625" style="56" customWidth="1"/>
    <col min="14419" max="14419" width="12.42578125" style="56" customWidth="1"/>
    <col min="14420" max="14420" width="12.140625" style="56" customWidth="1"/>
    <col min="14421" max="14422" width="16.140625" style="56" customWidth="1"/>
    <col min="14423" max="14423" width="16.85546875" style="56" customWidth="1"/>
    <col min="14424" max="14424" width="17.28515625" style="56" customWidth="1"/>
    <col min="14425" max="14425" width="17.42578125" style="56" customWidth="1"/>
    <col min="14426" max="14426" width="16.140625" style="56" customWidth="1"/>
    <col min="14427" max="14427" width="15.5703125" style="56" customWidth="1"/>
    <col min="14428" max="14428" width="17.85546875" style="56" customWidth="1"/>
    <col min="14429" max="14429" width="17.42578125" style="56" customWidth="1"/>
    <col min="14430" max="14430" width="17.28515625" style="56" customWidth="1"/>
    <col min="14431" max="14431" width="17" style="56" customWidth="1"/>
    <col min="14432" max="14432" width="15.5703125" style="56" customWidth="1"/>
    <col min="14433" max="14433" width="16.85546875" style="56" customWidth="1"/>
    <col min="14434" max="14434" width="16.7109375" style="56" customWidth="1"/>
    <col min="14435" max="14435" width="16.28515625" style="56" customWidth="1"/>
    <col min="14436" max="14436" width="17" style="56" customWidth="1"/>
    <col min="14437" max="14437" width="17.85546875" style="56" customWidth="1"/>
    <col min="14438" max="14438" width="17" style="56" customWidth="1"/>
    <col min="14439" max="14439" width="16.42578125" style="56" customWidth="1"/>
    <col min="14440" max="14440" width="16.140625" style="56" customWidth="1"/>
    <col min="14441" max="14543" width="9.85546875" style="56"/>
    <col min="14544" max="14544" width="20.5703125" style="56" customWidth="1"/>
    <col min="14545" max="14545" width="22.7109375" style="56" customWidth="1"/>
    <col min="14546" max="14546" width="19.140625" style="56" customWidth="1"/>
    <col min="14547" max="14548" width="17.140625" style="56" customWidth="1"/>
    <col min="14549" max="14549" width="19.5703125" style="56" customWidth="1"/>
    <col min="14550" max="14551" width="16.28515625" style="56" customWidth="1"/>
    <col min="14552" max="14552" width="12" style="56" customWidth="1"/>
    <col min="14553" max="14553" width="13.42578125" style="56" customWidth="1"/>
    <col min="14554" max="14558" width="15.42578125" style="56" customWidth="1"/>
    <col min="14559" max="14562" width="14.5703125" style="56" customWidth="1"/>
    <col min="14563" max="14563" width="15" style="56" customWidth="1"/>
    <col min="14564" max="14564" width="14.5703125" style="56" customWidth="1"/>
    <col min="14565" max="14577" width="14.140625" style="56" customWidth="1"/>
    <col min="14578" max="14578" width="17.5703125" style="56" customWidth="1"/>
    <col min="14579" max="14579" width="13.140625" style="56" customWidth="1"/>
    <col min="14580" max="14580" width="14.28515625" style="56" customWidth="1"/>
    <col min="14581" max="14584" width="13.140625" style="56" customWidth="1"/>
    <col min="14585" max="14585" width="13.85546875" style="56" customWidth="1"/>
    <col min="14586" max="14621" width="15.140625" style="56" customWidth="1"/>
    <col min="14622" max="14633" width="13.140625" style="56" customWidth="1"/>
    <col min="14634" max="14634" width="18.28515625" style="56" customWidth="1"/>
    <col min="14635" max="14635" width="15.85546875" style="56" customWidth="1"/>
    <col min="14636" max="14637" width="16.140625" style="56" customWidth="1"/>
    <col min="14638" max="14639" width="16.28515625" style="56" customWidth="1"/>
    <col min="14640" max="14640" width="17.7109375" style="56" customWidth="1"/>
    <col min="14641" max="14641" width="16.28515625" style="56" customWidth="1"/>
    <col min="14642" max="14642" width="18.42578125" style="56" customWidth="1"/>
    <col min="14643" max="14643" width="19.140625" style="56" customWidth="1"/>
    <col min="14644" max="14644" width="18.28515625" style="56" customWidth="1"/>
    <col min="14645" max="14646" width="16.7109375" style="56" customWidth="1"/>
    <col min="14647" max="14650" width="13.140625" style="56" customWidth="1"/>
    <col min="14651" max="14651" width="18.42578125" style="56" customWidth="1"/>
    <col min="14652" max="14652" width="13.140625" style="56" customWidth="1"/>
    <col min="14653" max="14653" width="14.42578125" style="56" customWidth="1"/>
    <col min="14654" max="14654" width="16.28515625" style="56" customWidth="1"/>
    <col min="14655" max="14658" width="14.42578125" style="56" customWidth="1"/>
    <col min="14659" max="14660" width="13.140625" style="56" customWidth="1"/>
    <col min="14661" max="14661" width="15.5703125" style="56" customWidth="1"/>
    <col min="14662" max="14662" width="13.140625" style="56" customWidth="1"/>
    <col min="14663" max="14664" width="14.140625" style="56" customWidth="1"/>
    <col min="14665" max="14665" width="17.7109375" style="56" customWidth="1"/>
    <col min="14666" max="14667" width="13.140625" style="56" customWidth="1"/>
    <col min="14668" max="14668" width="17.140625" style="56" customWidth="1"/>
    <col min="14669" max="14669" width="13.140625" style="56" customWidth="1"/>
    <col min="14670" max="14670" width="14.140625" style="56" customWidth="1"/>
    <col min="14671" max="14671" width="13.140625" style="56" customWidth="1"/>
    <col min="14672" max="14673" width="12.42578125" style="56" customWidth="1"/>
    <col min="14674" max="14674" width="12.140625" style="56" customWidth="1"/>
    <col min="14675" max="14675" width="12.42578125" style="56" customWidth="1"/>
    <col min="14676" max="14676" width="12.140625" style="56" customWidth="1"/>
    <col min="14677" max="14678" width="16.140625" style="56" customWidth="1"/>
    <col min="14679" max="14679" width="16.85546875" style="56" customWidth="1"/>
    <col min="14680" max="14680" width="17.28515625" style="56" customWidth="1"/>
    <col min="14681" max="14681" width="17.42578125" style="56" customWidth="1"/>
    <col min="14682" max="14682" width="16.140625" style="56" customWidth="1"/>
    <col min="14683" max="14683" width="15.5703125" style="56" customWidth="1"/>
    <col min="14684" max="14684" width="17.85546875" style="56" customWidth="1"/>
    <col min="14685" max="14685" width="17.42578125" style="56" customWidth="1"/>
    <col min="14686" max="14686" width="17.28515625" style="56" customWidth="1"/>
    <col min="14687" max="14687" width="17" style="56" customWidth="1"/>
    <col min="14688" max="14688" width="15.5703125" style="56" customWidth="1"/>
    <col min="14689" max="14689" width="16.85546875" style="56" customWidth="1"/>
    <col min="14690" max="14690" width="16.7109375" style="56" customWidth="1"/>
    <col min="14691" max="14691" width="16.28515625" style="56" customWidth="1"/>
    <col min="14692" max="14692" width="17" style="56" customWidth="1"/>
    <col min="14693" max="14693" width="17.85546875" style="56" customWidth="1"/>
    <col min="14694" max="14694" width="17" style="56" customWidth="1"/>
    <col min="14695" max="14695" width="16.42578125" style="56" customWidth="1"/>
    <col min="14696" max="14696" width="16.140625" style="56" customWidth="1"/>
    <col min="14697" max="14799" width="9.85546875" style="56"/>
    <col min="14800" max="14800" width="20.5703125" style="56" customWidth="1"/>
    <col min="14801" max="14801" width="22.7109375" style="56" customWidth="1"/>
    <col min="14802" max="14802" width="19.140625" style="56" customWidth="1"/>
    <col min="14803" max="14804" width="17.140625" style="56" customWidth="1"/>
    <col min="14805" max="14805" width="19.5703125" style="56" customWidth="1"/>
    <col min="14806" max="14807" width="16.28515625" style="56" customWidth="1"/>
    <col min="14808" max="14808" width="12" style="56" customWidth="1"/>
    <col min="14809" max="14809" width="13.42578125" style="56" customWidth="1"/>
    <col min="14810" max="14814" width="15.42578125" style="56" customWidth="1"/>
    <col min="14815" max="14818" width="14.5703125" style="56" customWidth="1"/>
    <col min="14819" max="14819" width="15" style="56" customWidth="1"/>
    <col min="14820" max="14820" width="14.5703125" style="56" customWidth="1"/>
    <col min="14821" max="14833" width="14.140625" style="56" customWidth="1"/>
    <col min="14834" max="14834" width="17.5703125" style="56" customWidth="1"/>
    <col min="14835" max="14835" width="13.140625" style="56" customWidth="1"/>
    <col min="14836" max="14836" width="14.28515625" style="56" customWidth="1"/>
    <col min="14837" max="14840" width="13.140625" style="56" customWidth="1"/>
    <col min="14841" max="14841" width="13.85546875" style="56" customWidth="1"/>
    <col min="14842" max="14877" width="15.140625" style="56" customWidth="1"/>
    <col min="14878" max="14889" width="13.140625" style="56" customWidth="1"/>
    <col min="14890" max="14890" width="18.28515625" style="56" customWidth="1"/>
    <col min="14891" max="14891" width="15.85546875" style="56" customWidth="1"/>
    <col min="14892" max="14893" width="16.140625" style="56" customWidth="1"/>
    <col min="14894" max="14895" width="16.28515625" style="56" customWidth="1"/>
    <col min="14896" max="14896" width="17.7109375" style="56" customWidth="1"/>
    <col min="14897" max="14897" width="16.28515625" style="56" customWidth="1"/>
    <col min="14898" max="14898" width="18.42578125" style="56" customWidth="1"/>
    <col min="14899" max="14899" width="19.140625" style="56" customWidth="1"/>
    <col min="14900" max="14900" width="18.28515625" style="56" customWidth="1"/>
    <col min="14901" max="14902" width="16.7109375" style="56" customWidth="1"/>
    <col min="14903" max="14906" width="13.140625" style="56" customWidth="1"/>
    <col min="14907" max="14907" width="18.42578125" style="56" customWidth="1"/>
    <col min="14908" max="14908" width="13.140625" style="56" customWidth="1"/>
    <col min="14909" max="14909" width="14.42578125" style="56" customWidth="1"/>
    <col min="14910" max="14910" width="16.28515625" style="56" customWidth="1"/>
    <col min="14911" max="14914" width="14.42578125" style="56" customWidth="1"/>
    <col min="14915" max="14916" width="13.140625" style="56" customWidth="1"/>
    <col min="14917" max="14917" width="15.5703125" style="56" customWidth="1"/>
    <col min="14918" max="14918" width="13.140625" style="56" customWidth="1"/>
    <col min="14919" max="14920" width="14.140625" style="56" customWidth="1"/>
    <col min="14921" max="14921" width="17.7109375" style="56" customWidth="1"/>
    <col min="14922" max="14923" width="13.140625" style="56" customWidth="1"/>
    <col min="14924" max="14924" width="17.140625" style="56" customWidth="1"/>
    <col min="14925" max="14925" width="13.140625" style="56" customWidth="1"/>
    <col min="14926" max="14926" width="14.140625" style="56" customWidth="1"/>
    <col min="14927" max="14927" width="13.140625" style="56" customWidth="1"/>
    <col min="14928" max="14929" width="12.42578125" style="56" customWidth="1"/>
    <col min="14930" max="14930" width="12.140625" style="56" customWidth="1"/>
    <col min="14931" max="14931" width="12.42578125" style="56" customWidth="1"/>
    <col min="14932" max="14932" width="12.140625" style="56" customWidth="1"/>
    <col min="14933" max="14934" width="16.140625" style="56" customWidth="1"/>
    <col min="14935" max="14935" width="16.85546875" style="56" customWidth="1"/>
    <col min="14936" max="14936" width="17.28515625" style="56" customWidth="1"/>
    <col min="14937" max="14937" width="17.42578125" style="56" customWidth="1"/>
    <col min="14938" max="14938" width="16.140625" style="56" customWidth="1"/>
    <col min="14939" max="14939" width="15.5703125" style="56" customWidth="1"/>
    <col min="14940" max="14940" width="17.85546875" style="56" customWidth="1"/>
    <col min="14941" max="14941" width="17.42578125" style="56" customWidth="1"/>
    <col min="14942" max="14942" width="17.28515625" style="56" customWidth="1"/>
    <col min="14943" max="14943" width="17" style="56" customWidth="1"/>
    <col min="14944" max="14944" width="15.5703125" style="56" customWidth="1"/>
    <col min="14945" max="14945" width="16.85546875" style="56" customWidth="1"/>
    <col min="14946" max="14946" width="16.7109375" style="56" customWidth="1"/>
    <col min="14947" max="14947" width="16.28515625" style="56" customWidth="1"/>
    <col min="14948" max="14948" width="17" style="56" customWidth="1"/>
    <col min="14949" max="14949" width="17.85546875" style="56" customWidth="1"/>
    <col min="14950" max="14950" width="17" style="56" customWidth="1"/>
    <col min="14951" max="14951" width="16.42578125" style="56" customWidth="1"/>
    <col min="14952" max="14952" width="16.140625" style="56" customWidth="1"/>
    <col min="14953" max="15055" width="9.85546875" style="56"/>
    <col min="15056" max="15056" width="20.5703125" style="56" customWidth="1"/>
    <col min="15057" max="15057" width="22.7109375" style="56" customWidth="1"/>
    <col min="15058" max="15058" width="19.140625" style="56" customWidth="1"/>
    <col min="15059" max="15060" width="17.140625" style="56" customWidth="1"/>
    <col min="15061" max="15061" width="19.5703125" style="56" customWidth="1"/>
    <col min="15062" max="15063" width="16.28515625" style="56" customWidth="1"/>
    <col min="15064" max="15064" width="12" style="56" customWidth="1"/>
    <col min="15065" max="15065" width="13.42578125" style="56" customWidth="1"/>
    <col min="15066" max="15070" width="15.42578125" style="56" customWidth="1"/>
    <col min="15071" max="15074" width="14.5703125" style="56" customWidth="1"/>
    <col min="15075" max="15075" width="15" style="56" customWidth="1"/>
    <col min="15076" max="15076" width="14.5703125" style="56" customWidth="1"/>
    <col min="15077" max="15089" width="14.140625" style="56" customWidth="1"/>
    <col min="15090" max="15090" width="17.5703125" style="56" customWidth="1"/>
    <col min="15091" max="15091" width="13.140625" style="56" customWidth="1"/>
    <col min="15092" max="15092" width="14.28515625" style="56" customWidth="1"/>
    <col min="15093" max="15096" width="13.140625" style="56" customWidth="1"/>
    <col min="15097" max="15097" width="13.85546875" style="56" customWidth="1"/>
    <col min="15098" max="15133" width="15.140625" style="56" customWidth="1"/>
    <col min="15134" max="15145" width="13.140625" style="56" customWidth="1"/>
    <col min="15146" max="15146" width="18.28515625" style="56" customWidth="1"/>
    <col min="15147" max="15147" width="15.85546875" style="56" customWidth="1"/>
    <col min="15148" max="15149" width="16.140625" style="56" customWidth="1"/>
    <col min="15150" max="15151" width="16.28515625" style="56" customWidth="1"/>
    <col min="15152" max="15152" width="17.7109375" style="56" customWidth="1"/>
    <col min="15153" max="15153" width="16.28515625" style="56" customWidth="1"/>
    <col min="15154" max="15154" width="18.42578125" style="56" customWidth="1"/>
    <col min="15155" max="15155" width="19.140625" style="56" customWidth="1"/>
    <col min="15156" max="15156" width="18.28515625" style="56" customWidth="1"/>
    <col min="15157" max="15158" width="16.7109375" style="56" customWidth="1"/>
    <col min="15159" max="15162" width="13.140625" style="56" customWidth="1"/>
    <col min="15163" max="15163" width="18.42578125" style="56" customWidth="1"/>
    <col min="15164" max="15164" width="13.140625" style="56" customWidth="1"/>
    <col min="15165" max="15165" width="14.42578125" style="56" customWidth="1"/>
    <col min="15166" max="15166" width="16.28515625" style="56" customWidth="1"/>
    <col min="15167" max="15170" width="14.42578125" style="56" customWidth="1"/>
    <col min="15171" max="15172" width="13.140625" style="56" customWidth="1"/>
    <col min="15173" max="15173" width="15.5703125" style="56" customWidth="1"/>
    <col min="15174" max="15174" width="13.140625" style="56" customWidth="1"/>
    <col min="15175" max="15176" width="14.140625" style="56" customWidth="1"/>
    <col min="15177" max="15177" width="17.7109375" style="56" customWidth="1"/>
    <col min="15178" max="15179" width="13.140625" style="56" customWidth="1"/>
    <col min="15180" max="15180" width="17.140625" style="56" customWidth="1"/>
    <col min="15181" max="15181" width="13.140625" style="56" customWidth="1"/>
    <col min="15182" max="15182" width="14.140625" style="56" customWidth="1"/>
    <col min="15183" max="15183" width="13.140625" style="56" customWidth="1"/>
    <col min="15184" max="15185" width="12.42578125" style="56" customWidth="1"/>
    <col min="15186" max="15186" width="12.140625" style="56" customWidth="1"/>
    <col min="15187" max="15187" width="12.42578125" style="56" customWidth="1"/>
    <col min="15188" max="15188" width="12.140625" style="56" customWidth="1"/>
    <col min="15189" max="15190" width="16.140625" style="56" customWidth="1"/>
    <col min="15191" max="15191" width="16.85546875" style="56" customWidth="1"/>
    <col min="15192" max="15192" width="17.28515625" style="56" customWidth="1"/>
    <col min="15193" max="15193" width="17.42578125" style="56" customWidth="1"/>
    <col min="15194" max="15194" width="16.140625" style="56" customWidth="1"/>
    <col min="15195" max="15195" width="15.5703125" style="56" customWidth="1"/>
    <col min="15196" max="15196" width="17.85546875" style="56" customWidth="1"/>
    <col min="15197" max="15197" width="17.42578125" style="56" customWidth="1"/>
    <col min="15198" max="15198" width="17.28515625" style="56" customWidth="1"/>
    <col min="15199" max="15199" width="17" style="56" customWidth="1"/>
    <col min="15200" max="15200" width="15.5703125" style="56" customWidth="1"/>
    <col min="15201" max="15201" width="16.85546875" style="56" customWidth="1"/>
    <col min="15202" max="15202" width="16.7109375" style="56" customWidth="1"/>
    <col min="15203" max="15203" width="16.28515625" style="56" customWidth="1"/>
    <col min="15204" max="15204" width="17" style="56" customWidth="1"/>
    <col min="15205" max="15205" width="17.85546875" style="56" customWidth="1"/>
    <col min="15206" max="15206" width="17" style="56" customWidth="1"/>
    <col min="15207" max="15207" width="16.42578125" style="56" customWidth="1"/>
    <col min="15208" max="15208" width="16.140625" style="56" customWidth="1"/>
    <col min="15209" max="15311" width="9.85546875" style="56"/>
    <col min="15312" max="15312" width="20.5703125" style="56" customWidth="1"/>
    <col min="15313" max="15313" width="22.7109375" style="56" customWidth="1"/>
    <col min="15314" max="15314" width="19.140625" style="56" customWidth="1"/>
    <col min="15315" max="15316" width="17.140625" style="56" customWidth="1"/>
    <col min="15317" max="15317" width="19.5703125" style="56" customWidth="1"/>
    <col min="15318" max="15319" width="16.28515625" style="56" customWidth="1"/>
    <col min="15320" max="15320" width="12" style="56" customWidth="1"/>
    <col min="15321" max="15321" width="13.42578125" style="56" customWidth="1"/>
    <col min="15322" max="15326" width="15.42578125" style="56" customWidth="1"/>
    <col min="15327" max="15330" width="14.5703125" style="56" customWidth="1"/>
    <col min="15331" max="15331" width="15" style="56" customWidth="1"/>
    <col min="15332" max="15332" width="14.5703125" style="56" customWidth="1"/>
    <col min="15333" max="15345" width="14.140625" style="56" customWidth="1"/>
    <col min="15346" max="15346" width="17.5703125" style="56" customWidth="1"/>
    <col min="15347" max="15347" width="13.140625" style="56" customWidth="1"/>
    <col min="15348" max="15348" width="14.28515625" style="56" customWidth="1"/>
    <col min="15349" max="15352" width="13.140625" style="56" customWidth="1"/>
    <col min="15353" max="15353" width="13.85546875" style="56" customWidth="1"/>
    <col min="15354" max="15389" width="15.140625" style="56" customWidth="1"/>
    <col min="15390" max="15401" width="13.140625" style="56" customWidth="1"/>
    <col min="15402" max="15402" width="18.28515625" style="56" customWidth="1"/>
    <col min="15403" max="15403" width="15.85546875" style="56" customWidth="1"/>
    <col min="15404" max="15405" width="16.140625" style="56" customWidth="1"/>
    <col min="15406" max="15407" width="16.28515625" style="56" customWidth="1"/>
    <col min="15408" max="15408" width="17.7109375" style="56" customWidth="1"/>
    <col min="15409" max="15409" width="16.28515625" style="56" customWidth="1"/>
    <col min="15410" max="15410" width="18.42578125" style="56" customWidth="1"/>
    <col min="15411" max="15411" width="19.140625" style="56" customWidth="1"/>
    <col min="15412" max="15412" width="18.28515625" style="56" customWidth="1"/>
    <col min="15413" max="15414" width="16.7109375" style="56" customWidth="1"/>
    <col min="15415" max="15418" width="13.140625" style="56" customWidth="1"/>
    <col min="15419" max="15419" width="18.42578125" style="56" customWidth="1"/>
    <col min="15420" max="15420" width="13.140625" style="56" customWidth="1"/>
    <col min="15421" max="15421" width="14.42578125" style="56" customWidth="1"/>
    <col min="15422" max="15422" width="16.28515625" style="56" customWidth="1"/>
    <col min="15423" max="15426" width="14.42578125" style="56" customWidth="1"/>
    <col min="15427" max="15428" width="13.140625" style="56" customWidth="1"/>
    <col min="15429" max="15429" width="15.5703125" style="56" customWidth="1"/>
    <col min="15430" max="15430" width="13.140625" style="56" customWidth="1"/>
    <col min="15431" max="15432" width="14.140625" style="56" customWidth="1"/>
    <col min="15433" max="15433" width="17.7109375" style="56" customWidth="1"/>
    <col min="15434" max="15435" width="13.140625" style="56" customWidth="1"/>
    <col min="15436" max="15436" width="17.140625" style="56" customWidth="1"/>
    <col min="15437" max="15437" width="13.140625" style="56" customWidth="1"/>
    <col min="15438" max="15438" width="14.140625" style="56" customWidth="1"/>
    <col min="15439" max="15439" width="13.140625" style="56" customWidth="1"/>
    <col min="15440" max="15441" width="12.42578125" style="56" customWidth="1"/>
    <col min="15442" max="15442" width="12.140625" style="56" customWidth="1"/>
    <col min="15443" max="15443" width="12.42578125" style="56" customWidth="1"/>
    <col min="15444" max="15444" width="12.140625" style="56" customWidth="1"/>
    <col min="15445" max="15446" width="16.140625" style="56" customWidth="1"/>
    <col min="15447" max="15447" width="16.85546875" style="56" customWidth="1"/>
    <col min="15448" max="15448" width="17.28515625" style="56" customWidth="1"/>
    <col min="15449" max="15449" width="17.42578125" style="56" customWidth="1"/>
    <col min="15450" max="15450" width="16.140625" style="56" customWidth="1"/>
    <col min="15451" max="15451" width="15.5703125" style="56" customWidth="1"/>
    <col min="15452" max="15452" width="17.85546875" style="56" customWidth="1"/>
    <col min="15453" max="15453" width="17.42578125" style="56" customWidth="1"/>
    <col min="15454" max="15454" width="17.28515625" style="56" customWidth="1"/>
    <col min="15455" max="15455" width="17" style="56" customWidth="1"/>
    <col min="15456" max="15456" width="15.5703125" style="56" customWidth="1"/>
    <col min="15457" max="15457" width="16.85546875" style="56" customWidth="1"/>
    <col min="15458" max="15458" width="16.7109375" style="56" customWidth="1"/>
    <col min="15459" max="15459" width="16.28515625" style="56" customWidth="1"/>
    <col min="15460" max="15460" width="17" style="56" customWidth="1"/>
    <col min="15461" max="15461" width="17.85546875" style="56" customWidth="1"/>
    <col min="15462" max="15462" width="17" style="56" customWidth="1"/>
    <col min="15463" max="15463" width="16.42578125" style="56" customWidth="1"/>
    <col min="15464" max="15464" width="16.140625" style="56" customWidth="1"/>
    <col min="15465" max="15567" width="9.85546875" style="56"/>
    <col min="15568" max="15568" width="20.5703125" style="56" customWidth="1"/>
    <col min="15569" max="15569" width="22.7109375" style="56" customWidth="1"/>
    <col min="15570" max="15570" width="19.140625" style="56" customWidth="1"/>
    <col min="15571" max="15572" width="17.140625" style="56" customWidth="1"/>
    <col min="15573" max="15573" width="19.5703125" style="56" customWidth="1"/>
    <col min="15574" max="15575" width="16.28515625" style="56" customWidth="1"/>
    <col min="15576" max="15576" width="12" style="56" customWidth="1"/>
    <col min="15577" max="15577" width="13.42578125" style="56" customWidth="1"/>
    <col min="15578" max="15582" width="15.42578125" style="56" customWidth="1"/>
    <col min="15583" max="15586" width="14.5703125" style="56" customWidth="1"/>
    <col min="15587" max="15587" width="15" style="56" customWidth="1"/>
    <col min="15588" max="15588" width="14.5703125" style="56" customWidth="1"/>
    <col min="15589" max="15601" width="14.140625" style="56" customWidth="1"/>
    <col min="15602" max="15602" width="17.5703125" style="56" customWidth="1"/>
    <col min="15603" max="15603" width="13.140625" style="56" customWidth="1"/>
    <col min="15604" max="15604" width="14.28515625" style="56" customWidth="1"/>
    <col min="15605" max="15608" width="13.140625" style="56" customWidth="1"/>
    <col min="15609" max="15609" width="13.85546875" style="56" customWidth="1"/>
    <col min="15610" max="15645" width="15.140625" style="56" customWidth="1"/>
    <col min="15646" max="15657" width="13.140625" style="56" customWidth="1"/>
    <col min="15658" max="15658" width="18.28515625" style="56" customWidth="1"/>
    <col min="15659" max="15659" width="15.85546875" style="56" customWidth="1"/>
    <col min="15660" max="15661" width="16.140625" style="56" customWidth="1"/>
    <col min="15662" max="15663" width="16.28515625" style="56" customWidth="1"/>
    <col min="15664" max="15664" width="17.7109375" style="56" customWidth="1"/>
    <col min="15665" max="15665" width="16.28515625" style="56" customWidth="1"/>
    <col min="15666" max="15666" width="18.42578125" style="56" customWidth="1"/>
    <col min="15667" max="15667" width="19.140625" style="56" customWidth="1"/>
    <col min="15668" max="15668" width="18.28515625" style="56" customWidth="1"/>
    <col min="15669" max="15670" width="16.7109375" style="56" customWidth="1"/>
    <col min="15671" max="15674" width="13.140625" style="56" customWidth="1"/>
    <col min="15675" max="15675" width="18.42578125" style="56" customWidth="1"/>
    <col min="15676" max="15676" width="13.140625" style="56" customWidth="1"/>
    <col min="15677" max="15677" width="14.42578125" style="56" customWidth="1"/>
    <col min="15678" max="15678" width="16.28515625" style="56" customWidth="1"/>
    <col min="15679" max="15682" width="14.42578125" style="56" customWidth="1"/>
    <col min="15683" max="15684" width="13.140625" style="56" customWidth="1"/>
    <col min="15685" max="15685" width="15.5703125" style="56" customWidth="1"/>
    <col min="15686" max="15686" width="13.140625" style="56" customWidth="1"/>
    <col min="15687" max="15688" width="14.140625" style="56" customWidth="1"/>
    <col min="15689" max="15689" width="17.7109375" style="56" customWidth="1"/>
    <col min="15690" max="15691" width="13.140625" style="56" customWidth="1"/>
    <col min="15692" max="15692" width="17.140625" style="56" customWidth="1"/>
    <col min="15693" max="15693" width="13.140625" style="56" customWidth="1"/>
    <col min="15694" max="15694" width="14.140625" style="56" customWidth="1"/>
    <col min="15695" max="15695" width="13.140625" style="56" customWidth="1"/>
    <col min="15696" max="15697" width="12.42578125" style="56" customWidth="1"/>
    <col min="15698" max="15698" width="12.140625" style="56" customWidth="1"/>
    <col min="15699" max="15699" width="12.42578125" style="56" customWidth="1"/>
    <col min="15700" max="15700" width="12.140625" style="56" customWidth="1"/>
    <col min="15701" max="15702" width="16.140625" style="56" customWidth="1"/>
    <col min="15703" max="15703" width="16.85546875" style="56" customWidth="1"/>
    <col min="15704" max="15704" width="17.28515625" style="56" customWidth="1"/>
    <col min="15705" max="15705" width="17.42578125" style="56" customWidth="1"/>
    <col min="15706" max="15706" width="16.140625" style="56" customWidth="1"/>
    <col min="15707" max="15707" width="15.5703125" style="56" customWidth="1"/>
    <col min="15708" max="15708" width="17.85546875" style="56" customWidth="1"/>
    <col min="15709" max="15709" width="17.42578125" style="56" customWidth="1"/>
    <col min="15710" max="15710" width="17.28515625" style="56" customWidth="1"/>
    <col min="15711" max="15711" width="17" style="56" customWidth="1"/>
    <col min="15712" max="15712" width="15.5703125" style="56" customWidth="1"/>
    <col min="15713" max="15713" width="16.85546875" style="56" customWidth="1"/>
    <col min="15714" max="15714" width="16.7109375" style="56" customWidth="1"/>
    <col min="15715" max="15715" width="16.28515625" style="56" customWidth="1"/>
    <col min="15716" max="15716" width="17" style="56" customWidth="1"/>
    <col min="15717" max="15717" width="17.85546875" style="56" customWidth="1"/>
    <col min="15718" max="15718" width="17" style="56" customWidth="1"/>
    <col min="15719" max="15719" width="16.42578125" style="56" customWidth="1"/>
    <col min="15720" max="15720" width="16.140625" style="56" customWidth="1"/>
    <col min="15721" max="15823" width="9.85546875" style="56"/>
    <col min="15824" max="15824" width="20.5703125" style="56" customWidth="1"/>
    <col min="15825" max="15825" width="22.7109375" style="56" customWidth="1"/>
    <col min="15826" max="15826" width="19.140625" style="56" customWidth="1"/>
    <col min="15827" max="15828" width="17.140625" style="56" customWidth="1"/>
    <col min="15829" max="15829" width="19.5703125" style="56" customWidth="1"/>
    <col min="15830" max="15831" width="16.28515625" style="56" customWidth="1"/>
    <col min="15832" max="15832" width="12" style="56" customWidth="1"/>
    <col min="15833" max="15833" width="13.42578125" style="56" customWidth="1"/>
    <col min="15834" max="15838" width="15.42578125" style="56" customWidth="1"/>
    <col min="15839" max="15842" width="14.5703125" style="56" customWidth="1"/>
    <col min="15843" max="15843" width="15" style="56" customWidth="1"/>
    <col min="15844" max="15844" width="14.5703125" style="56" customWidth="1"/>
    <col min="15845" max="15857" width="14.140625" style="56" customWidth="1"/>
    <col min="15858" max="15858" width="17.5703125" style="56" customWidth="1"/>
    <col min="15859" max="15859" width="13.140625" style="56" customWidth="1"/>
    <col min="15860" max="15860" width="14.28515625" style="56" customWidth="1"/>
    <col min="15861" max="15864" width="13.140625" style="56" customWidth="1"/>
    <col min="15865" max="15865" width="13.85546875" style="56" customWidth="1"/>
    <col min="15866" max="15901" width="15.140625" style="56" customWidth="1"/>
    <col min="15902" max="15913" width="13.140625" style="56" customWidth="1"/>
    <col min="15914" max="15914" width="18.28515625" style="56" customWidth="1"/>
    <col min="15915" max="15915" width="15.85546875" style="56" customWidth="1"/>
    <col min="15916" max="15917" width="16.140625" style="56" customWidth="1"/>
    <col min="15918" max="15919" width="16.28515625" style="56" customWidth="1"/>
    <col min="15920" max="15920" width="17.7109375" style="56" customWidth="1"/>
    <col min="15921" max="15921" width="16.28515625" style="56" customWidth="1"/>
    <col min="15922" max="15922" width="18.42578125" style="56" customWidth="1"/>
    <col min="15923" max="15923" width="19.140625" style="56" customWidth="1"/>
    <col min="15924" max="15924" width="18.28515625" style="56" customWidth="1"/>
    <col min="15925" max="15926" width="16.7109375" style="56" customWidth="1"/>
    <col min="15927" max="15930" width="13.140625" style="56" customWidth="1"/>
    <col min="15931" max="15931" width="18.42578125" style="56" customWidth="1"/>
    <col min="15932" max="15932" width="13.140625" style="56" customWidth="1"/>
    <col min="15933" max="15933" width="14.42578125" style="56" customWidth="1"/>
    <col min="15934" max="15934" width="16.28515625" style="56" customWidth="1"/>
    <col min="15935" max="15938" width="14.42578125" style="56" customWidth="1"/>
    <col min="15939" max="15940" width="13.140625" style="56" customWidth="1"/>
    <col min="15941" max="15941" width="15.5703125" style="56" customWidth="1"/>
    <col min="15942" max="15942" width="13.140625" style="56" customWidth="1"/>
    <col min="15943" max="15944" width="14.140625" style="56" customWidth="1"/>
    <col min="15945" max="15945" width="17.7109375" style="56" customWidth="1"/>
    <col min="15946" max="15947" width="13.140625" style="56" customWidth="1"/>
    <col min="15948" max="15948" width="17.140625" style="56" customWidth="1"/>
    <col min="15949" max="15949" width="13.140625" style="56" customWidth="1"/>
    <col min="15950" max="15950" width="14.140625" style="56" customWidth="1"/>
    <col min="15951" max="15951" width="13.140625" style="56" customWidth="1"/>
    <col min="15952" max="15953" width="12.42578125" style="56" customWidth="1"/>
    <col min="15954" max="15954" width="12.140625" style="56" customWidth="1"/>
    <col min="15955" max="15955" width="12.42578125" style="56" customWidth="1"/>
    <col min="15956" max="15956" width="12.140625" style="56" customWidth="1"/>
    <col min="15957" max="15958" width="16.140625" style="56" customWidth="1"/>
    <col min="15959" max="15959" width="16.85546875" style="56" customWidth="1"/>
    <col min="15960" max="15960" width="17.28515625" style="56" customWidth="1"/>
    <col min="15961" max="15961" width="17.42578125" style="56" customWidth="1"/>
    <col min="15962" max="15962" width="16.140625" style="56" customWidth="1"/>
    <col min="15963" max="15963" width="15.5703125" style="56" customWidth="1"/>
    <col min="15964" max="15964" width="17.85546875" style="56" customWidth="1"/>
    <col min="15965" max="15965" width="17.42578125" style="56" customWidth="1"/>
    <col min="15966" max="15966" width="17.28515625" style="56" customWidth="1"/>
    <col min="15967" max="15967" width="17" style="56" customWidth="1"/>
    <col min="15968" max="15968" width="15.5703125" style="56" customWidth="1"/>
    <col min="15969" max="15969" width="16.85546875" style="56" customWidth="1"/>
    <col min="15970" max="15970" width="16.7109375" style="56" customWidth="1"/>
    <col min="15971" max="15971" width="16.28515625" style="56" customWidth="1"/>
    <col min="15972" max="15972" width="17" style="56" customWidth="1"/>
    <col min="15973" max="15973" width="17.85546875" style="56" customWidth="1"/>
    <col min="15974" max="15974" width="17" style="56" customWidth="1"/>
    <col min="15975" max="15975" width="16.42578125" style="56" customWidth="1"/>
    <col min="15976" max="15976" width="16.140625" style="56" customWidth="1"/>
    <col min="15977" max="16079" width="9.85546875" style="56"/>
    <col min="16080" max="16080" width="20.5703125" style="56" customWidth="1"/>
    <col min="16081" max="16081" width="22.7109375" style="56" customWidth="1"/>
    <col min="16082" max="16082" width="19.140625" style="56" customWidth="1"/>
    <col min="16083" max="16084" width="17.140625" style="56" customWidth="1"/>
    <col min="16085" max="16085" width="19.5703125" style="56" customWidth="1"/>
    <col min="16086" max="16087" width="16.28515625" style="56" customWidth="1"/>
    <col min="16088" max="16088" width="12" style="56" customWidth="1"/>
    <col min="16089" max="16089" width="13.42578125" style="56" customWidth="1"/>
    <col min="16090" max="16094" width="15.42578125" style="56" customWidth="1"/>
    <col min="16095" max="16098" width="14.5703125" style="56" customWidth="1"/>
    <col min="16099" max="16099" width="15" style="56" customWidth="1"/>
    <col min="16100" max="16100" width="14.5703125" style="56" customWidth="1"/>
    <col min="16101" max="16113" width="14.140625" style="56" customWidth="1"/>
    <col min="16114" max="16114" width="17.5703125" style="56" customWidth="1"/>
    <col min="16115" max="16115" width="13.140625" style="56" customWidth="1"/>
    <col min="16116" max="16116" width="14.28515625" style="56" customWidth="1"/>
    <col min="16117" max="16120" width="13.140625" style="56" customWidth="1"/>
    <col min="16121" max="16121" width="13.85546875" style="56" customWidth="1"/>
    <col min="16122" max="16157" width="15.140625" style="56" customWidth="1"/>
    <col min="16158" max="16169" width="13.140625" style="56" customWidth="1"/>
    <col min="16170" max="16170" width="18.28515625" style="56" customWidth="1"/>
    <col min="16171" max="16171" width="15.85546875" style="56" customWidth="1"/>
    <col min="16172" max="16173" width="16.140625" style="56" customWidth="1"/>
    <col min="16174" max="16175" width="16.28515625" style="56" customWidth="1"/>
    <col min="16176" max="16176" width="17.7109375" style="56" customWidth="1"/>
    <col min="16177" max="16177" width="16.28515625" style="56" customWidth="1"/>
    <col min="16178" max="16178" width="18.42578125" style="56" customWidth="1"/>
    <col min="16179" max="16179" width="19.140625" style="56" customWidth="1"/>
    <col min="16180" max="16180" width="18.28515625" style="56" customWidth="1"/>
    <col min="16181" max="16182" width="16.7109375" style="56" customWidth="1"/>
    <col min="16183" max="16186" width="13.140625" style="56" customWidth="1"/>
    <col min="16187" max="16187" width="18.42578125" style="56" customWidth="1"/>
    <col min="16188" max="16188" width="13.140625" style="56" customWidth="1"/>
    <col min="16189" max="16189" width="14.42578125" style="56" customWidth="1"/>
    <col min="16190" max="16190" width="16.28515625" style="56" customWidth="1"/>
    <col min="16191" max="16194" width="14.42578125" style="56" customWidth="1"/>
    <col min="16195" max="16196" width="13.140625" style="56" customWidth="1"/>
    <col min="16197" max="16197" width="15.5703125" style="56" customWidth="1"/>
    <col min="16198" max="16198" width="13.140625" style="56" customWidth="1"/>
    <col min="16199" max="16200" width="14.140625" style="56" customWidth="1"/>
    <col min="16201" max="16201" width="17.7109375" style="56" customWidth="1"/>
    <col min="16202" max="16203" width="13.140625" style="56" customWidth="1"/>
    <col min="16204" max="16204" width="17.140625" style="56" customWidth="1"/>
    <col min="16205" max="16205" width="13.140625" style="56" customWidth="1"/>
    <col min="16206" max="16206" width="14.140625" style="56" customWidth="1"/>
    <col min="16207" max="16207" width="13.140625" style="56" customWidth="1"/>
    <col min="16208" max="16209" width="12.42578125" style="56" customWidth="1"/>
    <col min="16210" max="16210" width="12.140625" style="56" customWidth="1"/>
    <col min="16211" max="16211" width="12.42578125" style="56" customWidth="1"/>
    <col min="16212" max="16212" width="12.140625" style="56" customWidth="1"/>
    <col min="16213" max="16214" width="16.140625" style="56" customWidth="1"/>
    <col min="16215" max="16215" width="16.85546875" style="56" customWidth="1"/>
    <col min="16216" max="16216" width="17.28515625" style="56" customWidth="1"/>
    <col min="16217" max="16217" width="17.42578125" style="56" customWidth="1"/>
    <col min="16218" max="16218" width="16.140625" style="56" customWidth="1"/>
    <col min="16219" max="16219" width="15.5703125" style="56" customWidth="1"/>
    <col min="16220" max="16220" width="17.85546875" style="56" customWidth="1"/>
    <col min="16221" max="16221" width="17.42578125" style="56" customWidth="1"/>
    <col min="16222" max="16222" width="17.28515625" style="56" customWidth="1"/>
    <col min="16223" max="16223" width="17" style="56" customWidth="1"/>
    <col min="16224" max="16224" width="15.5703125" style="56" customWidth="1"/>
    <col min="16225" max="16225" width="16.85546875" style="56" customWidth="1"/>
    <col min="16226" max="16226" width="16.7109375" style="56" customWidth="1"/>
    <col min="16227" max="16227" width="16.28515625" style="56" customWidth="1"/>
    <col min="16228" max="16228" width="17" style="56" customWidth="1"/>
    <col min="16229" max="16229" width="17.85546875" style="56" customWidth="1"/>
    <col min="16230" max="16230" width="17" style="56" customWidth="1"/>
    <col min="16231" max="16231" width="16.42578125" style="56" customWidth="1"/>
    <col min="16232" max="16232" width="16.140625" style="56" customWidth="1"/>
    <col min="16233" max="16384" width="9.85546875" style="56"/>
  </cols>
  <sheetData>
    <row r="1" spans="1:122" s="54" customFormat="1" ht="36" customHeight="1" x14ac:dyDescent="0.25">
      <c r="B1" s="121" t="s">
        <v>428</v>
      </c>
      <c r="C1" s="122"/>
      <c r="D1" s="122"/>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row>
    <row r="2" spans="1:122" s="54" customFormat="1" ht="17.25" customHeight="1" x14ac:dyDescent="0.2">
      <c r="B2" s="123" t="s">
        <v>0</v>
      </c>
      <c r="C2" s="94" t="s">
        <v>769</v>
      </c>
      <c r="D2" s="94"/>
      <c r="E2" s="94"/>
      <c r="F2" s="94"/>
      <c r="G2" s="9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5"/>
      <c r="AP2" s="25"/>
      <c r="AQ2" s="24"/>
      <c r="AR2" s="24"/>
      <c r="AS2" s="24"/>
      <c r="AT2" s="24"/>
      <c r="AU2" s="25"/>
      <c r="AV2" s="25"/>
      <c r="AW2" s="25"/>
      <c r="AX2" s="25"/>
      <c r="AY2" s="25"/>
      <c r="AZ2" s="25"/>
      <c r="BA2" s="25"/>
      <c r="BB2" s="25"/>
      <c r="BC2" s="25"/>
      <c r="BD2" s="24"/>
      <c r="BE2" s="24"/>
      <c r="BF2" s="24"/>
      <c r="BG2" s="24"/>
      <c r="BH2" s="24"/>
      <c r="BI2" s="26"/>
      <c r="BJ2" s="27"/>
      <c r="BK2" s="24"/>
      <c r="BL2" s="24"/>
      <c r="BM2" s="24"/>
      <c r="BN2" s="24"/>
      <c r="BO2" s="25"/>
      <c r="BP2" s="28"/>
      <c r="BQ2" s="29"/>
      <c r="BR2" s="29"/>
      <c r="BS2" s="24"/>
      <c r="BT2" s="24"/>
      <c r="BU2" s="24"/>
      <c r="BV2" s="24"/>
      <c r="BW2" s="25"/>
      <c r="BX2" s="28"/>
      <c r="BY2" s="29"/>
      <c r="BZ2" s="29"/>
      <c r="CA2" s="24"/>
      <c r="CB2" s="24"/>
      <c r="CC2" s="24"/>
      <c r="CD2" s="24"/>
      <c r="CE2" s="25"/>
      <c r="CF2" s="28"/>
      <c r="CG2" s="29"/>
      <c r="CH2" s="29"/>
      <c r="CI2" s="29"/>
      <c r="CJ2" s="30"/>
      <c r="CK2" s="24"/>
      <c r="CL2" s="24"/>
      <c r="CM2" s="26"/>
      <c r="CN2" s="24"/>
      <c r="CO2" s="24"/>
      <c r="CP2" s="26"/>
      <c r="CQ2" s="24"/>
      <c r="CR2" s="24"/>
      <c r="CS2" s="26"/>
      <c r="CT2" s="24"/>
      <c r="CU2" s="24"/>
      <c r="CV2" s="26"/>
      <c r="CW2" s="24"/>
      <c r="CX2" s="24"/>
      <c r="CY2" s="26"/>
      <c r="CZ2" s="24"/>
      <c r="DA2" s="26"/>
      <c r="DB2" s="30"/>
      <c r="DC2" s="3"/>
      <c r="DD2" s="3"/>
      <c r="DE2" s="3"/>
      <c r="DF2" s="3"/>
      <c r="DG2" s="3"/>
      <c r="DH2" s="3"/>
      <c r="DI2" s="3"/>
      <c r="DJ2" s="3"/>
      <c r="DK2" s="3"/>
      <c r="DL2" s="3"/>
      <c r="DM2" s="3"/>
      <c r="DN2" s="3"/>
      <c r="DO2" s="3"/>
      <c r="DP2" s="3"/>
      <c r="DQ2" s="3"/>
      <c r="DR2" s="3"/>
    </row>
    <row r="3" spans="1:122" s="54" customFormat="1" ht="15" customHeight="1" x14ac:dyDescent="0.2">
      <c r="B3" s="125" t="s">
        <v>1</v>
      </c>
      <c r="C3" s="29" t="s">
        <v>747</v>
      </c>
      <c r="D3" s="29"/>
      <c r="E3" s="29" t="s">
        <v>24</v>
      </c>
      <c r="F3" s="29" t="s">
        <v>702</v>
      </c>
      <c r="G3" s="29" t="s">
        <v>25</v>
      </c>
      <c r="H3" s="29" t="s">
        <v>456</v>
      </c>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31"/>
      <c r="BQ3" s="29"/>
      <c r="BR3" s="29"/>
      <c r="BS3" s="29"/>
      <c r="BT3" s="29"/>
      <c r="BU3" s="29"/>
      <c r="BV3" s="29"/>
      <c r="BW3" s="29"/>
      <c r="BX3" s="31"/>
      <c r="BY3" s="29"/>
      <c r="BZ3" s="29"/>
      <c r="CA3" s="29"/>
      <c r="CB3" s="29"/>
      <c r="CC3" s="29"/>
      <c r="CD3" s="29"/>
      <c r="CE3" s="29"/>
      <c r="CF3" s="31"/>
      <c r="CG3" s="29"/>
      <c r="CH3" s="29"/>
      <c r="CI3" s="29"/>
      <c r="CJ3" s="32"/>
      <c r="CK3" s="29"/>
      <c r="CL3" s="29"/>
      <c r="CM3" s="29"/>
      <c r="CN3" s="29"/>
      <c r="CO3" s="29"/>
      <c r="CP3" s="29"/>
      <c r="CQ3" s="29"/>
      <c r="CR3" s="29"/>
      <c r="CS3" s="29"/>
      <c r="CT3" s="29"/>
      <c r="CU3" s="29"/>
      <c r="CV3" s="29"/>
      <c r="CW3" s="29"/>
      <c r="CX3" s="29"/>
      <c r="CY3" s="29"/>
      <c r="CZ3" s="29"/>
      <c r="DA3" s="29"/>
      <c r="DB3" s="32"/>
      <c r="DC3" s="3"/>
      <c r="DD3" s="3"/>
      <c r="DE3" s="3"/>
      <c r="DF3" s="3"/>
      <c r="DG3" s="3"/>
      <c r="DH3" s="3"/>
      <c r="DI3" s="3"/>
      <c r="DJ3" s="3"/>
      <c r="DK3" s="3"/>
      <c r="DL3" s="3"/>
      <c r="DM3" s="3"/>
      <c r="DN3" s="3"/>
      <c r="DO3" s="3"/>
      <c r="DP3" s="3"/>
      <c r="DQ3" s="3"/>
      <c r="DR3" s="3"/>
    </row>
    <row r="4" spans="1:122" s="54" customFormat="1" ht="18" customHeight="1" x14ac:dyDescent="0.2">
      <c r="B4" s="126" t="s">
        <v>23</v>
      </c>
      <c r="C4" s="127"/>
      <c r="D4" s="127"/>
      <c r="E4" s="33"/>
      <c r="F4" s="33"/>
      <c r="G4" s="29"/>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29"/>
      <c r="BA4" s="33"/>
      <c r="BB4" s="33"/>
      <c r="BC4" s="33"/>
      <c r="BD4" s="33"/>
      <c r="BE4" s="33"/>
      <c r="BF4" s="33"/>
      <c r="BG4" s="33"/>
      <c r="BH4" s="33"/>
      <c r="BI4" s="33"/>
      <c r="BJ4" s="33"/>
      <c r="BK4" s="33"/>
      <c r="BL4" s="33"/>
      <c r="BM4" s="33"/>
      <c r="BN4" s="33"/>
      <c r="BO4" s="33"/>
      <c r="BP4" s="34"/>
      <c r="BQ4" s="33"/>
      <c r="BR4" s="33"/>
      <c r="BS4" s="33"/>
      <c r="BT4" s="33"/>
      <c r="BU4" s="33"/>
      <c r="BV4" s="33"/>
      <c r="BW4" s="33"/>
      <c r="BX4" s="34"/>
      <c r="BY4" s="33"/>
      <c r="BZ4" s="33"/>
      <c r="CA4" s="33"/>
      <c r="CB4" s="33"/>
      <c r="CC4" s="33"/>
      <c r="CD4" s="33"/>
      <c r="CE4" s="33"/>
      <c r="CF4" s="34"/>
      <c r="CG4" s="33"/>
      <c r="CH4" s="33"/>
      <c r="CI4" s="33"/>
      <c r="CJ4" s="35"/>
      <c r="CK4" s="33"/>
      <c r="CL4" s="33"/>
      <c r="CM4" s="33"/>
      <c r="CN4" s="33"/>
      <c r="CO4" s="33"/>
      <c r="CP4" s="33"/>
      <c r="CQ4" s="33"/>
      <c r="CR4" s="33"/>
      <c r="CS4" s="33"/>
      <c r="CT4" s="33"/>
      <c r="CU4" s="33"/>
      <c r="CV4" s="33"/>
      <c r="CW4" s="33"/>
      <c r="CX4" s="33"/>
      <c r="CY4" s="33"/>
      <c r="CZ4" s="33"/>
      <c r="DA4" s="33"/>
      <c r="DB4" s="35"/>
      <c r="DC4" s="3"/>
      <c r="DD4" s="3"/>
      <c r="DE4" s="3"/>
      <c r="DF4" s="3"/>
      <c r="DG4" s="3"/>
      <c r="DH4" s="3"/>
      <c r="DI4" s="3"/>
      <c r="DJ4" s="3"/>
      <c r="DK4" s="3"/>
      <c r="DL4" s="3"/>
      <c r="DM4" s="3"/>
      <c r="DN4" s="3"/>
      <c r="DO4" s="3"/>
      <c r="DP4" s="3"/>
      <c r="DQ4" s="3"/>
      <c r="DR4" s="3"/>
    </row>
    <row r="5" spans="1:122" s="55" customFormat="1" ht="12" customHeight="1" x14ac:dyDescent="0.2">
      <c r="B5" s="99"/>
      <c r="C5" s="99"/>
      <c r="D5" s="99"/>
      <c r="E5" s="91"/>
      <c r="F5" s="91"/>
      <c r="G5" s="221" t="s">
        <v>27</v>
      </c>
      <c r="H5" s="39" t="s">
        <v>325</v>
      </c>
      <c r="I5" s="39" t="s">
        <v>325</v>
      </c>
      <c r="J5" s="39" t="s">
        <v>325</v>
      </c>
      <c r="K5" s="39" t="s">
        <v>325</v>
      </c>
      <c r="L5" s="39" t="s">
        <v>325</v>
      </c>
      <c r="M5" s="39" t="s">
        <v>325</v>
      </c>
      <c r="N5" s="39" t="s">
        <v>325</v>
      </c>
      <c r="O5" s="39" t="s">
        <v>325</v>
      </c>
      <c r="P5" s="39" t="s">
        <v>325</v>
      </c>
      <c r="Q5" s="39" t="s">
        <v>325</v>
      </c>
      <c r="R5" s="39" t="s">
        <v>325</v>
      </c>
      <c r="S5" s="39" t="s">
        <v>325</v>
      </c>
      <c r="T5" s="39" t="s">
        <v>325</v>
      </c>
      <c r="U5" s="39" t="s">
        <v>325</v>
      </c>
      <c r="V5" s="39" t="s">
        <v>325</v>
      </c>
      <c r="W5" s="223" t="s">
        <v>26</v>
      </c>
      <c r="X5" s="39" t="s">
        <v>326</v>
      </c>
      <c r="Y5" s="39" t="s">
        <v>326</v>
      </c>
      <c r="Z5" s="39" t="s">
        <v>326</v>
      </c>
      <c r="AA5" s="39" t="s">
        <v>326</v>
      </c>
      <c r="AB5" s="39" t="s">
        <v>326</v>
      </c>
      <c r="AC5" s="39" t="s">
        <v>326</v>
      </c>
      <c r="AD5" s="39" t="s">
        <v>326</v>
      </c>
      <c r="AE5" s="39" t="s">
        <v>326</v>
      </c>
      <c r="AF5" s="39" t="s">
        <v>326</v>
      </c>
      <c r="AG5" s="39" t="s">
        <v>326</v>
      </c>
      <c r="AH5" s="39" t="s">
        <v>326</v>
      </c>
      <c r="AI5" s="39" t="s">
        <v>326</v>
      </c>
      <c r="AJ5" s="39" t="s">
        <v>326</v>
      </c>
      <c r="AK5" s="39" t="s">
        <v>326</v>
      </c>
      <c r="AL5" s="39" t="s">
        <v>326</v>
      </c>
      <c r="AM5" s="39" t="s">
        <v>326</v>
      </c>
      <c r="AN5" s="223" t="s">
        <v>318</v>
      </c>
      <c r="AO5" s="137" t="s">
        <v>327</v>
      </c>
      <c r="AP5" s="137" t="s">
        <v>327</v>
      </c>
      <c r="AQ5" s="137" t="s">
        <v>327</v>
      </c>
      <c r="AR5" s="137" t="s">
        <v>327</v>
      </c>
      <c r="AS5" s="137" t="s">
        <v>327</v>
      </c>
      <c r="AT5" s="137" t="s">
        <v>327</v>
      </c>
      <c r="AU5" s="39" t="s">
        <v>327</v>
      </c>
      <c r="AV5" s="39" t="s">
        <v>327</v>
      </c>
      <c r="AW5" s="223" t="s">
        <v>319</v>
      </c>
      <c r="AX5" s="137" t="s">
        <v>319</v>
      </c>
      <c r="AY5" s="137" t="s">
        <v>319</v>
      </c>
      <c r="AZ5" s="137" t="s">
        <v>319</v>
      </c>
      <c r="BA5" s="137" t="s">
        <v>319</v>
      </c>
      <c r="BB5" s="137" t="s">
        <v>319</v>
      </c>
      <c r="BC5" s="137" t="s">
        <v>319</v>
      </c>
      <c r="BD5" s="223" t="s">
        <v>320</v>
      </c>
      <c r="BE5" s="137" t="s">
        <v>320</v>
      </c>
      <c r="BF5" s="137" t="s">
        <v>320</v>
      </c>
      <c r="BG5" s="137" t="s">
        <v>320</v>
      </c>
      <c r="BH5" s="137" t="s">
        <v>320</v>
      </c>
      <c r="BI5" s="137" t="s">
        <v>320</v>
      </c>
      <c r="BJ5" s="137" t="s">
        <v>320</v>
      </c>
      <c r="BK5" s="223" t="s">
        <v>321</v>
      </c>
      <c r="BL5" s="137" t="s">
        <v>321</v>
      </c>
      <c r="BM5" s="137" t="s">
        <v>321</v>
      </c>
      <c r="BN5" s="137" t="s">
        <v>321</v>
      </c>
      <c r="BO5" s="137" t="s">
        <v>321</v>
      </c>
      <c r="BP5" s="137" t="s">
        <v>321</v>
      </c>
      <c r="BQ5" s="137" t="s">
        <v>321</v>
      </c>
      <c r="BR5" s="138" t="s">
        <v>321</v>
      </c>
      <c r="BS5" s="221" t="s">
        <v>323</v>
      </c>
      <c r="BT5" s="137" t="s">
        <v>323</v>
      </c>
      <c r="BU5" s="137" t="s">
        <v>323</v>
      </c>
      <c r="BV5" s="137" t="s">
        <v>323</v>
      </c>
      <c r="BW5" s="137" t="s">
        <v>323</v>
      </c>
      <c r="BX5" s="137" t="s">
        <v>323</v>
      </c>
      <c r="BY5" s="137" t="s">
        <v>323</v>
      </c>
      <c r="BZ5" s="138" t="s">
        <v>323</v>
      </c>
      <c r="CA5" s="221" t="s">
        <v>324</v>
      </c>
      <c r="CB5" s="137" t="s">
        <v>324</v>
      </c>
      <c r="CC5" s="137" t="s">
        <v>324</v>
      </c>
      <c r="CD5" s="137" t="s">
        <v>324</v>
      </c>
      <c r="CE5" s="137" t="s">
        <v>324</v>
      </c>
      <c r="CF5" s="137" t="s">
        <v>324</v>
      </c>
      <c r="CG5" s="137" t="s">
        <v>324</v>
      </c>
      <c r="CH5" s="138" t="s">
        <v>324</v>
      </c>
      <c r="CI5" s="136"/>
      <c r="CJ5" s="132"/>
      <c r="CK5" s="131"/>
      <c r="CL5" s="131"/>
      <c r="CM5" s="131"/>
      <c r="CN5" s="131"/>
      <c r="CO5" s="131"/>
      <c r="CP5" s="131"/>
      <c r="CQ5" s="131"/>
      <c r="CR5" s="131"/>
      <c r="CS5" s="131"/>
      <c r="CT5" s="131"/>
      <c r="CU5" s="131"/>
      <c r="CV5" s="131"/>
      <c r="CW5" s="131"/>
      <c r="CX5" s="131"/>
      <c r="CY5" s="131"/>
      <c r="CZ5" s="131"/>
      <c r="DA5" s="131"/>
      <c r="DB5" s="132"/>
      <c r="DC5" s="4"/>
      <c r="DD5" s="4"/>
      <c r="DE5" s="4"/>
      <c r="DF5" s="4"/>
      <c r="DG5" s="4"/>
      <c r="DH5" s="4"/>
      <c r="DI5" s="4"/>
      <c r="DJ5" s="4"/>
      <c r="DK5" s="4"/>
      <c r="DL5" s="4"/>
      <c r="DM5" s="4"/>
      <c r="DN5" s="4"/>
      <c r="DO5" s="4"/>
      <c r="DP5" s="4"/>
      <c r="DQ5" s="4"/>
      <c r="DR5" s="4"/>
    </row>
    <row r="6" spans="1:122" s="54" customFormat="1" ht="60" x14ac:dyDescent="0.2">
      <c r="B6" s="100" t="s">
        <v>57</v>
      </c>
      <c r="C6" s="100" t="s">
        <v>314</v>
      </c>
      <c r="D6" s="100" t="s">
        <v>42</v>
      </c>
      <c r="E6" s="97" t="s">
        <v>41</v>
      </c>
      <c r="F6" s="97" t="s">
        <v>4</v>
      </c>
      <c r="G6" s="222"/>
      <c r="H6" s="92" t="s">
        <v>28</v>
      </c>
      <c r="I6" s="92" t="s">
        <v>29</v>
      </c>
      <c r="J6" s="92" t="s">
        <v>30</v>
      </c>
      <c r="K6" s="92" t="s">
        <v>33</v>
      </c>
      <c r="L6" s="92" t="s">
        <v>31</v>
      </c>
      <c r="M6" s="92" t="s">
        <v>32</v>
      </c>
      <c r="N6" s="92" t="s">
        <v>2</v>
      </c>
      <c r="O6" s="36" t="s">
        <v>35</v>
      </c>
      <c r="P6" s="36" t="s">
        <v>315</v>
      </c>
      <c r="Q6" s="36" t="s">
        <v>36</v>
      </c>
      <c r="R6" s="36" t="s">
        <v>316</v>
      </c>
      <c r="S6" s="36" t="s">
        <v>37</v>
      </c>
      <c r="T6" s="92" t="s">
        <v>317</v>
      </c>
      <c r="U6" s="38" t="s">
        <v>301</v>
      </c>
      <c r="V6" s="38" t="s">
        <v>332</v>
      </c>
      <c r="W6" s="224"/>
      <c r="X6" s="92" t="s">
        <v>28</v>
      </c>
      <c r="Y6" s="92" t="s">
        <v>29</v>
      </c>
      <c r="Z6" s="92" t="s">
        <v>30</v>
      </c>
      <c r="AA6" s="92" t="s">
        <v>33</v>
      </c>
      <c r="AB6" s="92" t="s">
        <v>31</v>
      </c>
      <c r="AC6" s="92" t="s">
        <v>32</v>
      </c>
      <c r="AD6" s="92" t="s">
        <v>3</v>
      </c>
      <c r="AE6" s="92" t="s">
        <v>2</v>
      </c>
      <c r="AF6" s="36" t="s">
        <v>35</v>
      </c>
      <c r="AG6" s="36" t="s">
        <v>315</v>
      </c>
      <c r="AH6" s="36" t="s">
        <v>36</v>
      </c>
      <c r="AI6" s="36" t="s">
        <v>316</v>
      </c>
      <c r="AJ6" s="36" t="s">
        <v>37</v>
      </c>
      <c r="AK6" s="92" t="s">
        <v>317</v>
      </c>
      <c r="AL6" s="38" t="s">
        <v>301</v>
      </c>
      <c r="AM6" s="38" t="s">
        <v>332</v>
      </c>
      <c r="AN6" s="224"/>
      <c r="AO6" s="36" t="s">
        <v>35</v>
      </c>
      <c r="AP6" s="36" t="s">
        <v>315</v>
      </c>
      <c r="AQ6" s="36" t="s">
        <v>36</v>
      </c>
      <c r="AR6" s="36" t="s">
        <v>316</v>
      </c>
      <c r="AS6" s="36" t="s">
        <v>37</v>
      </c>
      <c r="AT6" s="36" t="s">
        <v>317</v>
      </c>
      <c r="AU6" s="38" t="s">
        <v>301</v>
      </c>
      <c r="AV6" s="38" t="s">
        <v>332</v>
      </c>
      <c r="AW6" s="224"/>
      <c r="AX6" s="36" t="s">
        <v>35</v>
      </c>
      <c r="AY6" s="36" t="s">
        <v>315</v>
      </c>
      <c r="AZ6" s="36" t="s">
        <v>36</v>
      </c>
      <c r="BA6" s="36" t="s">
        <v>316</v>
      </c>
      <c r="BB6" s="36" t="s">
        <v>37</v>
      </c>
      <c r="BC6" s="36" t="s">
        <v>317</v>
      </c>
      <c r="BD6" s="224"/>
      <c r="BE6" s="36" t="s">
        <v>35</v>
      </c>
      <c r="BF6" s="36" t="s">
        <v>315</v>
      </c>
      <c r="BG6" s="36" t="s">
        <v>36</v>
      </c>
      <c r="BH6" s="36" t="s">
        <v>316</v>
      </c>
      <c r="BI6" s="36" t="s">
        <v>37</v>
      </c>
      <c r="BJ6" s="36" t="s">
        <v>317</v>
      </c>
      <c r="BK6" s="224"/>
      <c r="BL6" s="45" t="s">
        <v>35</v>
      </c>
      <c r="BM6" s="45" t="s">
        <v>315</v>
      </c>
      <c r="BN6" s="45" t="s">
        <v>36</v>
      </c>
      <c r="BO6" s="45" t="s">
        <v>316</v>
      </c>
      <c r="BP6" s="45" t="s">
        <v>37</v>
      </c>
      <c r="BQ6" s="45" t="s">
        <v>317</v>
      </c>
      <c r="BR6" s="40" t="s">
        <v>322</v>
      </c>
      <c r="BS6" s="222"/>
      <c r="BT6" s="45" t="s">
        <v>35</v>
      </c>
      <c r="BU6" s="45" t="s">
        <v>315</v>
      </c>
      <c r="BV6" s="45" t="s">
        <v>36</v>
      </c>
      <c r="BW6" s="45" t="s">
        <v>316</v>
      </c>
      <c r="BX6" s="45" t="s">
        <v>37</v>
      </c>
      <c r="BY6" s="45" t="s">
        <v>317</v>
      </c>
      <c r="BZ6" s="40" t="s">
        <v>322</v>
      </c>
      <c r="CA6" s="222"/>
      <c r="CB6" s="45" t="s">
        <v>35</v>
      </c>
      <c r="CC6" s="45" t="s">
        <v>315</v>
      </c>
      <c r="CD6" s="45" t="s">
        <v>36</v>
      </c>
      <c r="CE6" s="45" t="s">
        <v>316</v>
      </c>
      <c r="CF6" s="45" t="s">
        <v>37</v>
      </c>
      <c r="CG6" s="45" t="s">
        <v>317</v>
      </c>
      <c r="CH6" s="40" t="s">
        <v>322</v>
      </c>
      <c r="CI6" s="40"/>
      <c r="CJ6" s="37"/>
      <c r="CK6" s="36" t="s">
        <v>5</v>
      </c>
      <c r="CL6" s="36" t="s">
        <v>6</v>
      </c>
      <c r="CM6" s="36" t="s">
        <v>7</v>
      </c>
      <c r="CN6" s="36" t="s">
        <v>8</v>
      </c>
      <c r="CO6" s="36" t="s">
        <v>9</v>
      </c>
      <c r="CP6" s="36" t="s">
        <v>10</v>
      </c>
      <c r="CQ6" s="36" t="s">
        <v>11</v>
      </c>
      <c r="CR6" s="36" t="s">
        <v>12</v>
      </c>
      <c r="CS6" s="36" t="s">
        <v>13</v>
      </c>
      <c r="CT6" s="36" t="s">
        <v>14</v>
      </c>
      <c r="CU6" s="36" t="s">
        <v>15</v>
      </c>
      <c r="CV6" s="36" t="s">
        <v>16</v>
      </c>
      <c r="CW6" s="36" t="s">
        <v>17</v>
      </c>
      <c r="CX6" s="36" t="s">
        <v>18</v>
      </c>
      <c r="CY6" s="36" t="s">
        <v>19</v>
      </c>
      <c r="CZ6" s="36" t="s">
        <v>20</v>
      </c>
      <c r="DA6" s="36" t="s">
        <v>21</v>
      </c>
      <c r="DB6" s="36" t="s">
        <v>22</v>
      </c>
      <c r="DC6" s="3" t="s">
        <v>353</v>
      </c>
      <c r="DD6" s="53" t="s">
        <v>338</v>
      </c>
      <c r="DE6" s="3" t="s">
        <v>339</v>
      </c>
      <c r="DF6" s="3" t="s">
        <v>340</v>
      </c>
      <c r="DG6" s="3"/>
      <c r="DH6" s="3"/>
      <c r="DI6" s="3"/>
      <c r="DJ6" s="3"/>
      <c r="DK6" s="3"/>
      <c r="DL6" s="3"/>
      <c r="DM6" s="3"/>
      <c r="DN6" s="3"/>
      <c r="DO6" s="3"/>
      <c r="DP6" s="3"/>
      <c r="DQ6" s="3"/>
      <c r="DR6" s="3"/>
    </row>
    <row r="7" spans="1:122" x14ac:dyDescent="0.2">
      <c r="A7" s="56" t="str">
        <f>+INDEX('analyse trimestrielle'!$A$8:$A$1048576,MATCH('IFT précédent'!B7,'analyse trimestrielle'!$A$8:$A$1048576,0))</f>
        <v>SWAP_258</v>
      </c>
      <c r="B7" s="1" t="str">
        <f>+'IRS - INF – XCCY précédent'!A7</f>
        <v>SWAP_258</v>
      </c>
      <c r="C7" s="1" t="str">
        <f>+'IRS - INF – XCCY précédent'!B7</f>
        <v>Real Rate Swap</v>
      </c>
      <c r="D7" s="1" t="str">
        <f>+'IRS - INF – XCCY précédent'!C7</f>
        <v>Real Rate Swap</v>
      </c>
      <c r="E7" s="1">
        <f>+'IRS - INF – XCCY précédent'!D7</f>
        <v>69125832</v>
      </c>
      <c r="F7" s="1" t="str">
        <f>+'IRS - INF – XCCY précédent'!E7</f>
        <v>NOMURA</v>
      </c>
      <c r="G7" s="1">
        <f>+'IRS - INF – XCCY précédent'!F7</f>
        <v>0</v>
      </c>
      <c r="H7" s="1" t="str">
        <f>+'IRS - INF – XCCY précédent'!G7</f>
        <v>Inflation</v>
      </c>
      <c r="I7" s="1" t="str">
        <f>+'IRS - INF – XCCY précédent'!H7</f>
        <v>Payer</v>
      </c>
      <c r="J7" s="1" t="str">
        <f>+'IRS - INF – XCCY précédent'!I7</f>
        <v>HICPxT</v>
      </c>
      <c r="K7" s="1">
        <f>+'IRS - INF – XCCY précédent'!J7</f>
        <v>0</v>
      </c>
      <c r="L7" s="1" t="str">
        <f>+'IRS - INF – XCCY précédent'!K7</f>
        <v>03/15/2011</v>
      </c>
      <c r="M7" s="1" t="str">
        <f>+'IRS - INF – XCCY précédent'!L7</f>
        <v>09/15/2026</v>
      </c>
      <c r="N7" s="1">
        <f>+'IRS - INF – XCCY précédent'!M7</f>
        <v>10000000</v>
      </c>
      <c r="O7" s="1">
        <f>+'IRS - INF – XCCY précédent'!N7</f>
        <v>-14023419.939999999</v>
      </c>
      <c r="P7" s="1">
        <f>+'IRS - INF – XCCY précédent'!O7</f>
        <v>-1.4023419939999999</v>
      </c>
      <c r="Q7" s="1">
        <f>+'IRS - INF – XCCY précédent'!P7</f>
        <v>-14021149.449999999</v>
      </c>
      <c r="R7" s="1">
        <f>+'IRS - INF – XCCY précédent'!Q7</f>
        <v>-1.4021149449999999</v>
      </c>
      <c r="S7" s="1">
        <f>+'IRS - INF – XCCY précédent'!R7</f>
        <v>-2270.4899999999998</v>
      </c>
      <c r="T7" s="1">
        <f>+'IRS - INF – XCCY précédent'!S7</f>
        <v>-2.2704899999999997E-4</v>
      </c>
      <c r="U7" s="1">
        <f>+'IRS - INF – XCCY précédent'!T7</f>
        <v>-1.4643660906681775</v>
      </c>
      <c r="V7" s="1">
        <f>+'IRS - INF – XCCY précédent'!U7</f>
        <v>2053.8523406082763</v>
      </c>
      <c r="W7" s="1">
        <f>+'IRS - INF – XCCY précédent'!V7</f>
        <v>0</v>
      </c>
      <c r="X7" s="1" t="str">
        <f>+'IRS - INF – XCCY précédent'!W7</f>
        <v>Fixed</v>
      </c>
      <c r="Y7" s="1" t="str">
        <f>+'IRS - INF – XCCY précédent'!X7</f>
        <v>Receiver</v>
      </c>
      <c r="Z7" s="1">
        <f>+'IRS - INF – XCCY précédent'!Y7</f>
        <v>5.46</v>
      </c>
      <c r="AA7" s="1">
        <f>+'IRS - INF – XCCY précédent'!Z7</f>
        <v>0</v>
      </c>
      <c r="AB7" s="1" t="str">
        <f>+'IRS - INF – XCCY précédent'!AA7</f>
        <v>03/15/2011</v>
      </c>
      <c r="AC7" s="1" t="str">
        <f>+'IRS - INF – XCCY précédent'!AB7</f>
        <v>09/15/2026</v>
      </c>
      <c r="AD7" s="1">
        <f>+'IRS - INF – XCCY précédent'!AC7</f>
        <v>0</v>
      </c>
      <c r="AE7" s="1">
        <f>+'IRS - INF – XCCY précédent'!AD7</f>
        <v>10000000</v>
      </c>
      <c r="AF7" s="1">
        <f>+'IRS - INF – XCCY précédent'!AE7</f>
        <v>10479427.09</v>
      </c>
      <c r="AG7" s="1">
        <f>+'IRS - INF – XCCY précédent'!AF7</f>
        <v>1.047942709</v>
      </c>
      <c r="AH7" s="1">
        <f>+'IRS - INF – XCCY précédent'!AG7</f>
        <v>10476393.75</v>
      </c>
      <c r="AI7" s="1">
        <f>+'IRS - INF – XCCY précédent'!AH7</f>
        <v>1.0476393749999999</v>
      </c>
      <c r="AJ7" s="1">
        <f>+'IRS - INF – XCCY précédent'!AI7</f>
        <v>3033.33</v>
      </c>
      <c r="AK7" s="1">
        <f>+'IRS - INF – XCCY précédent'!AJ7</f>
        <v>3.0333299999999998E-4</v>
      </c>
      <c r="AL7" s="1">
        <f>+'IRS - INF – XCCY précédent'!AK7</f>
        <v>1.4481573602793891</v>
      </c>
      <c r="AM7" s="1">
        <f>+'IRS - INF – XCCY précédent'!AL7</f>
        <v>-1518.0357747238129</v>
      </c>
      <c r="AN7" s="1">
        <f>+'IRS - INF – XCCY précédent'!AM7</f>
        <v>0</v>
      </c>
      <c r="AO7" s="1">
        <f>+'IRS - INF – XCCY précédent'!AN7</f>
        <v>-3543992.85</v>
      </c>
      <c r="AP7" s="1">
        <f>+'IRS - INF – XCCY précédent'!AO7</f>
        <v>-0.35439928500000001</v>
      </c>
      <c r="AQ7" s="1">
        <f>+'IRS - INF – XCCY précédent'!AP7</f>
        <v>-3544755.69</v>
      </c>
      <c r="AR7" s="1">
        <f>+'IRS - INF – XCCY précédent'!AQ7</f>
        <v>-0.35447556899999999</v>
      </c>
      <c r="AS7" s="1">
        <f>+'IRS - INF – XCCY précédent'!AR7</f>
        <v>762.84</v>
      </c>
      <c r="AT7" s="1">
        <f>+'IRS - INF – XCCY précédent'!AS7</f>
        <v>7.6284000000000003E-5</v>
      </c>
      <c r="AU7" s="1">
        <f>+'IRS - INF – XCCY précédent'!AT7</f>
        <v>-0.39564080968979021</v>
      </c>
      <c r="AV7" s="1">
        <f>+'IRS - INF – XCCY précédent'!AU7</f>
        <v>535.81656588446344</v>
      </c>
      <c r="AW7" s="1">
        <f>+'IRS - INF – XCCY précédent'!AV7</f>
        <v>0</v>
      </c>
      <c r="AX7" s="1">
        <f>+'IRS - INF – XCCY précédent'!AW7</f>
        <v>-3547451.0453499998</v>
      </c>
      <c r="AY7" s="1">
        <f>+'IRS - INF – XCCY précédent'!AX7</f>
        <v>-0.35474510453499997</v>
      </c>
      <c r="AZ7" s="1">
        <f>+'IRS - INF – XCCY précédent'!AY7</f>
        <v>0</v>
      </c>
      <c r="BA7" s="1">
        <f>+'IRS - INF – XCCY précédent'!AZ7</f>
        <v>0</v>
      </c>
      <c r="BB7" s="1">
        <f>+'IRS - INF – XCCY précédent'!BA7</f>
        <v>0</v>
      </c>
      <c r="BC7" s="1">
        <f>+'IRS - INF – XCCY précédent'!BB7</f>
        <v>0</v>
      </c>
      <c r="BD7" s="1">
        <f>+'IRS - INF – XCCY précédent'!BC7</f>
        <v>0</v>
      </c>
      <c r="BE7" s="1">
        <f>+'IRS - INF – XCCY précédent'!BD7</f>
        <v>-3543005.4929010179</v>
      </c>
      <c r="BF7" s="1">
        <f>+'IRS - INF – XCCY précédent'!BE7</f>
        <v>-0.3543005492901018</v>
      </c>
      <c r="BG7" s="1">
        <f>+'IRS - INF – XCCY précédent'!BF7</f>
        <v>-3544487.7113506235</v>
      </c>
      <c r="BH7" s="1">
        <f>+'IRS - INF – XCCY précédent'!BG7</f>
        <v>-0.35444877113506235</v>
      </c>
      <c r="BI7" s="1">
        <f>+'IRS - INF – XCCY précédent'!BH7</f>
        <v>1482.2184496055788</v>
      </c>
      <c r="BJ7" s="1">
        <f>+'IRS - INF – XCCY précédent'!BI7</f>
        <v>1.4822184496055788E-4</v>
      </c>
      <c r="BK7" s="1">
        <f>+'IRS - INF – XCCY précédent'!BJ7</f>
        <v>0</v>
      </c>
      <c r="BL7" s="1">
        <f>+'IRS - INF – XCCY précédent'!BK7</f>
        <v>3458.1953499997035</v>
      </c>
      <c r="BM7" s="1">
        <f>+'IRS - INF – XCCY précédent'!BL7</f>
        <v>3.4581953499995821E-4</v>
      </c>
      <c r="BN7" s="1">
        <f>+'IRS - INF – XCCY précédent'!BM7</f>
        <v>0</v>
      </c>
      <c r="BO7" s="1">
        <f>+'IRS - INF – XCCY précédent'!BN7</f>
        <v>0</v>
      </c>
      <c r="BP7" s="1">
        <f>+'IRS - INF – XCCY précédent'!BO7</f>
        <v>0</v>
      </c>
      <c r="BQ7" s="1">
        <f>+'IRS - INF – XCCY précédent'!BP7</f>
        <v>0</v>
      </c>
      <c r="BR7" s="1" t="str">
        <f>+'IRS - INF – XCCY précédent'!BQ7</f>
        <v/>
      </c>
      <c r="BS7" s="1">
        <f>+'IRS - INF – XCCY précédent'!BR7</f>
        <v>0</v>
      </c>
      <c r="BT7" s="1">
        <f>+'IRS - INF – XCCY précédent'!BS7</f>
        <v>-987.35709898220375</v>
      </c>
      <c r="BU7" s="1">
        <f>+'IRS - INF – XCCY précédent'!BT7</f>
        <v>-9.8735709898212232E-5</v>
      </c>
      <c r="BV7" s="1">
        <f>+'IRS - INF – XCCY précédent'!BU7</f>
        <v>-267.97864937642589</v>
      </c>
      <c r="BW7" s="1">
        <f>+'IRS - INF – XCCY précédent'!BV7</f>
        <v>-2.6797864937644356E-5</v>
      </c>
      <c r="BX7" s="1">
        <f>+'IRS - INF – XCCY précédent'!BW7</f>
        <v>-719.37844960557879</v>
      </c>
      <c r="BY7" s="1">
        <f>+'IRS - INF – XCCY précédent'!BX7</f>
        <v>-7.1937844960557874E-5</v>
      </c>
      <c r="BZ7" s="1">
        <f>+'IRS - INF – XCCY précédent'!BY7</f>
        <v>0</v>
      </c>
      <c r="CA7" s="1">
        <f>+'IRS - INF – XCCY précédent'!BZ7</f>
        <v>0</v>
      </c>
      <c r="CB7" s="1">
        <f>+'IRS - INF – XCCY précédent'!CA7</f>
        <v>3543005.4929010179</v>
      </c>
      <c r="CC7" s="1">
        <f>+'IRS - INF – XCCY précédent'!CB7</f>
        <v>0.3543005492901018</v>
      </c>
      <c r="CD7" s="1">
        <f>+'IRS - INF – XCCY précédent'!CC7</f>
        <v>0</v>
      </c>
      <c r="CE7" s="1">
        <f>+'IRS - INF – XCCY précédent'!CD7</f>
        <v>0</v>
      </c>
      <c r="CF7" s="1">
        <f>+'IRS - INF – XCCY précédent'!CE7</f>
        <v>0</v>
      </c>
      <c r="CG7" s="1">
        <f>+'IRS - INF – XCCY précédent'!CF7</f>
        <v>0</v>
      </c>
      <c r="CH7" s="1">
        <f>+'IRS - INF – XCCY précédent'!CG7</f>
        <v>0</v>
      </c>
      <c r="CI7" s="1">
        <f>+'IRS - INF – XCCY précédent'!CH7</f>
        <v>0</v>
      </c>
      <c r="CJ7" s="1">
        <f>+'IRS - INF – XCCY précédent'!CI7</f>
        <v>0</v>
      </c>
      <c r="CK7" s="1" t="str">
        <f>+'IRS - INF – XCCY précédent'!CJ7</f>
        <v>DImension</v>
      </c>
      <c r="CL7" s="1" t="str">
        <f>+'IRS - INF – XCCY précédent'!CK7</f>
        <v>INFS10000067</v>
      </c>
      <c r="CM7" s="1" t="str">
        <f>+'IRS - INF – XCCY précédent'!CL7</f>
        <v>UTI</v>
      </c>
      <c r="CN7" s="1" t="str">
        <f>+'IRS - INF – XCCY précédent'!CM7</f>
        <v>10302640771TTRMLB9EJ8HA109PCM5ET7J8VFU0XS9</v>
      </c>
      <c r="CO7" s="1" t="str">
        <f>+'IRS - INF – XCCY précédent'!CN7</f>
        <v>LEI</v>
      </c>
      <c r="CP7" s="1" t="str">
        <f>+'IRS - INF – XCCY précédent'!CO7</f>
        <v>DGQCSV2PHVF7I2743539</v>
      </c>
      <c r="CQ7" s="1" t="str">
        <f>+'IRS - INF – XCCY précédent'!CP7</f>
        <v>Code DI</v>
      </c>
      <c r="CR7" s="1" t="str">
        <f>+'IRS - INF – XCCY précédent'!CQ7</f>
        <v>SWAP_258</v>
      </c>
      <c r="CS7" s="1">
        <f>+'IRS - INF – XCCY précédent'!CR7</f>
        <v>0</v>
      </c>
      <c r="CT7" s="1">
        <f>+'IRS - INF – XCCY précédent'!CS7</f>
        <v>0</v>
      </c>
      <c r="CU7" s="1">
        <f>+'IRS - INF – XCCY précédent'!CT7</f>
        <v>0</v>
      </c>
      <c r="CV7" s="1">
        <f>+'IRS - INF – XCCY précédent'!CU7</f>
        <v>0</v>
      </c>
      <c r="CW7" s="1">
        <f>+'IRS - INF – XCCY précédent'!CV7</f>
        <v>0</v>
      </c>
      <c r="CX7" s="1">
        <f>+'IRS - INF – XCCY précédent'!CW7</f>
        <v>0</v>
      </c>
      <c r="CY7" s="1">
        <f>+'IRS - INF – XCCY précédent'!CX7</f>
        <v>0</v>
      </c>
      <c r="CZ7" s="1">
        <f>+'IRS - INF – XCCY précédent'!CY7</f>
        <v>0</v>
      </c>
      <c r="DA7" s="1">
        <f>+'IRS - INF – XCCY précédent'!CZ7</f>
        <v>0</v>
      </c>
      <c r="DB7" s="1">
        <f>+'IRS - INF – XCCY précédent'!DA7</f>
        <v>0</v>
      </c>
      <c r="DC7" s="1">
        <f>+'IRS - INF – XCCY précédent'!DB7</f>
        <v>0</v>
      </c>
      <c r="DD7" s="1">
        <f>+'IRS - INF – XCCY précédent'!DC7</f>
        <v>46280</v>
      </c>
      <c r="DE7" s="1">
        <f>+'IRS - INF – XCCY précédent'!DD7</f>
        <v>1.4583333333333333</v>
      </c>
      <c r="DF7" s="1">
        <f>+'IRS - INF – XCCY précédent'!DE7</f>
        <v>9.0000000000000011E-3</v>
      </c>
    </row>
    <row r="8" spans="1:122" x14ac:dyDescent="0.2">
      <c r="A8" s="56" t="str">
        <f>+INDEX('analyse trimestrielle'!$A$8:$A$1048576,MATCH('IFT précédent'!B8,'analyse trimestrielle'!$A$8:$A$1048576,0))</f>
        <v>SWAP_240</v>
      </c>
      <c r="B8" s="1" t="str">
        <f>+'IRS - INF – XCCY précédent'!A9</f>
        <v>SWAP_240</v>
      </c>
      <c r="C8" s="1" t="str">
        <f>+'IRS - INF – XCCY précédent'!B9</f>
        <v>Real Rate Swap</v>
      </c>
      <c r="D8" s="1" t="str">
        <f>+'IRS - INF – XCCY précédent'!C9</f>
        <v>Real Rate Swap</v>
      </c>
      <c r="E8" s="1">
        <f>+'IRS - INF – XCCY précédent'!D9</f>
        <v>69047849</v>
      </c>
      <c r="F8" s="1" t="str">
        <f>+'IRS - INF – XCCY précédent'!E9</f>
        <v>MORGAN STANLEY</v>
      </c>
      <c r="G8" s="1">
        <f>+'IRS - INF – XCCY précédent'!F9</f>
        <v>0</v>
      </c>
      <c r="H8" s="1" t="str">
        <f>+'IRS - INF – XCCY précédent'!G9</f>
        <v>Inflation</v>
      </c>
      <c r="I8" s="1" t="str">
        <f>+'IRS - INF – XCCY précédent'!H9</f>
        <v>Payer</v>
      </c>
      <c r="J8" s="1" t="str">
        <f>+'IRS - INF – XCCY précédent'!I9</f>
        <v>HICPxT</v>
      </c>
      <c r="K8" s="1">
        <f>+'IRS - INF – XCCY précédent'!J9</f>
        <v>0</v>
      </c>
      <c r="L8" s="1" t="str">
        <f>+'IRS - INF – XCCY précédent'!K9</f>
        <v>08/26/2010</v>
      </c>
      <c r="M8" s="1" t="str">
        <f>+'IRS - INF – XCCY précédent'!L9</f>
        <v>07/26/2027</v>
      </c>
      <c r="N8" s="1">
        <f>+'IRS - INF – XCCY précédent'!M9</f>
        <v>30000000</v>
      </c>
      <c r="O8" s="1">
        <f>+'IRS - INF – XCCY précédent'!N9</f>
        <v>-42572079.859999999</v>
      </c>
      <c r="P8" s="1">
        <f>+'IRS - INF – XCCY précédent'!O9</f>
        <v>-1.4190693286666667</v>
      </c>
      <c r="Q8" s="1">
        <f>+'IRS - INF – XCCY précédent'!P9</f>
        <v>-42088324.780000001</v>
      </c>
      <c r="R8" s="1">
        <f>+'IRS - INF – XCCY précédent'!Q9</f>
        <v>-1.4029441593333334</v>
      </c>
      <c r="S8" s="1">
        <f>+'IRS - INF – XCCY précédent'!R9</f>
        <v>-483755.08</v>
      </c>
      <c r="T8" s="1">
        <f>+'IRS - INF – XCCY précédent'!S9</f>
        <v>-1.6125169333333335E-2</v>
      </c>
      <c r="U8" s="1">
        <f>+'IRS - INF – XCCY précédent'!T9</f>
        <v>-2.2826072891637894</v>
      </c>
      <c r="V8" s="1">
        <f>+'IRS - INF – XCCY précédent'!U9</f>
        <v>9771.0951139710851</v>
      </c>
      <c r="W8" s="1">
        <f>+'IRS - INF – XCCY précédent'!V9</f>
        <v>0</v>
      </c>
      <c r="X8" s="1" t="str">
        <f>+'IRS - INF – XCCY précédent'!W9</f>
        <v>Fixed</v>
      </c>
      <c r="Y8" s="1" t="str">
        <f>+'IRS - INF – XCCY précédent'!X9</f>
        <v>Receiver</v>
      </c>
      <c r="Z8" s="1">
        <f>+'IRS - INF – XCCY précédent'!Y9</f>
        <v>3.2075</v>
      </c>
      <c r="AA8" s="1">
        <f>+'IRS - INF – XCCY précédent'!Z9</f>
        <v>0</v>
      </c>
      <c r="AB8" s="1" t="str">
        <f>+'IRS - INF – XCCY précédent'!AA9</f>
        <v>08/26/2010</v>
      </c>
      <c r="AC8" s="1" t="str">
        <f>+'IRS - INF – XCCY précédent'!AB9</f>
        <v>07/26/2027</v>
      </c>
      <c r="AD8" s="1">
        <f>+'IRS - INF – XCCY précédent'!AC9</f>
        <v>0</v>
      </c>
      <c r="AE8" s="1">
        <f>+'IRS - INF – XCCY précédent'!AD9</f>
        <v>30000000</v>
      </c>
      <c r="AF8" s="1">
        <f>+'IRS - INF – XCCY précédent'!AE9</f>
        <v>31289964.68</v>
      </c>
      <c r="AG8" s="1">
        <f>+'IRS - INF – XCCY précédent'!AF9</f>
        <v>1.0429988226666667</v>
      </c>
      <c r="AH8" s="1">
        <f>+'IRS - INF – XCCY précédent'!AG9</f>
        <v>30664502.18</v>
      </c>
      <c r="AI8" s="1">
        <f>+'IRS - INF – XCCY précédent'!AH9</f>
        <v>1.0221500726666666</v>
      </c>
      <c r="AJ8" s="1">
        <f>+'IRS - INF – XCCY précédent'!AI9</f>
        <v>625462.5</v>
      </c>
      <c r="AK8" s="1">
        <f>+'IRS - INF – XCCY précédent'!AJ9</f>
        <v>2.0848749999999999E-2</v>
      </c>
      <c r="AL8" s="1">
        <f>+'IRS - INF – XCCY précédent'!AK9</f>
        <v>2.2449349682272093</v>
      </c>
      <c r="AM8" s="1">
        <f>+'IRS - INF – XCCY précédent'!AL9</f>
        <v>-7025.7257283963263</v>
      </c>
      <c r="AN8" s="1">
        <f>+'IRS - INF – XCCY précédent'!AM9</f>
        <v>0</v>
      </c>
      <c r="AO8" s="1">
        <f>+'IRS - INF – XCCY précédent'!AN9</f>
        <v>-11282115.189999999</v>
      </c>
      <c r="AP8" s="1">
        <f>+'IRS - INF – XCCY précédent'!AO9</f>
        <v>-0.37607050633333333</v>
      </c>
      <c r="AQ8" s="1">
        <f>+'IRS - INF – XCCY précédent'!AP9</f>
        <v>-11423822.6</v>
      </c>
      <c r="AR8" s="1">
        <f>+'IRS - INF – XCCY précédent'!AQ9</f>
        <v>-0.38079408666666664</v>
      </c>
      <c r="AS8" s="1">
        <f>+'IRS - INF – XCCY précédent'!AR9</f>
        <v>141707.42000000001</v>
      </c>
      <c r="AT8" s="1">
        <f>+'IRS - INF – XCCY précédent'!AS9</f>
        <v>4.723580666666667E-3</v>
      </c>
      <c r="AU8" s="1">
        <f>+'IRS - INF – XCCY précédent'!AT9</f>
        <v>-0.66136219829695464</v>
      </c>
      <c r="AV8" s="1">
        <f>+'IRS - INF – XCCY précédent'!AU9</f>
        <v>2745.3693855747588</v>
      </c>
      <c r="AW8" s="1">
        <f>+'IRS - INF – XCCY précédent'!AV9</f>
        <v>0</v>
      </c>
      <c r="AX8" s="1">
        <f>+'IRS - INF – XCCY précédent'!AW9</f>
        <v>-11379259.09</v>
      </c>
      <c r="AY8" s="1">
        <f>+'IRS - INF – XCCY précédent'!AX9</f>
        <v>-0.37930863633333334</v>
      </c>
      <c r="AZ8" s="1">
        <f>+'IRS - INF – XCCY précédent'!AY9</f>
        <v>0</v>
      </c>
      <c r="BA8" s="1">
        <f>+'IRS - INF – XCCY précédent'!AZ9</f>
        <v>0</v>
      </c>
      <c r="BB8" s="1">
        <f>+'IRS - INF – XCCY précédent'!BA9</f>
        <v>0</v>
      </c>
      <c r="BC8" s="1">
        <f>+'IRS - INF – XCCY précédent'!BB9</f>
        <v>0</v>
      </c>
      <c r="BD8" s="1">
        <f>+'IRS - INF – XCCY précédent'!BC9</f>
        <v>0</v>
      </c>
      <c r="BE8" s="1">
        <f>+'IRS - INF – XCCY précédent'!BD9</f>
        <v>-11510830.111612696</v>
      </c>
      <c r="BF8" s="1">
        <f>+'IRS - INF – XCCY précédent'!BE9</f>
        <v>-0.38369433705375655</v>
      </c>
      <c r="BG8" s="1">
        <f>+'IRS - INF – XCCY précédent'!BF9</f>
        <v>-11642748.606053226</v>
      </c>
      <c r="BH8" s="1">
        <f>+'IRS - INF – XCCY précédent'!BG9</f>
        <v>-0.38809162020177418</v>
      </c>
      <c r="BI8" s="1">
        <f>+'IRS - INF – XCCY précédent'!BH9</f>
        <v>131918.49444052915</v>
      </c>
      <c r="BJ8" s="1">
        <f>+'IRS - INF – XCCY précédent'!BI9</f>
        <v>4.3972831480176382E-3</v>
      </c>
      <c r="BK8" s="1">
        <f>+'IRS - INF – XCCY précédent'!BJ9</f>
        <v>0</v>
      </c>
      <c r="BL8" s="1">
        <f>+'IRS - INF – XCCY précédent'!BK9</f>
        <v>97143.900000000373</v>
      </c>
      <c r="BM8" s="1">
        <f>+'IRS - INF – XCCY précédent'!BL9</f>
        <v>3.2381300000000057E-3</v>
      </c>
      <c r="BN8" s="1">
        <f>+'IRS - INF – XCCY précédent'!BM9</f>
        <v>0</v>
      </c>
      <c r="BO8" s="1">
        <f>+'IRS - INF – XCCY précédent'!BN9</f>
        <v>0</v>
      </c>
      <c r="BP8" s="1">
        <f>+'IRS - INF – XCCY précédent'!BO9</f>
        <v>0</v>
      </c>
      <c r="BQ8" s="1">
        <f>+'IRS - INF – XCCY précédent'!BP9</f>
        <v>0</v>
      </c>
      <c r="BR8" s="1" t="str">
        <f>+'IRS - INF – XCCY précédent'!BQ9</f>
        <v/>
      </c>
      <c r="BS8" s="1">
        <f>+'IRS - INF – XCCY précédent'!BR9</f>
        <v>0</v>
      </c>
      <c r="BT8" s="1">
        <f>+'IRS - INF – XCCY précédent'!BS9</f>
        <v>228714.92161269672</v>
      </c>
      <c r="BU8" s="1">
        <f>+'IRS - INF – XCCY précédent'!BT9</f>
        <v>7.6238307204232192E-3</v>
      </c>
      <c r="BV8" s="1">
        <f>+'IRS - INF – XCCY précédent'!BU9</f>
        <v>218926.00605322607</v>
      </c>
      <c r="BW8" s="1">
        <f>+'IRS - INF – XCCY précédent'!BV9</f>
        <v>7.2975335351075366E-3</v>
      </c>
      <c r="BX8" s="1">
        <f>+'IRS - INF – XCCY précédent'!BW9</f>
        <v>9788.9255594708666</v>
      </c>
      <c r="BY8" s="1">
        <f>+'IRS - INF – XCCY précédent'!BX9</f>
        <v>3.262975186490288E-4</v>
      </c>
      <c r="BZ8" s="1">
        <f>+'IRS - INF – XCCY précédent'!BY9</f>
        <v>0</v>
      </c>
      <c r="CA8" s="1">
        <f>+'IRS - INF – XCCY précédent'!BZ9</f>
        <v>0</v>
      </c>
      <c r="CB8" s="1">
        <f>+'IRS - INF – XCCY précédent'!CA9</f>
        <v>11510830.111612696</v>
      </c>
      <c r="CC8" s="1">
        <f>+'IRS - INF – XCCY précédent'!CB9</f>
        <v>0.38369433705375655</v>
      </c>
      <c r="CD8" s="1">
        <f>+'IRS - INF – XCCY précédent'!CC9</f>
        <v>0</v>
      </c>
      <c r="CE8" s="1">
        <f>+'IRS - INF – XCCY précédent'!CD9</f>
        <v>0</v>
      </c>
      <c r="CF8" s="1">
        <f>+'IRS - INF – XCCY précédent'!CE9</f>
        <v>0</v>
      </c>
      <c r="CG8" s="1">
        <f>+'IRS - INF – XCCY précédent'!CF9</f>
        <v>0</v>
      </c>
      <c r="CH8" s="1">
        <f>+'IRS - INF – XCCY précédent'!CG9</f>
        <v>0</v>
      </c>
      <c r="CI8" s="1">
        <f>+'IRS - INF – XCCY précédent'!CH9</f>
        <v>0</v>
      </c>
      <c r="CJ8" s="1">
        <f>+'IRS - INF – XCCY précédent'!CI9</f>
        <v>0</v>
      </c>
      <c r="CK8" s="1" t="str">
        <f>+'IRS - INF – XCCY précédent'!CJ9</f>
        <v>DImension</v>
      </c>
      <c r="CL8" s="1" t="str">
        <f>+'IRS - INF – XCCY précédent'!CK9</f>
        <v>INFS10000055</v>
      </c>
      <c r="CM8" s="1" t="str">
        <f>+'IRS - INF – XCCY précédent'!CL9</f>
        <v>UTI</v>
      </c>
      <c r="CN8" s="1" t="str">
        <f>+'IRS - INF – XCCY précédent'!CM9</f>
        <v>10302389171EE84E700BF911E3BB9E55A8D258C6E6</v>
      </c>
      <c r="CO8" s="1" t="str">
        <f>+'IRS - INF – XCCY précédent'!CN9</f>
        <v>LEI</v>
      </c>
      <c r="CP8" s="1" t="str">
        <f>+'IRS - INF – XCCY précédent'!CO9</f>
        <v>4PQUHN3JPFGFNF3BB653</v>
      </c>
      <c r="CQ8" s="1" t="str">
        <f>+'IRS - INF – XCCY précédent'!CP9</f>
        <v>Code DI</v>
      </c>
      <c r="CR8" s="1" t="str">
        <f>+'IRS - INF – XCCY précédent'!CQ9</f>
        <v>SWAP_240</v>
      </c>
      <c r="CS8" s="1">
        <f>+'IRS - INF – XCCY précédent'!CR9</f>
        <v>0</v>
      </c>
      <c r="CT8" s="1">
        <f>+'IRS - INF – XCCY précédent'!CS9</f>
        <v>0</v>
      </c>
      <c r="CU8" s="1">
        <f>+'IRS - INF – XCCY précédent'!CT9</f>
        <v>0</v>
      </c>
      <c r="CV8" s="1">
        <f>+'IRS - INF – XCCY précédent'!CU9</f>
        <v>0</v>
      </c>
      <c r="CW8" s="1">
        <f>+'IRS - INF – XCCY précédent'!CV9</f>
        <v>0</v>
      </c>
      <c r="CX8" s="1">
        <f>+'IRS - INF – XCCY précédent'!CW9</f>
        <v>0</v>
      </c>
      <c r="CY8" s="1">
        <f>+'IRS - INF – XCCY précédent'!CX9</f>
        <v>0</v>
      </c>
      <c r="CZ8" s="1">
        <f>+'IRS - INF – XCCY précédent'!CY9</f>
        <v>0</v>
      </c>
      <c r="DA8" s="1">
        <f>+'IRS - INF – XCCY précédent'!CZ9</f>
        <v>0</v>
      </c>
      <c r="DB8" s="1">
        <f>+'IRS - INF – XCCY précédent'!DA9</f>
        <v>0</v>
      </c>
      <c r="DC8" s="1">
        <f>+'IRS - INF – XCCY précédent'!DB9</f>
        <v>-9.9999979138374329E-3</v>
      </c>
      <c r="DD8" s="1">
        <f>+'IRS - INF – XCCY précédent'!DC9</f>
        <v>46594</v>
      </c>
      <c r="DE8" s="1">
        <f>+'IRS - INF – XCCY précédent'!DD9</f>
        <v>2.3222222222222224</v>
      </c>
      <c r="DF8" s="1">
        <f>+'IRS - INF – XCCY précédent'!DE9</f>
        <v>9.0000000000000011E-3</v>
      </c>
    </row>
    <row r="9" spans="1:122" x14ac:dyDescent="0.2">
      <c r="A9" s="56" t="str">
        <f>+INDEX('analyse trimestrielle'!$A$8:$A$1048576,MATCH('IFT précédent'!B9,'analyse trimestrielle'!$A$8:$A$1048576,0))</f>
        <v>SWAP_262</v>
      </c>
      <c r="B9" s="1" t="str">
        <f>+'IRS - INF – XCCY précédent'!A10</f>
        <v>SWAP_262</v>
      </c>
      <c r="C9" s="1" t="str">
        <f>+'IRS - INF – XCCY précédent'!B10</f>
        <v>Real Rate Swap</v>
      </c>
      <c r="D9" s="1" t="str">
        <f>+'IRS - INF – XCCY précédent'!C10</f>
        <v>Real Rate Swap</v>
      </c>
      <c r="E9" s="1">
        <f>+'IRS - INF – XCCY précédent'!D10</f>
        <v>69129589</v>
      </c>
      <c r="F9" s="1" t="str">
        <f>+'IRS - INF – XCCY précédent'!E10</f>
        <v>MORGAN STANLEY</v>
      </c>
      <c r="G9" s="1">
        <f>+'IRS - INF – XCCY précédent'!F10</f>
        <v>0</v>
      </c>
      <c r="H9" s="1" t="str">
        <f>+'IRS - INF – XCCY précédent'!G10</f>
        <v>Inflation</v>
      </c>
      <c r="I9" s="1" t="str">
        <f>+'IRS - INF – XCCY précédent'!H10</f>
        <v>Payer</v>
      </c>
      <c r="J9" s="1" t="str">
        <f>+'IRS - INF – XCCY précédent'!I10</f>
        <v>HICPxT</v>
      </c>
      <c r="K9" s="1">
        <f>+'IRS - INF – XCCY précédent'!J10</f>
        <v>0</v>
      </c>
      <c r="L9" s="1" t="str">
        <f>+'IRS - INF – XCCY précédent'!K10</f>
        <v>03/15/2011</v>
      </c>
      <c r="M9" s="1" t="str">
        <f>+'IRS - INF – XCCY précédent'!L10</f>
        <v>09/15/2026</v>
      </c>
      <c r="N9" s="1">
        <f>+'IRS - INF – XCCY précédent'!M10</f>
        <v>10341000</v>
      </c>
      <c r="O9" s="1">
        <f>+'IRS - INF – XCCY précédent'!N10</f>
        <v>-14501618.560000001</v>
      </c>
      <c r="P9" s="1">
        <f>+'IRS - INF – XCCY précédent'!O10</f>
        <v>-1.4023419940044484</v>
      </c>
      <c r="Q9" s="1">
        <f>+'IRS - INF – XCCY précédent'!P10</f>
        <v>-14499270.640000001</v>
      </c>
      <c r="R9" s="1">
        <f>+'IRS - INF – XCCY précédent'!Q10</f>
        <v>-1.4021149443960932</v>
      </c>
      <c r="S9" s="1">
        <f>+'IRS - INF – XCCY précédent'!R10</f>
        <v>-2347.91</v>
      </c>
      <c r="T9" s="1">
        <f>+'IRS - INF – XCCY précédent'!S10</f>
        <v>-2.2704864133062566E-4</v>
      </c>
      <c r="U9" s="1">
        <f>+'IRS - INF – XCCY précédent'!T10</f>
        <v>-1.4643660906681066</v>
      </c>
      <c r="V9" s="1">
        <f>+'IRS - INF – XCCY précédent'!U10</f>
        <v>2123.8886887438593</v>
      </c>
      <c r="W9" s="1">
        <f>+'IRS - INF – XCCY précédent'!V10</f>
        <v>0</v>
      </c>
      <c r="X9" s="1" t="str">
        <f>+'IRS - INF – XCCY précédent'!W10</f>
        <v>Fixed</v>
      </c>
      <c r="Y9" s="1" t="str">
        <f>+'IRS - INF – XCCY précédent'!X10</f>
        <v>Receiver</v>
      </c>
      <c r="Z9" s="1">
        <f>+'IRS - INF – XCCY précédent'!Y10</f>
        <v>5.5</v>
      </c>
      <c r="AA9" s="1">
        <f>+'IRS - INF – XCCY précédent'!Z10</f>
        <v>0</v>
      </c>
      <c r="AB9" s="1" t="str">
        <f>+'IRS - INF – XCCY précédent'!AA10</f>
        <v>03/15/2011</v>
      </c>
      <c r="AC9" s="1" t="str">
        <f>+'IRS - INF – XCCY précédent'!AB10</f>
        <v>09/15/2026</v>
      </c>
      <c r="AD9" s="1">
        <f>+'IRS - INF – XCCY précédent'!AC10</f>
        <v>0</v>
      </c>
      <c r="AE9" s="1">
        <f>+'IRS - INF – XCCY précédent'!AD10</f>
        <v>10341000</v>
      </c>
      <c r="AF9" s="1">
        <f>+'IRS - INF – XCCY précédent'!AE10</f>
        <v>10842823.359999999</v>
      </c>
      <c r="AG9" s="1">
        <f>+'IRS - INF – XCCY précédent'!AF10</f>
        <v>1.0485275466589303</v>
      </c>
      <c r="AH9" s="1">
        <f>+'IRS - INF – XCCY précédent'!AG10</f>
        <v>10839663.609999999</v>
      </c>
      <c r="AI9" s="1">
        <f>+'IRS - INF – XCCY précédent'!AH10</f>
        <v>1.0482219911033748</v>
      </c>
      <c r="AJ9" s="1">
        <f>+'IRS - INF – XCCY précédent'!AI10</f>
        <v>3159.75</v>
      </c>
      <c r="AK9" s="1">
        <f>+'IRS - INF – XCCY précédent'!AJ10</f>
        <v>3.0555555555555555E-4</v>
      </c>
      <c r="AL9" s="1">
        <f>+'IRS - INF – XCCY précédent'!AK10</f>
        <v>1.4478980550722753</v>
      </c>
      <c r="AM9" s="1">
        <f>+'IRS - INF – XCCY précédent'!AL10</f>
        <v>-1570.3986601085403</v>
      </c>
      <c r="AN9" s="1">
        <f>+'IRS - INF – XCCY précédent'!AM10</f>
        <v>0</v>
      </c>
      <c r="AO9" s="1">
        <f>+'IRS - INF – XCCY précédent'!AN10</f>
        <v>-3658795.2</v>
      </c>
      <c r="AP9" s="1">
        <f>+'IRS - INF – XCCY précédent'!AO10</f>
        <v>-0.35381444734551787</v>
      </c>
      <c r="AQ9" s="1">
        <f>+'IRS - INF – XCCY précédent'!AP10</f>
        <v>-3659607.03</v>
      </c>
      <c r="AR9" s="1">
        <f>+'IRS - INF – XCCY précédent'!AQ10</f>
        <v>-0.3538929532927183</v>
      </c>
      <c r="AS9" s="1">
        <f>+'IRS - INF – XCCY précédent'!AR10</f>
        <v>811.84</v>
      </c>
      <c r="AT9" s="1">
        <f>+'IRS - INF – XCCY précédent'!AS10</f>
        <v>7.8506914224929888E-5</v>
      </c>
      <c r="AU9" s="1">
        <f>+'IRS - INF – XCCY précédent'!AT10</f>
        <v>-0.39538528519274774</v>
      </c>
      <c r="AV9" s="1">
        <f>+'IRS - INF – XCCY précédent'!AU10</f>
        <v>553.49002863531905</v>
      </c>
      <c r="AW9" s="1">
        <f>+'IRS - INF – XCCY précédent'!AV10</f>
        <v>0</v>
      </c>
      <c r="AX9" s="1">
        <f>+'IRS - INF – XCCY précédent'!AW10</f>
        <v>-3659680.74</v>
      </c>
      <c r="AY9" s="1">
        <f>+'IRS - INF – XCCY précédent'!AX10</f>
        <v>-0.35390008123005512</v>
      </c>
      <c r="AZ9" s="1">
        <f>+'IRS - INF – XCCY précédent'!AY10</f>
        <v>0</v>
      </c>
      <c r="BA9" s="1">
        <f>+'IRS - INF – XCCY précédent'!AZ10</f>
        <v>0</v>
      </c>
      <c r="BB9" s="1">
        <f>+'IRS - INF – XCCY précédent'!BA10</f>
        <v>0</v>
      </c>
      <c r="BC9" s="1">
        <f>+'IRS - INF – XCCY précédent'!BB10</f>
        <v>0</v>
      </c>
      <c r="BD9" s="1">
        <f>+'IRS - INF – XCCY précédent'!BC10</f>
        <v>0</v>
      </c>
      <c r="BE9" s="1">
        <f>+'IRS - INF – XCCY précédent'!BD10</f>
        <v>-3657751.3284794167</v>
      </c>
      <c r="BF9" s="1">
        <f>+'IRS - INF – XCCY précédent'!BE10</f>
        <v>-0.3537135024155707</v>
      </c>
      <c r="BG9" s="1">
        <f>+'IRS - INF – XCCY précédent'!BF10</f>
        <v>-3659330.0506153833</v>
      </c>
      <c r="BH9" s="1">
        <f>+'IRS - INF – XCCY précédent'!BG10</f>
        <v>-0.3538661687085759</v>
      </c>
      <c r="BI9" s="1">
        <f>+'IRS - INF – XCCY précédent'!BH10</f>
        <v>1578.7221359668119</v>
      </c>
      <c r="BJ9" s="1">
        <f>+'IRS - INF – XCCY précédent'!BI10</f>
        <v>1.5266629300520374E-4</v>
      </c>
      <c r="BK9" s="1">
        <f>+'IRS - INF – XCCY précédent'!BJ10</f>
        <v>0</v>
      </c>
      <c r="BL9" s="1">
        <f>+'IRS - INF – XCCY précédent'!BK10</f>
        <v>885.54000000003725</v>
      </c>
      <c r="BM9" s="1">
        <f>+'IRS - INF – XCCY précédent'!BL10</f>
        <v>8.5633884537250626E-5</v>
      </c>
      <c r="BN9" s="1">
        <f>+'IRS - INF – XCCY précédent'!BM10</f>
        <v>0</v>
      </c>
      <c r="BO9" s="1">
        <f>+'IRS - INF – XCCY précédent'!BN10</f>
        <v>0</v>
      </c>
      <c r="BP9" s="1">
        <f>+'IRS - INF – XCCY précédent'!BO10</f>
        <v>0</v>
      </c>
      <c r="BQ9" s="1">
        <f>+'IRS - INF – XCCY précédent'!BP10</f>
        <v>0</v>
      </c>
      <c r="BR9" s="1" t="str">
        <f>+'IRS - INF – XCCY précédent'!BQ10</f>
        <v/>
      </c>
      <c r="BS9" s="1">
        <f>+'IRS - INF – XCCY précédent'!BR10</f>
        <v>0</v>
      </c>
      <c r="BT9" s="1">
        <f>+'IRS - INF – XCCY précédent'!BS10</f>
        <v>-1043.8715205835178</v>
      </c>
      <c r="BU9" s="1">
        <f>+'IRS - INF – XCCY précédent'!BT10</f>
        <v>-1.0094492994716653E-4</v>
      </c>
      <c r="BV9" s="1">
        <f>+'IRS - INF – XCCY précédent'!BU10</f>
        <v>-276.979384616483</v>
      </c>
      <c r="BW9" s="1">
        <f>+'IRS - INF – XCCY précédent'!BV10</f>
        <v>-2.6784584142403034E-5</v>
      </c>
      <c r="BX9" s="1">
        <f>+'IRS - INF – XCCY précédent'!BW10</f>
        <v>-766.88213596681192</v>
      </c>
      <c r="BY9" s="1">
        <f>+'IRS - INF – XCCY précédent'!BX10</f>
        <v>-7.4159378780273849E-5</v>
      </c>
      <c r="BZ9" s="1">
        <f>+'IRS - INF – XCCY précédent'!BY10</f>
        <v>0</v>
      </c>
      <c r="CA9" s="1">
        <f>+'IRS - INF – XCCY précédent'!BZ10</f>
        <v>0</v>
      </c>
      <c r="CB9" s="1">
        <f>+'IRS - INF – XCCY précédent'!CA10</f>
        <v>3657751.3284794167</v>
      </c>
      <c r="CC9" s="1">
        <f>+'IRS - INF – XCCY précédent'!CB10</f>
        <v>0.3537135024155707</v>
      </c>
      <c r="CD9" s="1">
        <f>+'IRS - INF – XCCY précédent'!CC10</f>
        <v>0</v>
      </c>
      <c r="CE9" s="1">
        <f>+'IRS - INF – XCCY précédent'!CD10</f>
        <v>0</v>
      </c>
      <c r="CF9" s="1">
        <f>+'IRS - INF – XCCY précédent'!CE10</f>
        <v>0</v>
      </c>
      <c r="CG9" s="1">
        <f>+'IRS - INF – XCCY précédent'!CF10</f>
        <v>0</v>
      </c>
      <c r="CH9" s="1">
        <f>+'IRS - INF – XCCY précédent'!CG10</f>
        <v>0</v>
      </c>
      <c r="CI9" s="1">
        <f>+'IRS - INF – XCCY précédent'!CH10</f>
        <v>0</v>
      </c>
      <c r="CJ9" s="1">
        <f>+'IRS - INF – XCCY précédent'!CI10</f>
        <v>0</v>
      </c>
      <c r="CK9" s="1" t="str">
        <f>+'IRS - INF – XCCY précédent'!CJ10</f>
        <v>DImension</v>
      </c>
      <c r="CL9" s="1" t="str">
        <f>+'IRS - INF – XCCY précédent'!CK10</f>
        <v>INFS10000058</v>
      </c>
      <c r="CM9" s="1" t="str">
        <f>+'IRS - INF – XCCY précédent'!CL10</f>
        <v>UTI</v>
      </c>
      <c r="CN9" s="1" t="str">
        <f>+'IRS - INF – XCCY précédent'!CM10</f>
        <v>1030238917EC68E0812CF611E3AA86A98CB003CA6B</v>
      </c>
      <c r="CO9" s="1" t="str">
        <f>+'IRS - INF – XCCY précédent'!CN10</f>
        <v>LEI</v>
      </c>
      <c r="CP9" s="1" t="str">
        <f>+'IRS - INF – XCCY précédent'!CO10</f>
        <v>4PQUHN3JPFGFNF3BB653</v>
      </c>
      <c r="CQ9" s="1" t="str">
        <f>+'IRS - INF – XCCY précédent'!CP10</f>
        <v>Code DI</v>
      </c>
      <c r="CR9" s="1" t="str">
        <f>+'IRS - INF – XCCY précédent'!CQ10</f>
        <v>SWAP_262</v>
      </c>
      <c r="CS9" s="1">
        <f>+'IRS - INF – XCCY précédent'!CR10</f>
        <v>0</v>
      </c>
      <c r="CT9" s="1">
        <f>+'IRS - INF – XCCY précédent'!CS10</f>
        <v>0</v>
      </c>
      <c r="CU9" s="1">
        <f>+'IRS - INF – XCCY précédent'!CT10</f>
        <v>0</v>
      </c>
      <c r="CV9" s="1">
        <f>+'IRS - INF – XCCY précédent'!CU10</f>
        <v>0</v>
      </c>
      <c r="CW9" s="1">
        <f>+'IRS - INF – XCCY précédent'!CV10</f>
        <v>0</v>
      </c>
      <c r="CX9" s="1">
        <f>+'IRS - INF – XCCY précédent'!CW10</f>
        <v>0</v>
      </c>
      <c r="CY9" s="1">
        <f>+'IRS - INF – XCCY précédent'!CX10</f>
        <v>0</v>
      </c>
      <c r="CZ9" s="1">
        <f>+'IRS - INF – XCCY précédent'!CY10</f>
        <v>0</v>
      </c>
      <c r="DA9" s="1">
        <f>+'IRS - INF – XCCY précédent'!CZ10</f>
        <v>0</v>
      </c>
      <c r="DB9" s="1">
        <f>+'IRS - INF – XCCY précédent'!DA10</f>
        <v>0</v>
      </c>
      <c r="DC9" s="1">
        <f>+'IRS - INF – XCCY précédent'!DB10</f>
        <v>0</v>
      </c>
      <c r="DD9" s="1">
        <f>+'IRS - INF – XCCY précédent'!DC10</f>
        <v>46280</v>
      </c>
      <c r="DE9" s="1">
        <f>+'IRS - INF – XCCY précédent'!DD10</f>
        <v>1.4583333333333333</v>
      </c>
      <c r="DF9" s="1">
        <f>+'IRS - INF – XCCY précédent'!DE10</f>
        <v>9.0000000000000011E-3</v>
      </c>
    </row>
    <row r="10" spans="1:122" x14ac:dyDescent="0.2">
      <c r="A10" s="56" t="str">
        <f>+INDEX('analyse trimestrielle'!$A$8:$A$1048576,MATCH('IFT précédent'!B10,'analyse trimestrielle'!$A$8:$A$1048576,0))</f>
        <v>SWAP_254</v>
      </c>
      <c r="B10" s="1" t="str">
        <f>+'IRS - INF – XCCY précédent'!A11</f>
        <v>SWAP_254</v>
      </c>
      <c r="C10" s="1" t="str">
        <f>+'IRS - INF – XCCY précédent'!B11</f>
        <v>Real Rate Swap</v>
      </c>
      <c r="D10" s="1" t="str">
        <f>+'IRS - INF – XCCY précédent'!C11</f>
        <v>Real Rate Swap</v>
      </c>
      <c r="E10" s="1">
        <f>+'IRS - INF – XCCY précédent'!D11</f>
        <v>69112905</v>
      </c>
      <c r="F10" s="1" t="str">
        <f>+'IRS - INF – XCCY précédent'!E11</f>
        <v>MORGAN STANLEY</v>
      </c>
      <c r="G10" s="1">
        <f>+'IRS - INF – XCCY précédent'!F11</f>
        <v>0</v>
      </c>
      <c r="H10" s="1" t="str">
        <f>+'IRS - INF – XCCY précédent'!G11</f>
        <v>Inflation</v>
      </c>
      <c r="I10" s="1" t="str">
        <f>+'IRS - INF – XCCY précédent'!H11</f>
        <v>Payer</v>
      </c>
      <c r="J10" s="1" t="str">
        <f>+'IRS - INF – XCCY précédent'!I11</f>
        <v>HICPxT</v>
      </c>
      <c r="K10" s="1">
        <f>+'IRS - INF – XCCY précédent'!J11</f>
        <v>0</v>
      </c>
      <c r="L10" s="1" t="str">
        <f>+'IRS - INF – XCCY précédent'!K11</f>
        <v>03/15/2011</v>
      </c>
      <c r="M10" s="1" t="str">
        <f>+'IRS - INF – XCCY précédent'!L11</f>
        <v>09/15/2026</v>
      </c>
      <c r="N10" s="1">
        <f>+'IRS - INF – XCCY précédent'!M11</f>
        <v>20000000</v>
      </c>
      <c r="O10" s="1">
        <f>+'IRS - INF – XCCY précédent'!N11</f>
        <v>-28046839.870000001</v>
      </c>
      <c r="P10" s="1">
        <f>+'IRS - INF – XCCY précédent'!O11</f>
        <v>-1.4023419935000001</v>
      </c>
      <c r="Q10" s="1">
        <f>+'IRS - INF – XCCY précédent'!P11</f>
        <v>-28042298.890000001</v>
      </c>
      <c r="R10" s="1">
        <f>+'IRS - INF – XCCY précédent'!Q11</f>
        <v>-1.4021149445000001</v>
      </c>
      <c r="S10" s="1">
        <f>+'IRS - INF – XCCY précédent'!R11</f>
        <v>-4540.9799999999996</v>
      </c>
      <c r="T10" s="1">
        <f>+'IRS - INF – XCCY précédent'!S11</f>
        <v>-2.2704899999999997E-4</v>
      </c>
      <c r="U10" s="1">
        <f>+'IRS - INF – XCCY précédent'!T11</f>
        <v>-1.4643660906681386</v>
      </c>
      <c r="V10" s="1">
        <f>+'IRS - INF – XCCY précédent'!U11</f>
        <v>4107.7046489583327</v>
      </c>
      <c r="W10" s="1">
        <f>+'IRS - INF – XCCY précédent'!V11</f>
        <v>0</v>
      </c>
      <c r="X10" s="1" t="str">
        <f>+'IRS - INF – XCCY précédent'!W11</f>
        <v>Fixed</v>
      </c>
      <c r="Y10" s="1" t="str">
        <f>+'IRS - INF – XCCY précédent'!X11</f>
        <v>Receiver</v>
      </c>
      <c r="Z10" s="1">
        <f>+'IRS - INF – XCCY précédent'!Y11</f>
        <v>5.5774999999999997</v>
      </c>
      <c r="AA10" s="1">
        <f>+'IRS - INF – XCCY précédent'!Z11</f>
        <v>0</v>
      </c>
      <c r="AB10" s="1" t="str">
        <f>+'IRS - INF – XCCY précédent'!AA11</f>
        <v>03/15/2011</v>
      </c>
      <c r="AC10" s="1" t="str">
        <f>+'IRS - INF – XCCY précédent'!AB11</f>
        <v>09/15/2026</v>
      </c>
      <c r="AD10" s="1">
        <f>+'IRS - INF – XCCY précédent'!AC11</f>
        <v>0</v>
      </c>
      <c r="AE10" s="1">
        <f>+'IRS - INF – XCCY précédent'!AD11</f>
        <v>20000000</v>
      </c>
      <c r="AF10" s="1">
        <f>+'IRS - INF – XCCY précédent'!AE11</f>
        <v>20993213.399999999</v>
      </c>
      <c r="AG10" s="1">
        <f>+'IRS - INF – XCCY précédent'!AF11</f>
        <v>1.04966067</v>
      </c>
      <c r="AH10" s="1">
        <f>+'IRS - INF – XCCY précédent'!AG11</f>
        <v>20987016.18</v>
      </c>
      <c r="AI10" s="1">
        <f>+'IRS - INF – XCCY précédent'!AH11</f>
        <v>1.0493508089999999</v>
      </c>
      <c r="AJ10" s="1">
        <f>+'IRS - INF – XCCY précédent'!AI11</f>
        <v>6197.22</v>
      </c>
      <c r="AK10" s="1">
        <f>+'IRS - INF – XCCY précédent'!AJ11</f>
        <v>3.0986100000000003E-4</v>
      </c>
      <c r="AL10" s="1">
        <f>+'IRS - INF – XCCY précédent'!AK11</f>
        <v>1.4473964763502563</v>
      </c>
      <c r="AM10" s="1">
        <f>+'IRS - INF – XCCY précédent'!AL11</f>
        <v>-3039.4681838318706</v>
      </c>
      <c r="AN10" s="1">
        <f>+'IRS - INF – XCCY précédent'!AM11</f>
        <v>0</v>
      </c>
      <c r="AO10" s="1">
        <f>+'IRS - INF – XCCY précédent'!AN11</f>
        <v>-7053626.4699999997</v>
      </c>
      <c r="AP10" s="1">
        <f>+'IRS - INF – XCCY précédent'!AO11</f>
        <v>-0.35268132349999998</v>
      </c>
      <c r="AQ10" s="1">
        <f>+'IRS - INF – XCCY précédent'!AP11</f>
        <v>-7055282.71</v>
      </c>
      <c r="AR10" s="1">
        <f>+'IRS - INF – XCCY précédent'!AQ11</f>
        <v>-0.35276413550000002</v>
      </c>
      <c r="AS10" s="1">
        <f>+'IRS - INF – XCCY précédent'!AR11</f>
        <v>1656.24</v>
      </c>
      <c r="AT10" s="1">
        <f>+'IRS - INF – XCCY précédent'!AS11</f>
        <v>8.2812000000000006E-5</v>
      </c>
      <c r="AU10" s="1">
        <f>+'IRS - INF – XCCY précédent'!AT11</f>
        <v>-0.39488959215904673</v>
      </c>
      <c r="AV10" s="1">
        <f>+'IRS - INF – XCCY précédent'!AU11</f>
        <v>1068.236465126462</v>
      </c>
      <c r="AW10" s="1">
        <f>+'IRS - INF – XCCY précédent'!AV11</f>
        <v>0</v>
      </c>
      <c r="AX10" s="1">
        <f>+'IRS - INF – XCCY précédent'!AW11</f>
        <v>-7055338.8399999999</v>
      </c>
      <c r="AY10" s="1">
        <f>+'IRS - INF – XCCY précédent'!AX11</f>
        <v>-0.35276694199999997</v>
      </c>
      <c r="AZ10" s="1">
        <f>+'IRS - INF – XCCY précédent'!AY11</f>
        <v>0</v>
      </c>
      <c r="BA10" s="1">
        <f>+'IRS - INF – XCCY précédent'!AZ11</f>
        <v>0</v>
      </c>
      <c r="BB10" s="1">
        <f>+'IRS - INF – XCCY précédent'!BA11</f>
        <v>0</v>
      </c>
      <c r="BC10" s="1">
        <f>+'IRS - INF – XCCY précédent'!BB11</f>
        <v>0</v>
      </c>
      <c r="BD10" s="1">
        <f>+'IRS - INF – XCCY précédent'!BC11</f>
        <v>0</v>
      </c>
      <c r="BE10" s="1">
        <f>+'IRS - INF – XCCY précédent'!BD11</f>
        <v>-7051522.4087297916</v>
      </c>
      <c r="BF10" s="1">
        <f>+'IRS - INF – XCCY précédent'!BE11</f>
        <v>-0.35257612043648956</v>
      </c>
      <c r="BG10" s="1">
        <f>+'IRS - INF – XCCY précédent'!BF11</f>
        <v>-7054747.9568121182</v>
      </c>
      <c r="BH10" s="1">
        <f>+'IRS - INF – XCCY précédent'!BG11</f>
        <v>-0.35273739784060593</v>
      </c>
      <c r="BI10" s="1">
        <f>+'IRS - INF – XCCY précédent'!BH11</f>
        <v>3225.5480823262969</v>
      </c>
      <c r="BJ10" s="1">
        <f>+'IRS - INF – XCCY précédent'!BI11</f>
        <v>1.6127740411631486E-4</v>
      </c>
      <c r="BK10" s="1">
        <f>+'IRS - INF – XCCY précédent'!BJ11</f>
        <v>0</v>
      </c>
      <c r="BL10" s="1">
        <f>+'IRS - INF – XCCY précédent'!BK11</f>
        <v>1712.3700000001118</v>
      </c>
      <c r="BM10" s="1">
        <f>+'IRS - INF – XCCY précédent'!BL11</f>
        <v>8.5618499999995379E-5</v>
      </c>
      <c r="BN10" s="1">
        <f>+'IRS - INF – XCCY précédent'!BM11</f>
        <v>0</v>
      </c>
      <c r="BO10" s="1">
        <f>+'IRS - INF – XCCY précédent'!BN11</f>
        <v>0</v>
      </c>
      <c r="BP10" s="1">
        <f>+'IRS - INF – XCCY précédent'!BO11</f>
        <v>0</v>
      </c>
      <c r="BQ10" s="1">
        <f>+'IRS - INF – XCCY précédent'!BP11</f>
        <v>0</v>
      </c>
      <c r="BR10" s="1" t="str">
        <f>+'IRS - INF – XCCY précédent'!BQ11</f>
        <v/>
      </c>
      <c r="BS10" s="1">
        <f>+'IRS - INF – XCCY précédent'!BR11</f>
        <v>0</v>
      </c>
      <c r="BT10" s="1">
        <f>+'IRS - INF – XCCY précédent'!BS11</f>
        <v>-2104.061270208098</v>
      </c>
      <c r="BU10" s="1">
        <f>+'IRS - INF – XCCY précédent'!BT11</f>
        <v>-1.0520306351041731E-4</v>
      </c>
      <c r="BV10" s="1">
        <f>+'IRS - INF – XCCY précédent'!BU11</f>
        <v>-534.75318788178265</v>
      </c>
      <c r="BW10" s="1">
        <f>+'IRS - INF – XCCY précédent'!BV11</f>
        <v>-2.6737659394093782E-5</v>
      </c>
      <c r="BX10" s="1">
        <f>+'IRS - INF – XCCY précédent'!BW11</f>
        <v>-1569.3080823262969</v>
      </c>
      <c r="BY10" s="1">
        <f>+'IRS - INF – XCCY précédent'!BX11</f>
        <v>-7.8465404116314849E-5</v>
      </c>
      <c r="BZ10" s="1">
        <f>+'IRS - INF – XCCY précédent'!BY11</f>
        <v>0</v>
      </c>
      <c r="CA10" s="1">
        <f>+'IRS - INF – XCCY précédent'!BZ11</f>
        <v>0</v>
      </c>
      <c r="CB10" s="1">
        <f>+'IRS - INF – XCCY précédent'!CA11</f>
        <v>7051522.4087297916</v>
      </c>
      <c r="CC10" s="1">
        <f>+'IRS - INF – XCCY précédent'!CB11</f>
        <v>0.35257612043648956</v>
      </c>
      <c r="CD10" s="1">
        <f>+'IRS - INF – XCCY précédent'!CC11</f>
        <v>0</v>
      </c>
      <c r="CE10" s="1">
        <f>+'IRS - INF – XCCY précédent'!CD11</f>
        <v>0</v>
      </c>
      <c r="CF10" s="1">
        <f>+'IRS - INF – XCCY précédent'!CE11</f>
        <v>0</v>
      </c>
      <c r="CG10" s="1">
        <f>+'IRS - INF – XCCY précédent'!CF11</f>
        <v>0</v>
      </c>
      <c r="CH10" s="1">
        <f>+'IRS - INF – XCCY précédent'!CG11</f>
        <v>0</v>
      </c>
      <c r="CI10" s="1">
        <f>+'IRS - INF – XCCY précédent'!CH11</f>
        <v>0</v>
      </c>
      <c r="CJ10" s="1">
        <f>+'IRS - INF – XCCY précédent'!CI11</f>
        <v>0</v>
      </c>
      <c r="CK10" s="1" t="str">
        <f>+'IRS - INF – XCCY précédent'!CJ11</f>
        <v>DImension</v>
      </c>
      <c r="CL10" s="1" t="str">
        <f>+'IRS - INF – XCCY précédent'!CK11</f>
        <v>INFS10000060</v>
      </c>
      <c r="CM10" s="1" t="str">
        <f>+'IRS - INF – XCCY précédent'!CL11</f>
        <v>UTI</v>
      </c>
      <c r="CN10" s="1" t="str">
        <f>+'IRS - INF – XCCY précédent'!CM11</f>
        <v>1030238917AA36CE30251B11E39CD611D968A8B827</v>
      </c>
      <c r="CO10" s="1" t="str">
        <f>+'IRS - INF – XCCY précédent'!CN11</f>
        <v>LEI</v>
      </c>
      <c r="CP10" s="1" t="str">
        <f>+'IRS - INF – XCCY précédent'!CO11</f>
        <v>4PQUHN3JPFGFNF3BB653</v>
      </c>
      <c r="CQ10" s="1" t="str">
        <f>+'IRS - INF – XCCY précédent'!CP11</f>
        <v>Code DI</v>
      </c>
      <c r="CR10" s="1" t="str">
        <f>+'IRS - INF – XCCY précédent'!CQ11</f>
        <v>SWAP_254</v>
      </c>
      <c r="CS10" s="1">
        <f>+'IRS - INF – XCCY précédent'!CR11</f>
        <v>0</v>
      </c>
      <c r="CT10" s="1">
        <f>+'IRS - INF – XCCY précédent'!CS11</f>
        <v>0</v>
      </c>
      <c r="CU10" s="1">
        <f>+'IRS - INF – XCCY précédent'!CT11</f>
        <v>0</v>
      </c>
      <c r="CV10" s="1">
        <f>+'IRS - INF – XCCY précédent'!CU11</f>
        <v>0</v>
      </c>
      <c r="CW10" s="1">
        <f>+'IRS - INF – XCCY précédent'!CV11</f>
        <v>0</v>
      </c>
      <c r="CX10" s="1">
        <f>+'IRS - INF – XCCY précédent'!CW11</f>
        <v>0</v>
      </c>
      <c r="CY10" s="1">
        <f>+'IRS - INF – XCCY précédent'!CX11</f>
        <v>0</v>
      </c>
      <c r="CZ10" s="1">
        <f>+'IRS - INF – XCCY précédent'!CY11</f>
        <v>0</v>
      </c>
      <c r="DA10" s="1">
        <f>+'IRS - INF – XCCY précédent'!CZ11</f>
        <v>0</v>
      </c>
      <c r="DB10" s="1">
        <f>+'IRS - INF – XCCY précédent'!DA11</f>
        <v>0</v>
      </c>
      <c r="DC10" s="1">
        <f>+'IRS - INF – XCCY précédent'!DB11</f>
        <v>0</v>
      </c>
      <c r="DD10" s="1">
        <f>+'IRS - INF – XCCY précédent'!DC11</f>
        <v>46280</v>
      </c>
      <c r="DE10" s="1">
        <f>+'IRS - INF – XCCY précédent'!DD11</f>
        <v>1.4583333333333333</v>
      </c>
      <c r="DF10" s="1">
        <f>+'IRS - INF – XCCY précédent'!DE11</f>
        <v>9.0000000000000011E-3</v>
      </c>
    </row>
    <row r="11" spans="1:122" x14ac:dyDescent="0.2">
      <c r="A11" s="56" t="str">
        <f>+INDEX('analyse trimestrielle'!$A$8:$A$1048576,MATCH('IFT précédent'!B11,'analyse trimestrielle'!$A$8:$A$1048576,0))</f>
        <v>SWAP_257</v>
      </c>
      <c r="B11" s="1" t="str">
        <f>+'IRS - INF – XCCY précédent'!A12</f>
        <v>SWAP_257</v>
      </c>
      <c r="C11" s="1" t="str">
        <f>+'IRS - INF – XCCY précédent'!B12</f>
        <v>Real Rate Swap</v>
      </c>
      <c r="D11" s="1" t="str">
        <f>+'IRS - INF – XCCY précédent'!C12</f>
        <v>Real Rate Swap</v>
      </c>
      <c r="E11" s="1">
        <f>+'IRS - INF – XCCY précédent'!D12</f>
        <v>69110258</v>
      </c>
      <c r="F11" s="1" t="str">
        <f>+'IRS - INF – XCCY précédent'!E12</f>
        <v>MORGAN STANLEY</v>
      </c>
      <c r="G11" s="1">
        <f>+'IRS - INF – XCCY précédent'!F12</f>
        <v>0</v>
      </c>
      <c r="H11" s="1" t="str">
        <f>+'IRS - INF – XCCY précédent'!G12</f>
        <v>Inflation</v>
      </c>
      <c r="I11" s="1" t="str">
        <f>+'IRS - INF – XCCY précédent'!H12</f>
        <v>Payer</v>
      </c>
      <c r="J11" s="1" t="str">
        <f>+'IRS - INF – XCCY précédent'!I12</f>
        <v>HICPxT</v>
      </c>
      <c r="K11" s="1">
        <f>+'IRS - INF – XCCY précédent'!J12</f>
        <v>0</v>
      </c>
      <c r="L11" s="1" t="str">
        <f>+'IRS - INF – XCCY précédent'!K12</f>
        <v>03/15/2011</v>
      </c>
      <c r="M11" s="1" t="str">
        <f>+'IRS - INF – XCCY précédent'!L12</f>
        <v>09/15/2026</v>
      </c>
      <c r="N11" s="1">
        <f>+'IRS - INF – XCCY précédent'!M12</f>
        <v>15500000</v>
      </c>
      <c r="O11" s="1">
        <f>+'IRS - INF – XCCY précédent'!N12</f>
        <v>-21736300.899999999</v>
      </c>
      <c r="P11" s="1">
        <f>+'IRS - INF – XCCY précédent'!O12</f>
        <v>-1.402341993548387</v>
      </c>
      <c r="Q11" s="1">
        <f>+'IRS - INF – XCCY précédent'!P12</f>
        <v>-21732781.640000001</v>
      </c>
      <c r="R11" s="1">
        <f>+'IRS - INF – XCCY précédent'!Q12</f>
        <v>-1.4021149445161292</v>
      </c>
      <c r="S11" s="1">
        <f>+'IRS - INF – XCCY précédent'!R12</f>
        <v>-3519.26</v>
      </c>
      <c r="T11" s="1">
        <f>+'IRS - INF – XCCY précédent'!S12</f>
        <v>-2.2704903225806452E-4</v>
      </c>
      <c r="U11" s="1">
        <f>+'IRS - INF – XCCY précédent'!T12</f>
        <v>-1.4643660906682268</v>
      </c>
      <c r="V11" s="1">
        <f>+'IRS - INF – XCCY précédent'!U12</f>
        <v>3183.4711029428991</v>
      </c>
      <c r="W11" s="1">
        <f>+'IRS - INF – XCCY précédent'!V12</f>
        <v>0</v>
      </c>
      <c r="X11" s="1" t="str">
        <f>+'IRS - INF – XCCY précédent'!W12</f>
        <v>Fixed</v>
      </c>
      <c r="Y11" s="1" t="str">
        <f>+'IRS - INF – XCCY précédent'!X12</f>
        <v>Receiver</v>
      </c>
      <c r="Z11" s="1">
        <f>+'IRS - INF – XCCY précédent'!Y12</f>
        <v>5.65</v>
      </c>
      <c r="AA11" s="1">
        <f>+'IRS - INF – XCCY précédent'!Z12</f>
        <v>0</v>
      </c>
      <c r="AB11" s="1" t="str">
        <f>+'IRS - INF – XCCY précédent'!AA12</f>
        <v>03/15/2011</v>
      </c>
      <c r="AC11" s="1" t="str">
        <f>+'IRS - INF – XCCY précédent'!AB12</f>
        <v>09/15/2026</v>
      </c>
      <c r="AD11" s="1">
        <f>+'IRS - INF – XCCY précédent'!AC12</f>
        <v>0</v>
      </c>
      <c r="AE11" s="1">
        <f>+'IRS - INF – XCCY précédent'!AD12</f>
        <v>15500000</v>
      </c>
      <c r="AF11" s="1">
        <f>+'IRS - INF – XCCY précédent'!AE12</f>
        <v>16286170.68</v>
      </c>
      <c r="AG11" s="1">
        <f>+'IRS - INF – XCCY précédent'!AF12</f>
        <v>1.050720689032258</v>
      </c>
      <c r="AH11" s="1">
        <f>+'IRS - INF – XCCY précédent'!AG12</f>
        <v>16281305.4</v>
      </c>
      <c r="AI11" s="1">
        <f>+'IRS - INF – XCCY précédent'!AH12</f>
        <v>1.0504068</v>
      </c>
      <c r="AJ11" s="1">
        <f>+'IRS - INF – XCCY précédent'!AI12</f>
        <v>4865.28</v>
      </c>
      <c r="AK11" s="1">
        <f>+'IRS - INF – XCCY précédent'!AJ12</f>
        <v>3.1388903225806452E-4</v>
      </c>
      <c r="AL11" s="1">
        <f>+'IRS - INF – XCCY précédent'!AK12</f>
        <v>1.4469282403147874</v>
      </c>
      <c r="AM11" s="1">
        <f>+'IRS - INF – XCCY précédent'!AL12</f>
        <v>-2357.2120841251685</v>
      </c>
      <c r="AN11" s="1">
        <f>+'IRS - INF – XCCY précédent'!AM12</f>
        <v>0</v>
      </c>
      <c r="AO11" s="1">
        <f>+'IRS - INF – XCCY précédent'!AN12</f>
        <v>-5450130.2199999997</v>
      </c>
      <c r="AP11" s="1">
        <f>+'IRS - INF – XCCY précédent'!AO12</f>
        <v>-0.351621304516129</v>
      </c>
      <c r="AQ11" s="1">
        <f>+'IRS - INF – XCCY précédent'!AP12</f>
        <v>-5451476.2400000002</v>
      </c>
      <c r="AR11" s="1">
        <f>+'IRS - INF – XCCY précédent'!AQ12</f>
        <v>-0.35170814451612903</v>
      </c>
      <c r="AS11" s="1">
        <f>+'IRS - INF – XCCY précédent'!AR12</f>
        <v>1346.02</v>
      </c>
      <c r="AT11" s="1">
        <f>+'IRS - INF – XCCY précédent'!AS12</f>
        <v>8.6840000000000002E-5</v>
      </c>
      <c r="AU11" s="1">
        <f>+'IRS - INF – XCCY précédent'!AT12</f>
        <v>-0.39442512401121493</v>
      </c>
      <c r="AV11" s="1">
        <f>+'IRS - INF – XCCY précédent'!AU12</f>
        <v>826.25901881773052</v>
      </c>
      <c r="AW11" s="1">
        <f>+'IRS - INF – XCCY précédent'!AV12</f>
        <v>0</v>
      </c>
      <c r="AX11" s="1">
        <f>+'IRS - INF – XCCY précédent'!AW12</f>
        <v>-5451457.0899999999</v>
      </c>
      <c r="AY11" s="1">
        <f>+'IRS - INF – XCCY précédent'!AX12</f>
        <v>-0.35170690903225804</v>
      </c>
      <c r="AZ11" s="1">
        <f>+'IRS - INF – XCCY précédent'!AY12</f>
        <v>0</v>
      </c>
      <c r="BA11" s="1">
        <f>+'IRS - INF – XCCY précédent'!AZ12</f>
        <v>0</v>
      </c>
      <c r="BB11" s="1">
        <f>+'IRS - INF – XCCY précédent'!BA12</f>
        <v>0</v>
      </c>
      <c r="BC11" s="1">
        <f>+'IRS - INF – XCCY précédent'!BB12</f>
        <v>0</v>
      </c>
      <c r="BD11" s="1">
        <f>+'IRS - INF – XCCY précédent'!BC12</f>
        <v>0</v>
      </c>
      <c r="BE11" s="1">
        <f>+'IRS - INF – XCCY précédent'!BD12</f>
        <v>-5448437.8280689083</v>
      </c>
      <c r="BF11" s="1">
        <f>+'IRS - INF – XCCY précédent'!BE12</f>
        <v>-0.35151211793992959</v>
      </c>
      <c r="BG11" s="1">
        <f>+'IRS - INF – XCCY précédent'!BF12</f>
        <v>-5451062.4889438227</v>
      </c>
      <c r="BH11" s="1">
        <f>+'IRS - INF – XCCY précédent'!BG12</f>
        <v>-0.35168145089960146</v>
      </c>
      <c r="BI11" s="1">
        <f>+'IRS - INF – XCCY précédent'!BH12</f>
        <v>2624.6608749139914</v>
      </c>
      <c r="BJ11" s="1">
        <f>+'IRS - INF – XCCY précédent'!BI12</f>
        <v>1.6933295967187041E-4</v>
      </c>
      <c r="BK11" s="1">
        <f>+'IRS - INF – XCCY précédent'!BJ12</f>
        <v>0</v>
      </c>
      <c r="BL11" s="1">
        <f>+'IRS - INF – XCCY précédent'!BK12</f>
        <v>1326.8700000001118</v>
      </c>
      <c r="BM11" s="1">
        <f>+'IRS - INF – XCCY précédent'!BL12</f>
        <v>8.5604516129045294E-5</v>
      </c>
      <c r="BN11" s="1">
        <f>+'IRS - INF – XCCY précédent'!BM12</f>
        <v>0</v>
      </c>
      <c r="BO11" s="1">
        <f>+'IRS - INF – XCCY précédent'!BN12</f>
        <v>0</v>
      </c>
      <c r="BP11" s="1">
        <f>+'IRS - INF – XCCY précédent'!BO12</f>
        <v>0</v>
      </c>
      <c r="BQ11" s="1">
        <f>+'IRS - INF – XCCY précédent'!BP12</f>
        <v>0</v>
      </c>
      <c r="BR11" s="1" t="str">
        <f>+'IRS - INF – XCCY précédent'!BQ12</f>
        <v/>
      </c>
      <c r="BS11" s="1">
        <f>+'IRS - INF – XCCY précédent'!BR12</f>
        <v>0</v>
      </c>
      <c r="BT11" s="1">
        <f>+'IRS - INF – XCCY précédent'!BS12</f>
        <v>-1692.3919310914353</v>
      </c>
      <c r="BU11" s="1">
        <f>+'IRS - INF – XCCY précédent'!BT12</f>
        <v>-1.0918657619940486E-4</v>
      </c>
      <c r="BV11" s="1">
        <f>+'IRS - INF – XCCY précédent'!BU12</f>
        <v>-413.75105617754161</v>
      </c>
      <c r="BW11" s="1">
        <f>+'IRS - INF – XCCY précédent'!BV12</f>
        <v>-2.6693616527573294E-5</v>
      </c>
      <c r="BX11" s="1">
        <f>+'IRS - INF – XCCY précédent'!BW12</f>
        <v>-1278.6408749139914</v>
      </c>
      <c r="BY11" s="1">
        <f>+'IRS - INF – XCCY précédent'!BX12</f>
        <v>-8.2492959671870409E-5</v>
      </c>
      <c r="BZ11" s="1">
        <f>+'IRS - INF – XCCY précédent'!BY12</f>
        <v>0</v>
      </c>
      <c r="CA11" s="1">
        <f>+'IRS - INF – XCCY précédent'!BZ12</f>
        <v>0</v>
      </c>
      <c r="CB11" s="1">
        <f>+'IRS - INF – XCCY précédent'!CA12</f>
        <v>5448437.8280689083</v>
      </c>
      <c r="CC11" s="1">
        <f>+'IRS - INF – XCCY précédent'!CB12</f>
        <v>0.35151211793992959</v>
      </c>
      <c r="CD11" s="1">
        <f>+'IRS - INF – XCCY précédent'!CC12</f>
        <v>0</v>
      </c>
      <c r="CE11" s="1">
        <f>+'IRS - INF – XCCY précédent'!CD12</f>
        <v>0</v>
      </c>
      <c r="CF11" s="1">
        <f>+'IRS - INF – XCCY précédent'!CE12</f>
        <v>0</v>
      </c>
      <c r="CG11" s="1">
        <f>+'IRS - INF – XCCY précédent'!CF12</f>
        <v>0</v>
      </c>
      <c r="CH11" s="1">
        <f>+'IRS - INF – XCCY précédent'!CG12</f>
        <v>0</v>
      </c>
      <c r="CI11" s="1">
        <f>+'IRS - INF – XCCY précédent'!CH12</f>
        <v>0</v>
      </c>
      <c r="CJ11" s="1">
        <f>+'IRS - INF – XCCY précédent'!CI12</f>
        <v>0</v>
      </c>
      <c r="CK11" s="1" t="str">
        <f>+'IRS - INF – XCCY précédent'!CJ12</f>
        <v>DImension</v>
      </c>
      <c r="CL11" s="1" t="str">
        <f>+'IRS - INF – XCCY précédent'!CK12</f>
        <v>INFS10000062</v>
      </c>
      <c r="CM11" s="1" t="str">
        <f>+'IRS - INF – XCCY précédent'!CL12</f>
        <v>UTI</v>
      </c>
      <c r="CN11" s="1" t="str">
        <f>+'IRS - INF – XCCY précédent'!CM12</f>
        <v>10302389179A76DF41250611E39CD611D968A8B827</v>
      </c>
      <c r="CO11" s="1" t="str">
        <f>+'IRS - INF – XCCY précédent'!CN12</f>
        <v>LEI</v>
      </c>
      <c r="CP11" s="1" t="str">
        <f>+'IRS - INF – XCCY précédent'!CO12</f>
        <v>4PQUHN3JPFGFNF3BB653</v>
      </c>
      <c r="CQ11" s="1" t="str">
        <f>+'IRS - INF – XCCY précédent'!CP12</f>
        <v>Code DI</v>
      </c>
      <c r="CR11" s="1" t="str">
        <f>+'IRS - INF – XCCY précédent'!CQ12</f>
        <v>SWAP_257</v>
      </c>
      <c r="CS11" s="1">
        <f>+'IRS - INF – XCCY précédent'!CR12</f>
        <v>0</v>
      </c>
      <c r="CT11" s="1">
        <f>+'IRS - INF – XCCY précédent'!CS12</f>
        <v>0</v>
      </c>
      <c r="CU11" s="1">
        <f>+'IRS - INF – XCCY précédent'!CT12</f>
        <v>0</v>
      </c>
      <c r="CV11" s="1">
        <f>+'IRS - INF – XCCY précédent'!CU12</f>
        <v>0</v>
      </c>
      <c r="CW11" s="1">
        <f>+'IRS - INF – XCCY précédent'!CV12</f>
        <v>0</v>
      </c>
      <c r="CX11" s="1">
        <f>+'IRS - INF – XCCY précédent'!CW12</f>
        <v>0</v>
      </c>
      <c r="CY11" s="1">
        <f>+'IRS - INF – XCCY précédent'!CX12</f>
        <v>0</v>
      </c>
      <c r="CZ11" s="1">
        <f>+'IRS - INF – XCCY précédent'!CY12</f>
        <v>0</v>
      </c>
      <c r="DA11" s="1">
        <f>+'IRS - INF – XCCY précédent'!CZ12</f>
        <v>0</v>
      </c>
      <c r="DB11" s="1">
        <f>+'IRS - INF – XCCY précédent'!DA12</f>
        <v>0</v>
      </c>
      <c r="DC11" s="1">
        <f>+'IRS - INF – XCCY précédent'!DB12</f>
        <v>0</v>
      </c>
      <c r="DD11" s="1">
        <f>+'IRS - INF – XCCY précédent'!DC12</f>
        <v>46280</v>
      </c>
      <c r="DE11" s="1">
        <f>+'IRS - INF – XCCY précédent'!DD12</f>
        <v>1.4583333333333333</v>
      </c>
      <c r="DF11" s="1">
        <f>+'IRS - INF – XCCY précédent'!DE12</f>
        <v>9.0000000000000011E-3</v>
      </c>
    </row>
    <row r="12" spans="1:122" x14ac:dyDescent="0.2">
      <c r="A12" s="56" t="str">
        <f>+INDEX('analyse trimestrielle'!$A$8:$A$1048576,MATCH('IFT précédent'!B12,'analyse trimestrielle'!$A$8:$A$1048576,0))</f>
        <v>SWAP_235</v>
      </c>
      <c r="B12" s="1" t="str">
        <f>+'IRS - INF – XCCY précédent'!A13</f>
        <v>SWAP_235</v>
      </c>
      <c r="C12" s="1" t="str">
        <f>+'IRS - INF – XCCY précédent'!B13</f>
        <v>Real Rate Swap</v>
      </c>
      <c r="D12" s="1" t="str">
        <f>+'IRS - INF – XCCY précédent'!C13</f>
        <v>Real Rate Swap</v>
      </c>
      <c r="E12" s="1">
        <f>+'IRS - INF – XCCY précédent'!D13</f>
        <v>69024711</v>
      </c>
      <c r="F12" s="1" t="str">
        <f>+'IRS - INF – XCCY précédent'!E13</f>
        <v>RBS</v>
      </c>
      <c r="G12" s="1">
        <f>+'IRS - INF – XCCY précédent'!F13</f>
        <v>0</v>
      </c>
      <c r="H12" s="1" t="str">
        <f>+'IRS - INF – XCCY précédent'!G13</f>
        <v>Inflation</v>
      </c>
      <c r="I12" s="1" t="str">
        <f>+'IRS - INF – XCCY précédent'!H13</f>
        <v>Payer</v>
      </c>
      <c r="J12" s="1" t="str">
        <f>+'IRS - INF – XCCY précédent'!I13</f>
        <v>FRCPIxT</v>
      </c>
      <c r="K12" s="1">
        <f>+'IRS - INF – XCCY précédent'!J13</f>
        <v>0</v>
      </c>
      <c r="L12" s="1" t="str">
        <f>+'IRS - INF – XCCY précédent'!K13</f>
        <v>07/26/1999</v>
      </c>
      <c r="M12" s="1" t="str">
        <f>+'IRS - INF – XCCY précédent'!L13</f>
        <v>07/25/2029</v>
      </c>
      <c r="N12" s="1">
        <f>+'IRS - INF – XCCY précédent'!M13</f>
        <v>40000000</v>
      </c>
      <c r="O12" s="1">
        <f>+'IRS - INF – XCCY précédent'!N13</f>
        <v>-68686289.189999998</v>
      </c>
      <c r="P12" s="1">
        <f>+'IRS - INF – XCCY précédent'!O13</f>
        <v>-1.71715722975</v>
      </c>
      <c r="Q12" s="1">
        <f>+'IRS - INF – XCCY précédent'!P13</f>
        <v>-67374847.950000003</v>
      </c>
      <c r="R12" s="1">
        <f>+'IRS - INF – XCCY précédent'!Q13</f>
        <v>-1.6843711987500001</v>
      </c>
      <c r="S12" s="1">
        <f>+'IRS - INF – XCCY précédent'!R13</f>
        <v>-1311441.24</v>
      </c>
      <c r="T12" s="1">
        <f>+'IRS - INF – XCCY précédent'!S13</f>
        <v>-3.2786031E-2</v>
      </c>
      <c r="U12" s="1">
        <f>+'IRS - INF – XCCY précédent'!T13</f>
        <v>-4.0287653314384482</v>
      </c>
      <c r="V12" s="1">
        <f>+'IRS - INF – XCCY précédent'!U13</f>
        <v>27576.098217145354</v>
      </c>
      <c r="W12" s="1">
        <f>+'IRS - INF – XCCY précédent'!V13</f>
        <v>0</v>
      </c>
      <c r="X12" s="1" t="str">
        <f>+'IRS - INF – XCCY précédent'!W13</f>
        <v>Fixed</v>
      </c>
      <c r="Y12" s="1" t="str">
        <f>+'IRS - INF – XCCY précédent'!X13</f>
        <v>Receiver</v>
      </c>
      <c r="Z12" s="1">
        <f>+'IRS - INF – XCCY précédent'!Y13</f>
        <v>3.4224999999999999</v>
      </c>
      <c r="AA12" s="1">
        <f>+'IRS - INF – XCCY précédent'!Z13</f>
        <v>0</v>
      </c>
      <c r="AB12" s="1" t="str">
        <f>+'IRS - INF – XCCY précédent'!AA13</f>
        <v>07/26/1999</v>
      </c>
      <c r="AC12" s="1" t="str">
        <f>+'IRS - INF – XCCY précédent'!AB13</f>
        <v>07/25/2029</v>
      </c>
      <c r="AD12" s="1">
        <f>+'IRS - INF – XCCY précédent'!AC13</f>
        <v>0</v>
      </c>
      <c r="AE12" s="1">
        <f>+'IRS - INF – XCCY précédent'!AD13</f>
        <v>40000000</v>
      </c>
      <c r="AF12" s="1">
        <f>+'IRS - INF – XCCY précédent'!AE13</f>
        <v>42759948.450000003</v>
      </c>
      <c r="AG12" s="1">
        <f>+'IRS - INF – XCCY précédent'!AF13</f>
        <v>1.0689987112500001</v>
      </c>
      <c r="AH12" s="1">
        <f>+'IRS - INF – XCCY précédent'!AG13</f>
        <v>41870098.450000003</v>
      </c>
      <c r="AI12" s="1">
        <f>+'IRS - INF – XCCY précédent'!AH13</f>
        <v>1.0467524612500001</v>
      </c>
      <c r="AJ12" s="1">
        <f>+'IRS - INF – XCCY précédent'!AI13</f>
        <v>889850</v>
      </c>
      <c r="AK12" s="1">
        <f>+'IRS - INF – XCCY précédent'!AJ13</f>
        <v>2.2246249999999999E-2</v>
      </c>
      <c r="AL12" s="1">
        <f>+'IRS - INF – XCCY précédent'!AK13</f>
        <v>4.0119335434383778</v>
      </c>
      <c r="AM12" s="1">
        <f>+'IRS - INF – XCCY précédent'!AL13</f>
        <v>-17092.413541138172</v>
      </c>
      <c r="AN12" s="1">
        <f>+'IRS - INF – XCCY précédent'!AM13</f>
        <v>0</v>
      </c>
      <c r="AO12" s="1">
        <f>+'IRS - INF – XCCY précédent'!AN13</f>
        <v>-25926340.739999998</v>
      </c>
      <c r="AP12" s="1">
        <f>+'IRS - INF – XCCY précédent'!AO13</f>
        <v>-0.64815851849999995</v>
      </c>
      <c r="AQ12" s="1">
        <f>+'IRS - INF – XCCY précédent'!AP13</f>
        <v>-25504749.510000002</v>
      </c>
      <c r="AR12" s="1">
        <f>+'IRS - INF – XCCY précédent'!AQ13</f>
        <v>-0.63761873775</v>
      </c>
      <c r="AS12" s="1">
        <f>+'IRS - INF – XCCY précédent'!AR13</f>
        <v>-421591.24</v>
      </c>
      <c r="AT12" s="1">
        <f>+'IRS - INF – XCCY précédent'!AS13</f>
        <v>-1.0539781E-2</v>
      </c>
      <c r="AU12" s="1">
        <f>+'IRS - INF – XCCY précédent'!AT13</f>
        <v>-1.5921984429742848</v>
      </c>
      <c r="AV12" s="1">
        <f>+'IRS - INF – XCCY précédent'!AU13</f>
        <v>10483.684676007182</v>
      </c>
      <c r="AW12" s="1">
        <f>+'IRS - INF – XCCY précédent'!AV13</f>
        <v>0</v>
      </c>
      <c r="AX12" s="1">
        <f>+'IRS - INF – XCCY précédent'!AW13</f>
        <v>-25700771.426013</v>
      </c>
      <c r="AY12" s="1">
        <f>+'IRS - INF – XCCY précédent'!AX13</f>
        <v>-0.64251928565032501</v>
      </c>
      <c r="AZ12" s="1">
        <f>+'IRS - INF – XCCY précédent'!AY13</f>
        <v>0</v>
      </c>
      <c r="BA12" s="1">
        <f>+'IRS - INF – XCCY précédent'!AZ13</f>
        <v>0</v>
      </c>
      <c r="BB12" s="1">
        <f>+'IRS - INF – XCCY précédent'!BA13</f>
        <v>0</v>
      </c>
      <c r="BC12" s="1">
        <f>+'IRS - INF – XCCY précédent'!BB13</f>
        <v>0</v>
      </c>
      <c r="BD12" s="1">
        <f>+'IRS - INF – XCCY précédent'!BC13</f>
        <v>0</v>
      </c>
      <c r="BE12" s="1">
        <f>+'IRS - INF – XCCY précédent'!BD13</f>
        <v>-25844083.206257109</v>
      </c>
      <c r="BF12" s="1">
        <f>+'IRS - INF – XCCY précédent'!BE13</f>
        <v>-0.64610208015642767</v>
      </c>
      <c r="BG12" s="1">
        <f>+'IRS - INF – XCCY précédent'!BF13</f>
        <v>-25405954.324758124</v>
      </c>
      <c r="BH12" s="1">
        <f>+'IRS - INF – XCCY précédent'!BG13</f>
        <v>-0.63514885811895305</v>
      </c>
      <c r="BI12" s="1">
        <f>+'IRS - INF – XCCY précédent'!BH13</f>
        <v>-438128.8814989829</v>
      </c>
      <c r="BJ12" s="1">
        <f>+'IRS - INF – XCCY précédent'!BI13</f>
        <v>-1.0953222037474572E-2</v>
      </c>
      <c r="BK12" s="1">
        <f>+'IRS - INF – XCCY précédent'!BJ13</f>
        <v>0</v>
      </c>
      <c r="BL12" s="1">
        <f>+'IRS - INF – XCCY précédent'!BK13</f>
        <v>-225569.31398699805</v>
      </c>
      <c r="BM12" s="1">
        <f>+'IRS - INF – XCCY précédent'!BL13</f>
        <v>-5.6392328496749355E-3</v>
      </c>
      <c r="BN12" s="1">
        <f>+'IRS - INF – XCCY précédent'!BM13</f>
        <v>0</v>
      </c>
      <c r="BO12" s="1">
        <f>+'IRS - INF – XCCY précédent'!BN13</f>
        <v>0</v>
      </c>
      <c r="BP12" s="1">
        <f>+'IRS - INF – XCCY précédent'!BO13</f>
        <v>0</v>
      </c>
      <c r="BQ12" s="1">
        <f>+'IRS - INF – XCCY précédent'!BP13</f>
        <v>0</v>
      </c>
      <c r="BR12" s="1" t="str">
        <f>+'IRS - INF – XCCY précédent'!BQ13</f>
        <v>alerte</v>
      </c>
      <c r="BS12" s="1">
        <f>+'IRS - INF – XCCY précédent'!BR13</f>
        <v>0</v>
      </c>
      <c r="BT12" s="1">
        <f>+'IRS - INF – XCCY précédent'!BS13</f>
        <v>-82257.533742889762</v>
      </c>
      <c r="BU12" s="1">
        <f>+'IRS - INF – XCCY précédent'!BT13</f>
        <v>-2.0564383435722755E-3</v>
      </c>
      <c r="BV12" s="1">
        <f>+'IRS - INF – XCCY précédent'!BU13</f>
        <v>-98795.185241878033</v>
      </c>
      <c r="BW12" s="1">
        <f>+'IRS - INF – XCCY précédent'!BV13</f>
        <v>-2.4698796310469451E-3</v>
      </c>
      <c r="BX12" s="1">
        <f>+'IRS - INF – XCCY précédent'!BW13</f>
        <v>16537.641498982906</v>
      </c>
      <c r="BY12" s="1">
        <f>+'IRS - INF – XCCY précédent'!BX13</f>
        <v>4.1344103747457256E-4</v>
      </c>
      <c r="BZ12" s="1">
        <f>+'IRS - INF – XCCY précédent'!BY13</f>
        <v>0</v>
      </c>
      <c r="CA12" s="1">
        <f>+'IRS - INF – XCCY précédent'!BZ13</f>
        <v>0</v>
      </c>
      <c r="CB12" s="1">
        <f>+'IRS - INF – XCCY précédent'!CA13</f>
        <v>25844083.206257109</v>
      </c>
      <c r="CC12" s="1">
        <f>+'IRS - INF – XCCY précédent'!CB13</f>
        <v>0.64610208015642767</v>
      </c>
      <c r="CD12" s="1">
        <f>+'IRS - INF – XCCY précédent'!CC13</f>
        <v>0</v>
      </c>
      <c r="CE12" s="1">
        <f>+'IRS - INF – XCCY précédent'!CD13</f>
        <v>0</v>
      </c>
      <c r="CF12" s="1">
        <f>+'IRS - INF – XCCY précédent'!CE13</f>
        <v>0</v>
      </c>
      <c r="CG12" s="1">
        <f>+'IRS - INF – XCCY précédent'!CF13</f>
        <v>0</v>
      </c>
      <c r="CH12" s="1">
        <f>+'IRS - INF – XCCY précédent'!CG13</f>
        <v>0</v>
      </c>
      <c r="CI12" s="1" t="str">
        <f>+'IRS - INF – XCCY précédent'!CH13</f>
        <v>léger dépassement sur un xccy swap, non significatif</v>
      </c>
      <c r="CJ12" s="1">
        <f>+'IRS - INF – XCCY précédent'!CI13</f>
        <v>0</v>
      </c>
      <c r="CK12" s="1" t="str">
        <f>+'IRS - INF – XCCY précédent'!CJ13</f>
        <v>DImension</v>
      </c>
      <c r="CL12" s="1" t="str">
        <f>+'IRS - INF – XCCY précédent'!CK13</f>
        <v>INFS10000061</v>
      </c>
      <c r="CM12" s="1" t="str">
        <f>+'IRS - INF – XCCY précédent'!CL13</f>
        <v>UTI</v>
      </c>
      <c r="CN12" s="1" t="str">
        <f>+'IRS - INF – XCCY précédent'!CM13</f>
        <v>1030272448IR123593169490</v>
      </c>
      <c r="CO12" s="1" t="str">
        <f>+'IRS - INF – XCCY précédent'!CN13</f>
        <v>LEI</v>
      </c>
      <c r="CP12" s="1" t="str">
        <f>+'IRS - INF – XCCY précédent'!CO13</f>
        <v>RR3QWICWWIPCS8A4S074</v>
      </c>
      <c r="CQ12" s="1" t="str">
        <f>+'IRS - INF – XCCY précédent'!CP13</f>
        <v>Code DI</v>
      </c>
      <c r="CR12" s="1" t="str">
        <f>+'IRS - INF – XCCY précédent'!CQ13</f>
        <v>SWAP_235</v>
      </c>
      <c r="CS12" s="1">
        <f>+'IRS - INF – XCCY précédent'!CR13</f>
        <v>0</v>
      </c>
      <c r="CT12" s="1">
        <f>+'IRS - INF – XCCY précédent'!CS13</f>
        <v>0</v>
      </c>
      <c r="CU12" s="1">
        <f>+'IRS - INF – XCCY précédent'!CT13</f>
        <v>0</v>
      </c>
      <c r="CV12" s="1">
        <f>+'IRS - INF – XCCY précédent'!CU13</f>
        <v>0</v>
      </c>
      <c r="CW12" s="1">
        <f>+'IRS - INF – XCCY précédent'!CV13</f>
        <v>0</v>
      </c>
      <c r="CX12" s="1">
        <f>+'IRS - INF – XCCY précédent'!CW13</f>
        <v>0</v>
      </c>
      <c r="CY12" s="1">
        <f>+'IRS - INF – XCCY précédent'!CX13</f>
        <v>0</v>
      </c>
      <c r="CZ12" s="1">
        <f>+'IRS - INF – XCCY précédent'!CY13</f>
        <v>0</v>
      </c>
      <c r="DA12" s="1">
        <f>+'IRS - INF – XCCY précédent'!CZ13</f>
        <v>0</v>
      </c>
      <c r="DB12" s="1">
        <f>+'IRS - INF – XCCY précédent'!DA13</f>
        <v>0</v>
      </c>
      <c r="DC12" s="1">
        <f>+'IRS - INF – XCCY précédent'!DB13</f>
        <v>0</v>
      </c>
      <c r="DD12" s="1">
        <f>+'IRS - INF – XCCY précédent'!DC13</f>
        <v>47324</v>
      </c>
      <c r="DE12" s="1">
        <f>+'IRS - INF – XCCY précédent'!DD13</f>
        <v>4.3194444444444446</v>
      </c>
      <c r="DF12" s="1">
        <f>+'IRS - INF – XCCY précédent'!DE13</f>
        <v>5.0000000000000001E-3</v>
      </c>
    </row>
    <row r="13" spans="1:122" x14ac:dyDescent="0.2">
      <c r="A13" s="56" t="str">
        <f>+INDEX('analyse trimestrielle'!$A$8:$A$1048576,MATCH('IFT précédent'!B13,'analyse trimestrielle'!$A$8:$A$1048576,0))</f>
        <v>SWAP_149</v>
      </c>
      <c r="B13" s="1" t="str">
        <f>+'IRS - INF – XCCY précédent'!A14</f>
        <v>SWAP_149</v>
      </c>
      <c r="C13" s="1" t="str">
        <f>+'IRS - INF – XCCY précédent'!B14</f>
        <v>Real Rate Swap</v>
      </c>
      <c r="D13" s="1" t="str">
        <f>+'IRS - INF – XCCY précédent'!C14</f>
        <v>Real Rate Swap</v>
      </c>
      <c r="E13" s="1">
        <f>+'IRS - INF – XCCY précédent'!D14</f>
        <v>67897352</v>
      </c>
      <c r="F13" s="1" t="str">
        <f>+'IRS - INF – XCCY précédent'!E14</f>
        <v>RBS</v>
      </c>
      <c r="G13" s="1">
        <f>+'IRS - INF – XCCY précédent'!F14</f>
        <v>0</v>
      </c>
      <c r="H13" s="1" t="str">
        <f>+'IRS - INF – XCCY précédent'!G14</f>
        <v>Inflation</v>
      </c>
      <c r="I13" s="1" t="str">
        <f>+'IRS - INF – XCCY précédent'!H14</f>
        <v>Payer</v>
      </c>
      <c r="J13" s="1" t="str">
        <f>+'IRS - INF – XCCY précédent'!I14</f>
        <v>FRCPIxT</v>
      </c>
      <c r="K13" s="1">
        <f>+'IRS - INF – XCCY précédent'!J14</f>
        <v>0</v>
      </c>
      <c r="L13" s="1" t="str">
        <f>+'IRS - INF – XCCY précédent'!K14</f>
        <v>07/26/1999</v>
      </c>
      <c r="M13" s="1" t="str">
        <f>+'IRS - INF – XCCY précédent'!L14</f>
        <v>07/25/2029</v>
      </c>
      <c r="N13" s="1">
        <f>+'IRS - INF – XCCY précédent'!M14</f>
        <v>25000000</v>
      </c>
      <c r="O13" s="1">
        <f>+'IRS - INF – XCCY précédent'!N14</f>
        <v>-42928930.740000002</v>
      </c>
      <c r="P13" s="1">
        <f>+'IRS - INF – XCCY précédent'!O14</f>
        <v>-1.7171572296000002</v>
      </c>
      <c r="Q13" s="1">
        <f>+'IRS - INF – XCCY précédent'!P14</f>
        <v>-42109279.969999999</v>
      </c>
      <c r="R13" s="1">
        <f>+'IRS - INF – XCCY précédent'!Q14</f>
        <v>-1.6843711987999999</v>
      </c>
      <c r="S13" s="1">
        <f>+'IRS - INF – XCCY précédent'!R14</f>
        <v>-819650.77</v>
      </c>
      <c r="T13" s="1">
        <f>+'IRS - INF – XCCY précédent'!S14</f>
        <v>-3.2786030799999998E-2</v>
      </c>
      <c r="U13" s="1">
        <f>+'IRS - INF – XCCY précédent'!T14</f>
        <v>-4.028765331438513</v>
      </c>
      <c r="V13" s="1">
        <f>+'IRS - INF – XCCY précédent'!U14</f>
        <v>17235.061385716126</v>
      </c>
      <c r="W13" s="1">
        <f>+'IRS - INF – XCCY précédent'!V14</f>
        <v>0</v>
      </c>
      <c r="X13" s="1" t="str">
        <f>+'IRS - INF – XCCY précédent'!W14</f>
        <v>Fixed</v>
      </c>
      <c r="Y13" s="1" t="str">
        <f>+'IRS - INF – XCCY précédent'!X14</f>
        <v>Receiver</v>
      </c>
      <c r="Z13" s="1">
        <f>+'IRS - INF – XCCY précédent'!Y14</f>
        <v>5.57</v>
      </c>
      <c r="AA13" s="1">
        <f>+'IRS - INF – XCCY précédent'!Z14</f>
        <v>0</v>
      </c>
      <c r="AB13" s="1" t="str">
        <f>+'IRS - INF – XCCY précédent'!AA14</f>
        <v>07/26/1999</v>
      </c>
      <c r="AC13" s="1" t="str">
        <f>+'IRS - INF – XCCY précédent'!AB14</f>
        <v>07/25/2029</v>
      </c>
      <c r="AD13" s="1">
        <f>+'IRS - INF – XCCY précédent'!AC14</f>
        <v>0</v>
      </c>
      <c r="AE13" s="1">
        <f>+'IRS - INF – XCCY précédent'!AD14</f>
        <v>25000000</v>
      </c>
      <c r="AF13" s="1">
        <f>+'IRS - INF – XCCY précédent'!AE14</f>
        <v>29275802.66</v>
      </c>
      <c r="AG13" s="1">
        <f>+'IRS - INF – XCCY précédent'!AF14</f>
        <v>1.1710321064</v>
      </c>
      <c r="AH13" s="1">
        <f>+'IRS - INF – XCCY précédent'!AG14</f>
        <v>28370677.66</v>
      </c>
      <c r="AI13" s="1">
        <f>+'IRS - INF – XCCY précédent'!AH14</f>
        <v>1.1348271064</v>
      </c>
      <c r="AJ13" s="1">
        <f>+'IRS - INF – XCCY précédent'!AI14</f>
        <v>905125</v>
      </c>
      <c r="AK13" s="1">
        <f>+'IRS - INF – XCCY précédent'!AJ14</f>
        <v>3.6205000000000001E-2</v>
      </c>
      <c r="AL13" s="1">
        <f>+'IRS - INF – XCCY précédent'!AK14</f>
        <v>3.8617245743567699</v>
      </c>
      <c r="AM13" s="1">
        <f>+'IRS - INF – XCCY précédent'!AL14</f>
        <v>-11265.941848578677</v>
      </c>
      <c r="AN13" s="1">
        <f>+'IRS - INF – XCCY précédent'!AM14</f>
        <v>0</v>
      </c>
      <c r="AO13" s="1">
        <f>+'IRS - INF – XCCY précédent'!AN14</f>
        <v>-13653128.09</v>
      </c>
      <c r="AP13" s="1">
        <f>+'IRS - INF – XCCY précédent'!AO14</f>
        <v>-0.54612512359999998</v>
      </c>
      <c r="AQ13" s="1">
        <f>+'IRS - INF – XCCY précédent'!AP14</f>
        <v>-13738602.310000001</v>
      </c>
      <c r="AR13" s="1">
        <f>+'IRS - INF – XCCY précédent'!AQ14</f>
        <v>-0.54954409240000002</v>
      </c>
      <c r="AS13" s="1">
        <f>+'IRS - INF – XCCY précédent'!AR14</f>
        <v>85474.23</v>
      </c>
      <c r="AT13" s="1">
        <f>+'IRS - INF – XCCY précédent'!AS14</f>
        <v>3.4189691999999996E-3</v>
      </c>
      <c r="AU13" s="1">
        <f>+'IRS - INF – XCCY précédent'!AT14</f>
        <v>-1.546137078869195</v>
      </c>
      <c r="AV13" s="1">
        <f>+'IRS - INF – XCCY précédent'!AU14</f>
        <v>5969.1195371374488</v>
      </c>
      <c r="AW13" s="1">
        <f>+'IRS - INF – XCCY précédent'!AV14</f>
        <v>0</v>
      </c>
      <c r="AX13" s="1">
        <f>+'IRS - INF – XCCY précédent'!AW14</f>
        <v>-13511966.157534</v>
      </c>
      <c r="AY13" s="1">
        <f>+'IRS - INF – XCCY précédent'!AX14</f>
        <v>-0.54047864630136</v>
      </c>
      <c r="AZ13" s="1">
        <f>+'IRS - INF – XCCY précédent'!AY14</f>
        <v>0</v>
      </c>
      <c r="BA13" s="1">
        <f>+'IRS - INF – XCCY précédent'!AZ14</f>
        <v>0</v>
      </c>
      <c r="BB13" s="1">
        <f>+'IRS - INF – XCCY précédent'!BA14</f>
        <v>0</v>
      </c>
      <c r="BC13" s="1">
        <f>+'IRS - INF – XCCY précédent'!BB14</f>
        <v>0</v>
      </c>
      <c r="BD13" s="1">
        <f>+'IRS - INF – XCCY précédent'!BC14</f>
        <v>0</v>
      </c>
      <c r="BE13" s="1">
        <f>+'IRS - INF – XCCY précédent'!BD14</f>
        <v>-13606664.433034033</v>
      </c>
      <c r="BF13" s="1">
        <f>+'IRS - INF – XCCY précédent'!BE14</f>
        <v>-0.5442665773213613</v>
      </c>
      <c r="BG13" s="1">
        <f>+'IRS - INF – XCCY précédent'!BF14</f>
        <v>-13681802.632097168</v>
      </c>
      <c r="BH13" s="1">
        <f>+'IRS - INF – XCCY précédent'!BG14</f>
        <v>-0.5472721052838867</v>
      </c>
      <c r="BI13" s="1">
        <f>+'IRS - INF – XCCY précédent'!BH14</f>
        <v>75138.199063135893</v>
      </c>
      <c r="BJ13" s="1">
        <f>+'IRS - INF – XCCY précédent'!BI14</f>
        <v>3.0055279625254357E-3</v>
      </c>
      <c r="BK13" s="1">
        <f>+'IRS - INF – XCCY précédent'!BJ14</f>
        <v>0</v>
      </c>
      <c r="BL13" s="1">
        <f>+'IRS - INF – XCCY précédent'!BK14</f>
        <v>-141161.93246600032</v>
      </c>
      <c r="BM13" s="1">
        <f>+'IRS - INF – XCCY précédent'!BL14</f>
        <v>-5.6464772986399847E-3</v>
      </c>
      <c r="BN13" s="1">
        <f>+'IRS - INF – XCCY précédent'!BM14</f>
        <v>0</v>
      </c>
      <c r="BO13" s="1">
        <f>+'IRS - INF – XCCY précédent'!BN14</f>
        <v>0</v>
      </c>
      <c r="BP13" s="1">
        <f>+'IRS - INF – XCCY précédent'!BO14</f>
        <v>0</v>
      </c>
      <c r="BQ13" s="1">
        <f>+'IRS - INF – XCCY précédent'!BP14</f>
        <v>0</v>
      </c>
      <c r="BR13" s="1" t="str">
        <f>+'IRS - INF – XCCY précédent'!BQ14</f>
        <v>alerte</v>
      </c>
      <c r="BS13" s="1">
        <f>+'IRS - INF – XCCY précédent'!BR14</f>
        <v>0</v>
      </c>
      <c r="BT13" s="1">
        <f>+'IRS - INF – XCCY précédent'!BS14</f>
        <v>-46463.656965967268</v>
      </c>
      <c r="BU13" s="1">
        <f>+'IRS - INF – XCCY précédent'!BT14</f>
        <v>-1.8585462786386842E-3</v>
      </c>
      <c r="BV13" s="1">
        <f>+'IRS - INF – XCCY précédent'!BU14</f>
        <v>-56799.677902832627</v>
      </c>
      <c r="BW13" s="1">
        <f>+'IRS - INF – XCCY précédent'!BV14</f>
        <v>-2.2719871161133165E-3</v>
      </c>
      <c r="BX13" s="1">
        <f>+'IRS - INF – XCCY précédent'!BW14</f>
        <v>10336.030936864103</v>
      </c>
      <c r="BY13" s="1">
        <f>+'IRS - INF – XCCY précédent'!BX14</f>
        <v>4.1344123747456395E-4</v>
      </c>
      <c r="BZ13" s="1">
        <f>+'IRS - INF – XCCY précédent'!BY14</f>
        <v>0</v>
      </c>
      <c r="CA13" s="1">
        <f>+'IRS - INF – XCCY précédent'!BZ14</f>
        <v>0</v>
      </c>
      <c r="CB13" s="1">
        <f>+'IRS - INF – XCCY précédent'!CA14</f>
        <v>13606664.433034033</v>
      </c>
      <c r="CC13" s="1">
        <f>+'IRS - INF – XCCY précédent'!CB14</f>
        <v>0.5442665773213613</v>
      </c>
      <c r="CD13" s="1">
        <f>+'IRS - INF – XCCY précédent'!CC14</f>
        <v>0</v>
      </c>
      <c r="CE13" s="1">
        <f>+'IRS - INF – XCCY précédent'!CD14</f>
        <v>0</v>
      </c>
      <c r="CF13" s="1">
        <f>+'IRS - INF – XCCY précédent'!CE14</f>
        <v>0</v>
      </c>
      <c r="CG13" s="1">
        <f>+'IRS - INF – XCCY précédent'!CF14</f>
        <v>0</v>
      </c>
      <c r="CH13" s="1">
        <f>+'IRS - INF – XCCY précédent'!CG14</f>
        <v>0</v>
      </c>
      <c r="CI13" s="1" t="str">
        <f>+'IRS - INF – XCCY précédent'!CH14</f>
        <v>léger dépassement sur un xccy swap, non significatif</v>
      </c>
      <c r="CJ13" s="1">
        <f>+'IRS - INF – XCCY précédent'!CI14</f>
        <v>0</v>
      </c>
      <c r="CK13" s="1" t="str">
        <f>+'IRS - INF – XCCY précédent'!CJ14</f>
        <v>DImension</v>
      </c>
      <c r="CL13" s="1" t="str">
        <f>+'IRS - INF – XCCY précédent'!CK14</f>
        <v>INFS10000063</v>
      </c>
      <c r="CM13" s="1" t="str">
        <f>+'IRS - INF – XCCY précédent'!CL14</f>
        <v>UTI</v>
      </c>
      <c r="CN13" s="1" t="str">
        <f>+'IRS - INF – XCCY précédent'!CM14</f>
        <v>1030272448IR123585073837</v>
      </c>
      <c r="CO13" s="1" t="str">
        <f>+'IRS - INF – XCCY précédent'!CN14</f>
        <v>LEI</v>
      </c>
      <c r="CP13" s="1" t="str">
        <f>+'IRS - INF – XCCY précédent'!CO14</f>
        <v>RR3QWICWWIPCS8A4S074</v>
      </c>
      <c r="CQ13" s="1" t="str">
        <f>+'IRS - INF – XCCY précédent'!CP14</f>
        <v>Code DI</v>
      </c>
      <c r="CR13" s="1" t="str">
        <f>+'IRS - INF – XCCY précédent'!CQ14</f>
        <v>SWAP_149</v>
      </c>
      <c r="CS13" s="1">
        <f>+'IRS - INF – XCCY précédent'!CR14</f>
        <v>0</v>
      </c>
      <c r="CT13" s="1">
        <f>+'IRS - INF – XCCY précédent'!CS14</f>
        <v>0</v>
      </c>
      <c r="CU13" s="1">
        <f>+'IRS - INF – XCCY précédent'!CT14</f>
        <v>0</v>
      </c>
      <c r="CV13" s="1">
        <f>+'IRS - INF – XCCY précédent'!CU14</f>
        <v>0</v>
      </c>
      <c r="CW13" s="1">
        <f>+'IRS - INF – XCCY précédent'!CV14</f>
        <v>0</v>
      </c>
      <c r="CX13" s="1">
        <f>+'IRS - INF – XCCY précédent'!CW14</f>
        <v>0</v>
      </c>
      <c r="CY13" s="1">
        <f>+'IRS - INF – XCCY précédent'!CX14</f>
        <v>0</v>
      </c>
      <c r="CZ13" s="1">
        <f>+'IRS - INF – XCCY précédent'!CY14</f>
        <v>0</v>
      </c>
      <c r="DA13" s="1">
        <f>+'IRS - INF – XCCY précédent'!CZ14</f>
        <v>0</v>
      </c>
      <c r="DB13" s="1">
        <f>+'IRS - INF – XCCY précédent'!DA14</f>
        <v>0</v>
      </c>
      <c r="DC13" s="1">
        <f>+'IRS - INF – XCCY précédent'!DB14</f>
        <v>-9.9999979138374329E-3</v>
      </c>
      <c r="DD13" s="1">
        <f>+'IRS - INF – XCCY précédent'!DC14</f>
        <v>47324</v>
      </c>
      <c r="DE13" s="1">
        <f>+'IRS - INF – XCCY précédent'!DD14</f>
        <v>4.3194444444444446</v>
      </c>
      <c r="DF13" s="1">
        <f>+'IRS - INF – XCCY précédent'!DE14</f>
        <v>5.0000000000000001E-3</v>
      </c>
    </row>
    <row r="14" spans="1:122" x14ac:dyDescent="0.2">
      <c r="A14" s="56" t="str">
        <f>+INDEX('analyse trimestrielle'!$A$8:$A$1048576,MATCH('IFT précédent'!B14,'analyse trimestrielle'!$A$8:$A$1048576,0))</f>
        <v>SWAP_255</v>
      </c>
      <c r="B14" s="1" t="str">
        <f>+'IRS - INF – XCCY précédent'!A15</f>
        <v>SWAP_255</v>
      </c>
      <c r="C14" s="1" t="str">
        <f>+'IRS - INF – XCCY précédent'!B15</f>
        <v>Real Rate Swap</v>
      </c>
      <c r="D14" s="1" t="str">
        <f>+'IRS - INF – XCCY précédent'!C15</f>
        <v>Real Rate Swap</v>
      </c>
      <c r="E14" s="1">
        <f>+'IRS - INF – XCCY précédent'!D15</f>
        <v>69115068</v>
      </c>
      <c r="F14" s="1" t="str">
        <f>+'IRS - INF – XCCY précédent'!E15</f>
        <v>BARCLAYS</v>
      </c>
      <c r="G14" s="1">
        <f>+'IRS - INF – XCCY précédent'!F15</f>
        <v>0</v>
      </c>
      <c r="H14" s="1" t="str">
        <f>+'IRS - INF – XCCY précédent'!G15</f>
        <v>Inflation</v>
      </c>
      <c r="I14" s="1" t="str">
        <f>+'IRS - INF – XCCY précédent'!H15</f>
        <v>Payer</v>
      </c>
      <c r="J14" s="1" t="str">
        <f>+'IRS - INF – XCCY précédent'!I15</f>
        <v>HICPxT</v>
      </c>
      <c r="K14" s="1">
        <f>+'IRS - INF – XCCY précédent'!J15</f>
        <v>0</v>
      </c>
      <c r="L14" s="1" t="str">
        <f>+'IRS - INF – XCCY précédent'!K15</f>
        <v>03/15/2011</v>
      </c>
      <c r="M14" s="1" t="str">
        <f>+'IRS - INF – XCCY précédent'!L15</f>
        <v>09/15/2026</v>
      </c>
      <c r="N14" s="1">
        <f>+'IRS - INF – XCCY précédent'!M15</f>
        <v>10000000</v>
      </c>
      <c r="O14" s="1">
        <f>+'IRS - INF – XCCY précédent'!N15</f>
        <v>-14023419.939999999</v>
      </c>
      <c r="P14" s="1">
        <f>+'IRS - INF – XCCY précédent'!O15</f>
        <v>-1.4023419939999999</v>
      </c>
      <c r="Q14" s="1">
        <f>+'IRS - INF – XCCY précédent'!P15</f>
        <v>-14021149.449999999</v>
      </c>
      <c r="R14" s="1">
        <f>+'IRS - INF – XCCY précédent'!Q15</f>
        <v>-1.4021149449999999</v>
      </c>
      <c r="S14" s="1">
        <f>+'IRS - INF – XCCY précédent'!R15</f>
        <v>-2270.4899999999998</v>
      </c>
      <c r="T14" s="1">
        <f>+'IRS - INF – XCCY précédent'!S15</f>
        <v>-2.2704899999999997E-4</v>
      </c>
      <c r="U14" s="1">
        <f>+'IRS - INF – XCCY précédent'!T15</f>
        <v>-1.4643660906681775</v>
      </c>
      <c r="V14" s="1">
        <f>+'IRS - INF – XCCY précédent'!U15</f>
        <v>2053.8523406082763</v>
      </c>
      <c r="W14" s="1">
        <f>+'IRS - INF – XCCY précédent'!V15</f>
        <v>0</v>
      </c>
      <c r="X14" s="1" t="str">
        <f>+'IRS - INF – XCCY précédent'!W15</f>
        <v>Fixed</v>
      </c>
      <c r="Y14" s="1" t="str">
        <f>+'IRS - INF – XCCY précédent'!X15</f>
        <v>Receiver</v>
      </c>
      <c r="Z14" s="1">
        <f>+'IRS - INF – XCCY précédent'!Y15</f>
        <v>5.56</v>
      </c>
      <c r="AA14" s="1">
        <f>+'IRS - INF – XCCY précédent'!Z15</f>
        <v>0</v>
      </c>
      <c r="AB14" s="1" t="str">
        <f>+'IRS - INF – XCCY précédent'!AA15</f>
        <v>03/15/2011</v>
      </c>
      <c r="AC14" s="1" t="str">
        <f>+'IRS - INF – XCCY précédent'!AB15</f>
        <v>09/15/2026</v>
      </c>
      <c r="AD14" s="1">
        <f>+'IRS - INF – XCCY précédent'!AC15</f>
        <v>0</v>
      </c>
      <c r="AE14" s="1">
        <f>+'IRS - INF – XCCY précédent'!AD15</f>
        <v>10000000</v>
      </c>
      <c r="AF14" s="1">
        <f>+'IRS - INF – XCCY précédent'!AE15</f>
        <v>10494048.039999999</v>
      </c>
      <c r="AG14" s="1">
        <f>+'IRS - INF – XCCY précédent'!AF15</f>
        <v>1.0494048039999999</v>
      </c>
      <c r="AH14" s="1">
        <f>+'IRS - INF – XCCY précédent'!AG15</f>
        <v>10490959.15</v>
      </c>
      <c r="AI14" s="1">
        <f>+'IRS - INF – XCCY précédent'!AH15</f>
        <v>1.0490959150000001</v>
      </c>
      <c r="AJ14" s="1">
        <f>+'IRS - INF – XCCY précédent'!AI15</f>
        <v>3088.89</v>
      </c>
      <c r="AK14" s="1">
        <f>+'IRS - INF – XCCY précédent'!AJ15</f>
        <v>3.0888899999999996E-4</v>
      </c>
      <c r="AL14" s="1">
        <f>+'IRS - INF – XCCY précédent'!AK15</f>
        <v>1.4475096410543313</v>
      </c>
      <c r="AM14" s="1">
        <f>+'IRS - INF – XCCY précédent'!AL15</f>
        <v>-1519.4811510575935</v>
      </c>
      <c r="AN14" s="1">
        <f>+'IRS - INF – XCCY précédent'!AM15</f>
        <v>0</v>
      </c>
      <c r="AO14" s="1">
        <f>+'IRS - INF – XCCY précédent'!AN15</f>
        <v>-3529371.9</v>
      </c>
      <c r="AP14" s="1">
        <f>+'IRS - INF – XCCY précédent'!AO15</f>
        <v>-0.35293719000000001</v>
      </c>
      <c r="AQ14" s="1">
        <f>+'IRS - INF – XCCY précédent'!AP15</f>
        <v>-3530190.3</v>
      </c>
      <c r="AR14" s="1">
        <f>+'IRS - INF – XCCY précédent'!AQ15</f>
        <v>-0.35301902999999996</v>
      </c>
      <c r="AS14" s="1">
        <f>+'IRS - INF – XCCY précédent'!AR15</f>
        <v>818.4</v>
      </c>
      <c r="AT14" s="1">
        <f>+'IRS - INF – XCCY précédent'!AS15</f>
        <v>8.1840000000000002E-5</v>
      </c>
      <c r="AU14" s="1">
        <f>+'IRS - INF – XCCY précédent'!AT15</f>
        <v>-0.39500160440577387</v>
      </c>
      <c r="AV14" s="1">
        <f>+'IRS - INF – XCCY précédent'!AU15</f>
        <v>534.37118955068286</v>
      </c>
      <c r="AW14" s="1">
        <f>+'IRS - INF – XCCY précédent'!AV15</f>
        <v>0</v>
      </c>
      <c r="AX14" s="1">
        <f>+'IRS - INF – XCCY précédent'!AW15</f>
        <v>-3531330</v>
      </c>
      <c r="AY14" s="1">
        <f>+'IRS - INF – XCCY précédent'!AX15</f>
        <v>-0.35313299999999997</v>
      </c>
      <c r="AZ14" s="1">
        <f>+'IRS - INF – XCCY précédent'!AY15</f>
        <v>0</v>
      </c>
      <c r="BA14" s="1">
        <f>+'IRS - INF – XCCY précédent'!AZ15</f>
        <v>0</v>
      </c>
      <c r="BB14" s="1">
        <f>+'IRS - INF – XCCY précédent'!BA15</f>
        <v>0</v>
      </c>
      <c r="BC14" s="1">
        <f>+'IRS - INF – XCCY précédent'!BB15</f>
        <v>0</v>
      </c>
      <c r="BD14" s="1">
        <f>+'IRS - INF – XCCY précédent'!BC15</f>
        <v>0</v>
      </c>
      <c r="BE14" s="1">
        <f>+'IRS - INF – XCCY précédent'!BD15</f>
        <v>-3528329.5963967443</v>
      </c>
      <c r="BF14" s="1">
        <f>+'IRS - INF – XCCY précédent'!BE15</f>
        <v>-0.35283295963967443</v>
      </c>
      <c r="BG14" s="1">
        <f>+'IRS - INF – XCCY précédent'!BF15</f>
        <v>-3529922.9259574609</v>
      </c>
      <c r="BH14" s="1">
        <f>+'IRS - INF – XCCY précédent'!BG15</f>
        <v>-0.3529922925957461</v>
      </c>
      <c r="BI14" s="1">
        <f>+'IRS - INF – XCCY précédent'!BH15</f>
        <v>1593.3295607166901</v>
      </c>
      <c r="BJ14" s="1">
        <f>+'IRS - INF – XCCY précédent'!BI15</f>
        <v>1.59332956071669E-4</v>
      </c>
      <c r="BK14" s="1">
        <f>+'IRS - INF – XCCY précédent'!BJ15</f>
        <v>0</v>
      </c>
      <c r="BL14" s="1">
        <f>+'IRS - INF – XCCY précédent'!BK15</f>
        <v>1958.1000000000931</v>
      </c>
      <c r="BM14" s="1">
        <f>+'IRS - INF – XCCY précédent'!BL15</f>
        <v>1.9580999999996296E-4</v>
      </c>
      <c r="BN14" s="1">
        <f>+'IRS - INF – XCCY précédent'!BM15</f>
        <v>0</v>
      </c>
      <c r="BO14" s="1">
        <f>+'IRS - INF – XCCY précédent'!BN15</f>
        <v>0</v>
      </c>
      <c r="BP14" s="1">
        <f>+'IRS - INF – XCCY précédent'!BO15</f>
        <v>0</v>
      </c>
      <c r="BQ14" s="1">
        <f>+'IRS - INF – XCCY précédent'!BP15</f>
        <v>0</v>
      </c>
      <c r="BR14" s="1" t="str">
        <f>+'IRS - INF – XCCY précédent'!BQ15</f>
        <v/>
      </c>
      <c r="BS14" s="1">
        <f>+'IRS - INF – XCCY précédent'!BR15</f>
        <v>0</v>
      </c>
      <c r="BT14" s="1">
        <f>+'IRS - INF – XCCY précédent'!BS15</f>
        <v>-1042.3036032556556</v>
      </c>
      <c r="BU14" s="1">
        <f>+'IRS - INF – XCCY précédent'!BT15</f>
        <v>-1.0423036032558564E-4</v>
      </c>
      <c r="BV14" s="1">
        <f>+'IRS - INF – XCCY précédent'!BU15</f>
        <v>-267.37404253892601</v>
      </c>
      <c r="BW14" s="1">
        <f>+'IRS - INF – XCCY précédent'!BV15</f>
        <v>-2.6737404253851516E-5</v>
      </c>
      <c r="BX14" s="1">
        <f>+'IRS - INF – XCCY précédent'!BW15</f>
        <v>-774.92956071669016</v>
      </c>
      <c r="BY14" s="1">
        <f>+'IRS - INF – XCCY précédent'!BX15</f>
        <v>-7.7492956071669E-5</v>
      </c>
      <c r="BZ14" s="1">
        <f>+'IRS - INF – XCCY précédent'!BY15</f>
        <v>0</v>
      </c>
      <c r="CA14" s="1">
        <f>+'IRS - INF – XCCY précédent'!BZ15</f>
        <v>0</v>
      </c>
      <c r="CB14" s="1">
        <f>+'IRS - INF – XCCY précédent'!CA15</f>
        <v>3528329.5963967443</v>
      </c>
      <c r="CC14" s="1">
        <f>+'IRS - INF – XCCY précédent'!CB15</f>
        <v>0.35283295963967443</v>
      </c>
      <c r="CD14" s="1">
        <f>+'IRS - INF – XCCY précédent'!CC15</f>
        <v>0</v>
      </c>
      <c r="CE14" s="1">
        <f>+'IRS - INF – XCCY précédent'!CD15</f>
        <v>0</v>
      </c>
      <c r="CF14" s="1">
        <f>+'IRS - INF – XCCY précédent'!CE15</f>
        <v>0</v>
      </c>
      <c r="CG14" s="1">
        <f>+'IRS - INF – XCCY précédent'!CF15</f>
        <v>0</v>
      </c>
      <c r="CH14" s="1">
        <f>+'IRS - INF – XCCY précédent'!CG15</f>
        <v>0</v>
      </c>
      <c r="CI14" s="1">
        <f>+'IRS - INF – XCCY précédent'!CH15</f>
        <v>0</v>
      </c>
      <c r="CJ14" s="1">
        <f>+'IRS - INF – XCCY précédent'!CI15</f>
        <v>0</v>
      </c>
      <c r="CK14" s="1" t="str">
        <f>+'IRS - INF – XCCY précédent'!CJ15</f>
        <v>DImension</v>
      </c>
      <c r="CL14" s="1" t="str">
        <f>+'IRS - INF – XCCY précédent'!CK15</f>
        <v>INFS10000057</v>
      </c>
      <c r="CM14" s="1" t="str">
        <f>+'IRS - INF – XCCY précédent'!CL15</f>
        <v>UTI</v>
      </c>
      <c r="CN14" s="1" t="str">
        <f>+'IRS - INF – XCCY précédent'!CM15</f>
        <v>103020945210117862389BZZZZZZZZZZZZZZZZZZZZ</v>
      </c>
      <c r="CO14" s="1" t="str">
        <f>+'IRS - INF – XCCY précédent'!CN15</f>
        <v>LEI</v>
      </c>
      <c r="CP14" s="1" t="str">
        <f>+'IRS - INF – XCCY précédent'!CO15</f>
        <v>G5GSEF7VJP5I7OUK5573</v>
      </c>
      <c r="CQ14" s="1" t="str">
        <f>+'IRS - INF – XCCY précédent'!CP15</f>
        <v>Code DI</v>
      </c>
      <c r="CR14" s="1" t="str">
        <f>+'IRS - INF – XCCY précédent'!CQ15</f>
        <v>SWAP_255</v>
      </c>
      <c r="CS14" s="1">
        <f>+'IRS - INF – XCCY précédent'!CR15</f>
        <v>0</v>
      </c>
      <c r="CT14" s="1">
        <f>+'IRS - INF – XCCY précédent'!CS15</f>
        <v>0</v>
      </c>
      <c r="CU14" s="1">
        <f>+'IRS - INF – XCCY précédent'!CT15</f>
        <v>0</v>
      </c>
      <c r="CV14" s="1">
        <f>+'IRS - INF – XCCY précédent'!CU15</f>
        <v>0</v>
      </c>
      <c r="CW14" s="1">
        <f>+'IRS - INF – XCCY précédent'!CV15</f>
        <v>0</v>
      </c>
      <c r="CX14" s="1">
        <f>+'IRS - INF – XCCY précédent'!CW15</f>
        <v>0</v>
      </c>
      <c r="CY14" s="1">
        <f>+'IRS - INF – XCCY précédent'!CX15</f>
        <v>0</v>
      </c>
      <c r="CZ14" s="1">
        <f>+'IRS - INF – XCCY précédent'!CY15</f>
        <v>0</v>
      </c>
      <c r="DA14" s="1">
        <f>+'IRS - INF – XCCY précédent'!CZ15</f>
        <v>0</v>
      </c>
      <c r="DB14" s="1">
        <f>+'IRS - INF – XCCY précédent'!DA15</f>
        <v>0</v>
      </c>
      <c r="DC14" s="1">
        <f>+'IRS - INF – XCCY précédent'!DB15</f>
        <v>0</v>
      </c>
      <c r="DD14" s="1">
        <f>+'IRS - INF – XCCY précédent'!DC15</f>
        <v>46280</v>
      </c>
      <c r="DE14" s="1">
        <f>+'IRS - INF – XCCY précédent'!DD15</f>
        <v>1.4583333333333333</v>
      </c>
      <c r="DF14" s="1">
        <f>+'IRS - INF – XCCY précédent'!DE15</f>
        <v>9.0000000000000011E-3</v>
      </c>
    </row>
    <row r="15" spans="1:122" x14ac:dyDescent="0.2">
      <c r="A15" s="56" t="str">
        <f>+INDEX('analyse trimestrielle'!$A$8:$A$1048576,MATCH('IFT précédent'!B15,'analyse trimestrielle'!$A$8:$A$1048576,0))</f>
        <v>SWAP_234</v>
      </c>
      <c r="B15" s="1" t="str">
        <f>+'IRS - INF – XCCY précédent'!A16</f>
        <v>SWAP_234</v>
      </c>
      <c r="C15" s="1" t="str">
        <f>+'IRS - INF – XCCY précédent'!B16</f>
        <v>Real Rate Swap</v>
      </c>
      <c r="D15" s="1" t="str">
        <f>+'IRS - INF – XCCY précédent'!C16</f>
        <v>Real Rate Swap</v>
      </c>
      <c r="E15" s="1">
        <f>+'IRS - INF – XCCY précédent'!D16</f>
        <v>69012376</v>
      </c>
      <c r="F15" s="1" t="str">
        <f>+'IRS - INF – XCCY précédent'!E16</f>
        <v>NOMURA</v>
      </c>
      <c r="G15" s="1">
        <f>+'IRS - INF – XCCY précédent'!F16</f>
        <v>0</v>
      </c>
      <c r="H15" s="1" t="str">
        <f>+'IRS - INF – XCCY précédent'!G16</f>
        <v>Inflation</v>
      </c>
      <c r="I15" s="1" t="str">
        <f>+'IRS - INF – XCCY précédent'!H16</f>
        <v>Payer</v>
      </c>
      <c r="J15" s="1" t="str">
        <f>+'IRS - INF – XCCY précédent'!I16</f>
        <v>FRCPIxT</v>
      </c>
      <c r="K15" s="1">
        <f>+'IRS - INF – XCCY précédent'!J16</f>
        <v>0</v>
      </c>
      <c r="L15" s="1" t="str">
        <f>+'IRS - INF – XCCY précédent'!K16</f>
        <v>07/26/1999</v>
      </c>
      <c r="M15" s="1" t="str">
        <f>+'IRS - INF – XCCY précédent'!L16</f>
        <v>07/25/2029</v>
      </c>
      <c r="N15" s="1">
        <f>+'IRS - INF – XCCY précédent'!M16</f>
        <v>25000000</v>
      </c>
      <c r="O15" s="1">
        <f>+'IRS - INF – XCCY précédent'!N16</f>
        <v>-42836963.409999996</v>
      </c>
      <c r="P15" s="1">
        <f>+'IRS - INF – XCCY précédent'!O16</f>
        <v>-1.7134785363999998</v>
      </c>
      <c r="Q15" s="1">
        <f>+'IRS - INF – XCCY précédent'!P16</f>
        <v>-42016792.189999998</v>
      </c>
      <c r="R15" s="1">
        <f>+'IRS - INF – XCCY précédent'!Q16</f>
        <v>-1.6806716875999999</v>
      </c>
      <c r="S15" s="1">
        <f>+'IRS - INF – XCCY précédent'!R16</f>
        <v>-820171.22</v>
      </c>
      <c r="T15" s="1">
        <f>+'IRS - INF – XCCY précédent'!S16</f>
        <v>-3.2806848799999996E-2</v>
      </c>
      <c r="U15" s="1">
        <f>+'IRS - INF – XCCY précédent'!T16</f>
        <v>-4.028765331438513</v>
      </c>
      <c r="V15" s="1">
        <f>+'IRS - INF – XCCY précédent'!U16</f>
        <v>17235.061385716126</v>
      </c>
      <c r="W15" s="1">
        <f>+'IRS - INF – XCCY précédent'!V16</f>
        <v>0</v>
      </c>
      <c r="X15" s="1" t="str">
        <f>+'IRS - INF – XCCY précédent'!W16</f>
        <v>Fixed</v>
      </c>
      <c r="Y15" s="1" t="str">
        <f>+'IRS - INF – XCCY précédent'!X16</f>
        <v>Receiver</v>
      </c>
      <c r="Z15" s="1">
        <f>+'IRS - INF – XCCY précédent'!Y16</f>
        <v>3.415</v>
      </c>
      <c r="AA15" s="1">
        <f>+'IRS - INF – XCCY précédent'!Z16</f>
        <v>0</v>
      </c>
      <c r="AB15" s="1" t="str">
        <f>+'IRS - INF – XCCY précédent'!AA16</f>
        <v>07/26/1999</v>
      </c>
      <c r="AC15" s="1" t="str">
        <f>+'IRS - INF – XCCY précédent'!AB16</f>
        <v>07/25/2029</v>
      </c>
      <c r="AD15" s="1">
        <f>+'IRS - INF – XCCY précédent'!AC16</f>
        <v>0</v>
      </c>
      <c r="AE15" s="1">
        <f>+'IRS - INF – XCCY précédent'!AD16</f>
        <v>25000000</v>
      </c>
      <c r="AF15" s="1">
        <f>+'IRS - INF – XCCY précédent'!AE16</f>
        <v>26625892.190000001</v>
      </c>
      <c r="AG15" s="1">
        <f>+'IRS - INF – XCCY précédent'!AF16</f>
        <v>1.0650356876</v>
      </c>
      <c r="AH15" s="1">
        <f>+'IRS - INF – XCCY précédent'!AG16</f>
        <v>26070954.690000001</v>
      </c>
      <c r="AI15" s="1">
        <f>+'IRS - INF – XCCY précédent'!AH16</f>
        <v>1.0428381876000001</v>
      </c>
      <c r="AJ15" s="1">
        <f>+'IRS - INF – XCCY précédent'!AI16</f>
        <v>554937.5</v>
      </c>
      <c r="AK15" s="1">
        <f>+'IRS - INF – XCCY précédent'!AJ16</f>
        <v>2.2197499999999998E-2</v>
      </c>
      <c r="AL15" s="1">
        <f>+'IRS - INF – XCCY précédent'!AK16</f>
        <v>4.0125084874160919</v>
      </c>
      <c r="AM15" s="1">
        <f>+'IRS - INF – XCCY précédent'!AL16</f>
        <v>-10680.721734275297</v>
      </c>
      <c r="AN15" s="1">
        <f>+'IRS - INF – XCCY précédent'!AM16</f>
        <v>0</v>
      </c>
      <c r="AO15" s="1">
        <f>+'IRS - INF – XCCY précédent'!AN16</f>
        <v>-16211071.220000001</v>
      </c>
      <c r="AP15" s="1">
        <f>+'IRS - INF – XCCY précédent'!AO16</f>
        <v>-0.64844284880000003</v>
      </c>
      <c r="AQ15" s="1">
        <f>+'IRS - INF – XCCY précédent'!AP16</f>
        <v>-15945837.5</v>
      </c>
      <c r="AR15" s="1">
        <f>+'IRS - INF – XCCY précédent'!AQ16</f>
        <v>-0.63783350000000005</v>
      </c>
      <c r="AS15" s="1">
        <f>+'IRS - INF – XCCY précédent'!AR16</f>
        <v>-265233.71999999997</v>
      </c>
      <c r="AT15" s="1">
        <f>+'IRS - INF – XCCY précédent'!AS16</f>
        <v>-1.06093488E-2</v>
      </c>
      <c r="AU15" s="1">
        <f>+'IRS - INF – XCCY précédent'!AT16</f>
        <v>-1.5923493246754934</v>
      </c>
      <c r="AV15" s="1">
        <f>+'IRS - INF – XCCY précédent'!AU16</f>
        <v>6554.3396514408287</v>
      </c>
      <c r="AW15" s="1">
        <f>+'IRS - INF – XCCY précédent'!AV16</f>
        <v>0</v>
      </c>
      <c r="AX15" s="1">
        <f>+'IRS - INF – XCCY précédent'!AW16</f>
        <v>-16006135.998788001</v>
      </c>
      <c r="AY15" s="1">
        <f>+'IRS - INF – XCCY précédent'!AX16</f>
        <v>-0.64024543995152006</v>
      </c>
      <c r="AZ15" s="1">
        <f>+'IRS - INF – XCCY précédent'!AY16</f>
        <v>0</v>
      </c>
      <c r="BA15" s="1">
        <f>+'IRS - INF – XCCY précédent'!AZ16</f>
        <v>0</v>
      </c>
      <c r="BB15" s="1">
        <f>+'IRS - INF – XCCY précédent'!BA16</f>
        <v>0</v>
      </c>
      <c r="BC15" s="1">
        <f>+'IRS - INF – XCCY précédent'!BB16</f>
        <v>0</v>
      </c>
      <c r="BD15" s="1">
        <f>+'IRS - INF – XCCY précédent'!BC16</f>
        <v>0</v>
      </c>
      <c r="BE15" s="1">
        <f>+'IRS - INF – XCCY précédent'!BD16</f>
        <v>-16161443.345834592</v>
      </c>
      <c r="BF15" s="1">
        <f>+'IRS - INF – XCCY précédent'!BE16</f>
        <v>-0.64645773383338367</v>
      </c>
      <c r="BG15" s="1">
        <f>+'IRS - INF – XCCY précédent'!BF16</f>
        <v>-15886394.044897726</v>
      </c>
      <c r="BH15" s="1">
        <f>+'IRS - INF – XCCY précédent'!BG16</f>
        <v>-0.63545576179590901</v>
      </c>
      <c r="BI15" s="1">
        <f>+'IRS - INF – XCCY précédent'!BH16</f>
        <v>-275049.30093686434</v>
      </c>
      <c r="BJ15" s="1">
        <f>+'IRS - INF – XCCY précédent'!BI16</f>
        <v>-1.1001972037474574E-2</v>
      </c>
      <c r="BK15" s="1">
        <f>+'IRS - INF – XCCY précédent'!BJ16</f>
        <v>0</v>
      </c>
      <c r="BL15" s="1">
        <f>+'IRS - INF – XCCY précédent'!BK16</f>
        <v>-204935.22121199965</v>
      </c>
      <c r="BM15" s="1">
        <f>+'IRS - INF – XCCY précédent'!BL16</f>
        <v>-8.1974088484799701E-3</v>
      </c>
      <c r="BN15" s="1">
        <f>+'IRS - INF – XCCY précédent'!BM16</f>
        <v>0</v>
      </c>
      <c r="BO15" s="1">
        <f>+'IRS - INF – XCCY précédent'!BN16</f>
        <v>0</v>
      </c>
      <c r="BP15" s="1">
        <f>+'IRS - INF – XCCY précédent'!BO16</f>
        <v>0</v>
      </c>
      <c r="BQ15" s="1">
        <f>+'IRS - INF – XCCY précédent'!BP16</f>
        <v>0</v>
      </c>
      <c r="BR15" s="1" t="str">
        <f>+'IRS - INF – XCCY précédent'!BQ16</f>
        <v>alerte</v>
      </c>
      <c r="BS15" s="1">
        <f>+'IRS - INF – XCCY précédent'!BR16</f>
        <v>0</v>
      </c>
      <c r="BT15" s="1">
        <f>+'IRS - INF – XCCY précédent'!BS16</f>
        <v>-49627.874165408313</v>
      </c>
      <c r="BU15" s="1">
        <f>+'IRS - INF – XCCY précédent'!BT16</f>
        <v>-1.9851149666163526E-3</v>
      </c>
      <c r="BV15" s="1">
        <f>+'IRS - INF – XCCY précédent'!BU16</f>
        <v>-59443.455102274194</v>
      </c>
      <c r="BW15" s="1">
        <f>+'IRS - INF – XCCY précédent'!BV16</f>
        <v>-2.37773820409104E-3</v>
      </c>
      <c r="BX15" s="1">
        <f>+'IRS - INF – XCCY précédent'!BW16</f>
        <v>9815.5809368643677</v>
      </c>
      <c r="BY15" s="1">
        <f>+'IRS - INF – XCCY précédent'!BX16</f>
        <v>3.9262323747457466E-4</v>
      </c>
      <c r="BZ15" s="1">
        <f>+'IRS - INF – XCCY précédent'!BY16</f>
        <v>0</v>
      </c>
      <c r="CA15" s="1">
        <f>+'IRS - INF – XCCY précédent'!BZ16</f>
        <v>0</v>
      </c>
      <c r="CB15" s="1">
        <f>+'IRS - INF – XCCY précédent'!CA16</f>
        <v>16161443.345834592</v>
      </c>
      <c r="CC15" s="1">
        <f>+'IRS - INF – XCCY précédent'!CB16</f>
        <v>0.64645773383338367</v>
      </c>
      <c r="CD15" s="1">
        <f>+'IRS - INF – XCCY précédent'!CC16</f>
        <v>0</v>
      </c>
      <c r="CE15" s="1">
        <f>+'IRS - INF – XCCY précédent'!CD16</f>
        <v>0</v>
      </c>
      <c r="CF15" s="1">
        <f>+'IRS - INF – XCCY précédent'!CE16</f>
        <v>0</v>
      </c>
      <c r="CG15" s="1">
        <f>+'IRS - INF – XCCY précédent'!CF16</f>
        <v>0</v>
      </c>
      <c r="CH15" s="1">
        <f>+'IRS - INF – XCCY précédent'!CG16</f>
        <v>0</v>
      </c>
      <c r="CI15" s="1" t="str">
        <f>+'IRS - INF – XCCY précédent'!CH16</f>
        <v>léger dépassement sur un xccy swap, non significatif</v>
      </c>
      <c r="CJ15" s="1">
        <f>+'IRS - INF – XCCY précédent'!CI16</f>
        <v>0</v>
      </c>
      <c r="CK15" s="1" t="str">
        <f>+'IRS - INF – XCCY précédent'!CJ16</f>
        <v>DImension</v>
      </c>
      <c r="CL15" s="1" t="str">
        <f>+'IRS - INF – XCCY précédent'!CK16</f>
        <v>INFS10000059</v>
      </c>
      <c r="CM15" s="1" t="str">
        <f>+'IRS - INF – XCCY précédent'!CL16</f>
        <v>UTI</v>
      </c>
      <c r="CN15" s="1" t="str">
        <f>+'IRS - INF – XCCY précédent'!CM16</f>
        <v>10302640771TTRTKHLRQH33H76N3THLSCNDH3SKNS7</v>
      </c>
      <c r="CO15" s="1" t="str">
        <f>+'IRS - INF – XCCY précédent'!CN16</f>
        <v>LEI</v>
      </c>
      <c r="CP15" s="1" t="str">
        <f>+'IRS - INF – XCCY précédent'!CO16</f>
        <v>DGQCSV2PHVF7I2743539</v>
      </c>
      <c r="CQ15" s="1" t="str">
        <f>+'IRS - INF – XCCY précédent'!CP16</f>
        <v>Code DI</v>
      </c>
      <c r="CR15" s="1" t="str">
        <f>+'IRS - INF – XCCY précédent'!CQ16</f>
        <v>SWAP_234</v>
      </c>
      <c r="CS15" s="1">
        <f>+'IRS - INF – XCCY précédent'!CR16</f>
        <v>0</v>
      </c>
      <c r="CT15" s="1">
        <f>+'IRS - INF – XCCY précédent'!CS16</f>
        <v>0</v>
      </c>
      <c r="CU15" s="1">
        <f>+'IRS - INF – XCCY précédent'!CT16</f>
        <v>0</v>
      </c>
      <c r="CV15" s="1">
        <f>+'IRS - INF – XCCY précédent'!CU16</f>
        <v>0</v>
      </c>
      <c r="CW15" s="1">
        <f>+'IRS - INF – XCCY précédent'!CV16</f>
        <v>0</v>
      </c>
      <c r="CX15" s="1">
        <f>+'IRS - INF – XCCY précédent'!CW16</f>
        <v>0</v>
      </c>
      <c r="CY15" s="1">
        <f>+'IRS - INF – XCCY précédent'!CX16</f>
        <v>0</v>
      </c>
      <c r="CZ15" s="1">
        <f>+'IRS - INF – XCCY précédent'!CY16</f>
        <v>0</v>
      </c>
      <c r="DA15" s="1">
        <f>+'IRS - INF – XCCY précédent'!CZ16</f>
        <v>0</v>
      </c>
      <c r="DB15" s="1">
        <f>+'IRS - INF – XCCY précédent'!DA16</f>
        <v>0</v>
      </c>
      <c r="DC15" s="1">
        <f>+'IRS - INF – XCCY précédent'!DB16</f>
        <v>0</v>
      </c>
      <c r="DD15" s="1">
        <f>+'IRS - INF – XCCY précédent'!DC16</f>
        <v>47324</v>
      </c>
      <c r="DE15" s="1">
        <f>+'IRS - INF – XCCY précédent'!DD16</f>
        <v>4.3194444444444446</v>
      </c>
      <c r="DF15" s="1">
        <f>+'IRS - INF – XCCY précédent'!DE16</f>
        <v>5.0000000000000001E-3</v>
      </c>
    </row>
    <row r="16" spans="1:122" x14ac:dyDescent="0.2">
      <c r="A16" s="56" t="str">
        <f>+INDEX('analyse trimestrielle'!$A$8:$A$1048576,MATCH('IFT précédent'!B16,'analyse trimestrielle'!$A$8:$A$1048576,0))</f>
        <v>SWAP_148</v>
      </c>
      <c r="B16" s="1" t="str">
        <f>+'IRS - INF – XCCY précédent'!A17</f>
        <v>SWAP_148</v>
      </c>
      <c r="C16" s="1" t="str">
        <f>+'IRS - INF – XCCY précédent'!B17</f>
        <v>Real Rate Swap</v>
      </c>
      <c r="D16" s="1" t="str">
        <f>+'IRS - INF – XCCY précédent'!C17</f>
        <v>Real Rate Swap</v>
      </c>
      <c r="E16" s="1">
        <f>+'IRS - INF – XCCY précédent'!D17</f>
        <v>67897338</v>
      </c>
      <c r="F16" s="1" t="str">
        <f>+'IRS - INF – XCCY précédent'!E17</f>
        <v>BNP PARIBAS</v>
      </c>
      <c r="G16" s="1">
        <f>+'IRS - INF – XCCY précédent'!F17</f>
        <v>0</v>
      </c>
      <c r="H16" s="1" t="str">
        <f>+'IRS - INF – XCCY précédent'!G17</f>
        <v>Inflation</v>
      </c>
      <c r="I16" s="1" t="str">
        <f>+'IRS - INF – XCCY précédent'!H17</f>
        <v>Payer</v>
      </c>
      <c r="J16" s="1" t="str">
        <f>+'IRS - INF – XCCY précédent'!I17</f>
        <v>FRCPIxT</v>
      </c>
      <c r="K16" s="1">
        <f>+'IRS - INF – XCCY précédent'!J17</f>
        <v>0</v>
      </c>
      <c r="L16" s="1" t="str">
        <f>+'IRS - INF – XCCY précédent'!K17</f>
        <v>07/26/1999</v>
      </c>
      <c r="M16" s="1" t="str">
        <f>+'IRS - INF – XCCY précédent'!L17</f>
        <v>07/25/2029</v>
      </c>
      <c r="N16" s="1">
        <f>+'IRS - INF – XCCY précédent'!M17</f>
        <v>25000000</v>
      </c>
      <c r="O16" s="1">
        <f>+'IRS - INF – XCCY précédent'!N17</f>
        <v>-42836963.409999996</v>
      </c>
      <c r="P16" s="1">
        <f>+'IRS - INF – XCCY précédent'!O17</f>
        <v>-1.7134785363999998</v>
      </c>
      <c r="Q16" s="1">
        <f>+'IRS - INF – XCCY précédent'!P17</f>
        <v>-42016792.189999998</v>
      </c>
      <c r="R16" s="1">
        <f>+'IRS - INF – XCCY précédent'!Q17</f>
        <v>-1.6806716875999999</v>
      </c>
      <c r="S16" s="1">
        <f>+'IRS - INF – XCCY précédent'!R17</f>
        <v>-820171.22</v>
      </c>
      <c r="T16" s="1">
        <f>+'IRS - INF – XCCY précédent'!S17</f>
        <v>-3.2806848799999996E-2</v>
      </c>
      <c r="U16" s="1">
        <f>+'IRS - INF – XCCY précédent'!T17</f>
        <v>-4.0287486102905659</v>
      </c>
      <c r="V16" s="1">
        <f>+'IRS - INF – XCCY précédent'!U17</f>
        <v>17212.17155310437</v>
      </c>
      <c r="W16" s="1">
        <f>+'IRS - INF – XCCY précédent'!V17</f>
        <v>0</v>
      </c>
      <c r="X16" s="1" t="str">
        <f>+'IRS - INF – XCCY précédent'!W17</f>
        <v>Fixed</v>
      </c>
      <c r="Y16" s="1" t="str">
        <f>+'IRS - INF – XCCY précédent'!X17</f>
        <v>Receiver</v>
      </c>
      <c r="Z16" s="1">
        <f>+'IRS - INF – XCCY précédent'!Y17</f>
        <v>5.35</v>
      </c>
      <c r="AA16" s="1">
        <f>+'IRS - INF – XCCY précédent'!Z17</f>
        <v>0</v>
      </c>
      <c r="AB16" s="1" t="str">
        <f>+'IRS - INF – XCCY précédent'!AA17</f>
        <v>07/26/1999</v>
      </c>
      <c r="AC16" s="1" t="str">
        <f>+'IRS - INF – XCCY précédent'!AB17</f>
        <v>07/25/2029</v>
      </c>
      <c r="AD16" s="1">
        <f>+'IRS - INF – XCCY précédent'!AC17</f>
        <v>0</v>
      </c>
      <c r="AE16" s="1">
        <f>+'IRS - INF – XCCY précédent'!AD17</f>
        <v>25000000</v>
      </c>
      <c r="AF16" s="1">
        <f>+'IRS - INF – XCCY précédent'!AE17</f>
        <v>28919834.510000002</v>
      </c>
      <c r="AG16" s="1">
        <f>+'IRS - INF – XCCY précédent'!AF17</f>
        <v>1.1567933804000001</v>
      </c>
      <c r="AH16" s="1">
        <f>+'IRS - INF – XCCY précédent'!AG17</f>
        <v>28050459.510000002</v>
      </c>
      <c r="AI16" s="1">
        <f>+'IRS - INF – XCCY précédent'!AH17</f>
        <v>1.1220183804000001</v>
      </c>
      <c r="AJ16" s="1">
        <f>+'IRS - INF – XCCY précédent'!AI17</f>
        <v>869375</v>
      </c>
      <c r="AK16" s="1">
        <f>+'IRS - INF – XCCY précédent'!AJ17</f>
        <v>3.4775E-2</v>
      </c>
      <c r="AL16" s="1">
        <f>+'IRS - INF – XCCY précédent'!AK17</f>
        <v>3.8758965024528242</v>
      </c>
      <c r="AM16" s="1">
        <f>+'IRS - INF – XCCY précédent'!AL17</f>
        <v>-11206.197799786552</v>
      </c>
      <c r="AN16" s="1">
        <f>+'IRS - INF – XCCY précédent'!AM17</f>
        <v>0</v>
      </c>
      <c r="AO16" s="1">
        <f>+'IRS - INF – XCCY précédent'!AN17</f>
        <v>-13917128.91</v>
      </c>
      <c r="AP16" s="1">
        <f>+'IRS - INF – XCCY précédent'!AO17</f>
        <v>-0.55668515640000005</v>
      </c>
      <c r="AQ16" s="1">
        <f>+'IRS - INF – XCCY précédent'!AP17</f>
        <v>-13966332.689999999</v>
      </c>
      <c r="AR16" s="1">
        <f>+'IRS - INF – XCCY précédent'!AQ17</f>
        <v>-0.55865330759999998</v>
      </c>
      <c r="AS16" s="1">
        <f>+'IRS - INF – XCCY précédent'!AR17</f>
        <v>49203.78</v>
      </c>
      <c r="AT16" s="1">
        <f>+'IRS - INF – XCCY précédent'!AS17</f>
        <v>1.9681512000000001E-3</v>
      </c>
      <c r="AU16" s="1">
        <f>+'IRS - INF – XCCY précédent'!AT17</f>
        <v>-1.5474990989508515</v>
      </c>
      <c r="AV16" s="1">
        <f>+'IRS - INF – XCCY précédent'!AU17</f>
        <v>6005.9737533178177</v>
      </c>
      <c r="AW16" s="1">
        <f>+'IRS - INF – XCCY précédent'!AV17</f>
        <v>0</v>
      </c>
      <c r="AX16" s="1">
        <f>+'IRS - INF – XCCY précédent'!AW17</f>
        <v>-13703543.4977</v>
      </c>
      <c r="AY16" s="1">
        <f>+'IRS - INF – XCCY précédent'!AX17</f>
        <v>-0.54814173990799997</v>
      </c>
      <c r="AZ16" s="1">
        <f>+'IRS - INF – XCCY précédent'!AY17</f>
        <v>0</v>
      </c>
      <c r="BA16" s="1">
        <f>+'IRS - INF – XCCY précédent'!AZ17</f>
        <v>0</v>
      </c>
      <c r="BB16" s="1">
        <f>+'IRS - INF – XCCY précédent'!BA17</f>
        <v>0</v>
      </c>
      <c r="BC16" s="1">
        <f>+'IRS - INF – XCCY précédent'!BB17</f>
        <v>0</v>
      </c>
      <c r="BD16" s="1">
        <f>+'IRS - INF – XCCY précédent'!BC17</f>
        <v>0</v>
      </c>
      <c r="BE16" s="1">
        <f>+'IRS - INF – XCCY précédent'!BD17</f>
        <v>-13810838.451470835</v>
      </c>
      <c r="BF16" s="1">
        <f>+'IRS - INF – XCCY précédent'!BE17</f>
        <v>-0.55243353805883344</v>
      </c>
      <c r="BG16" s="1">
        <f>+'IRS - INF – XCCY précédent'!BF17</f>
        <v>-13851175.129820768</v>
      </c>
      <c r="BH16" s="1">
        <f>+'IRS - INF – XCCY précédent'!BG17</f>
        <v>-0.55404700519283068</v>
      </c>
      <c r="BI16" s="1">
        <f>+'IRS - INF – XCCY précédent'!BH17</f>
        <v>40336.678349931259</v>
      </c>
      <c r="BJ16" s="1">
        <f>+'IRS - INF – XCCY précédent'!BI17</f>
        <v>1.6134671339972503E-3</v>
      </c>
      <c r="BK16" s="1">
        <f>+'IRS - INF – XCCY précédent'!BJ17</f>
        <v>0</v>
      </c>
      <c r="BL16" s="1">
        <f>+'IRS - INF – XCCY précédent'!BK17</f>
        <v>-213585.41229999997</v>
      </c>
      <c r="BM16" s="1">
        <f>+'IRS - INF – XCCY précédent'!BL17</f>
        <v>-8.5434164920000777E-3</v>
      </c>
      <c r="BN16" s="1">
        <f>+'IRS - INF – XCCY précédent'!BM17</f>
        <v>0</v>
      </c>
      <c r="BO16" s="1">
        <f>+'IRS - INF – XCCY précédent'!BN17</f>
        <v>0</v>
      </c>
      <c r="BP16" s="1">
        <f>+'IRS - INF – XCCY précédent'!BO17</f>
        <v>0</v>
      </c>
      <c r="BQ16" s="1">
        <f>+'IRS - INF – XCCY précédent'!BP17</f>
        <v>0</v>
      </c>
      <c r="BR16" s="1" t="str">
        <f>+'IRS - INF – XCCY précédent'!BQ17</f>
        <v>alerte</v>
      </c>
      <c r="BS16" s="1">
        <f>+'IRS - INF – XCCY précédent'!BR17</f>
        <v>0</v>
      </c>
      <c r="BT16" s="1">
        <f>+'IRS - INF – XCCY précédent'!BS17</f>
        <v>-106290.45852916501</v>
      </c>
      <c r="BU16" s="1">
        <f>+'IRS - INF – XCCY précédent'!BT17</f>
        <v>-4.2516183411666075E-3</v>
      </c>
      <c r="BV16" s="1">
        <f>+'IRS - INF – XCCY précédent'!BU17</f>
        <v>-115157.56017923169</v>
      </c>
      <c r="BW16" s="1">
        <f>+'IRS - INF – XCCY précédent'!BV17</f>
        <v>-4.6063024071693048E-3</v>
      </c>
      <c r="BX16" s="1">
        <f>+'IRS - INF – XCCY précédent'!BW17</f>
        <v>8867.1016500687401</v>
      </c>
      <c r="BY16" s="1">
        <f>+'IRS - INF – XCCY précédent'!BX17</f>
        <v>3.5468406600274978E-4</v>
      </c>
      <c r="BZ16" s="1">
        <f>+'IRS - INF – XCCY précédent'!BY17</f>
        <v>0</v>
      </c>
      <c r="CA16" s="1">
        <f>+'IRS - INF – XCCY précédent'!BZ17</f>
        <v>0</v>
      </c>
      <c r="CB16" s="1">
        <f>+'IRS - INF – XCCY précédent'!CA17</f>
        <v>13810838.451470835</v>
      </c>
      <c r="CC16" s="1">
        <f>+'IRS - INF – XCCY précédent'!CB17</f>
        <v>0.55243353805883344</v>
      </c>
      <c r="CD16" s="1">
        <f>+'IRS - INF – XCCY précédent'!CC17</f>
        <v>0</v>
      </c>
      <c r="CE16" s="1">
        <f>+'IRS - INF – XCCY précédent'!CD17</f>
        <v>0</v>
      </c>
      <c r="CF16" s="1">
        <f>+'IRS - INF – XCCY précédent'!CE17</f>
        <v>0</v>
      </c>
      <c r="CG16" s="1">
        <f>+'IRS - INF – XCCY précédent'!CF17</f>
        <v>0</v>
      </c>
      <c r="CH16" s="1">
        <f>+'IRS - INF – XCCY précédent'!CG17</f>
        <v>0</v>
      </c>
      <c r="CI16" s="1" t="str">
        <f>+'IRS - INF – XCCY précédent'!CH17</f>
        <v>léger dépassement sur un xccy swap, non significatif</v>
      </c>
      <c r="CJ16" s="1">
        <f>+'IRS - INF – XCCY précédent'!CI17</f>
        <v>0</v>
      </c>
      <c r="CK16" s="1" t="str">
        <f>+'IRS - INF – XCCY précédent'!CJ17</f>
        <v>DImension</v>
      </c>
      <c r="CL16" s="1" t="str">
        <f>+'IRS - INF – XCCY précédent'!CK17</f>
        <v>INFS10000042</v>
      </c>
      <c r="CM16" s="1" t="str">
        <f>+'IRS - INF – XCCY précédent'!CL17</f>
        <v>UTI</v>
      </c>
      <c r="CN16" s="1" t="str">
        <f>+'IRS - INF – XCCY précédent'!CM17</f>
        <v>1030247694FI-STAR-108305527</v>
      </c>
      <c r="CO16" s="1" t="str">
        <f>+'IRS - INF – XCCY précédent'!CN17</f>
        <v>LEI</v>
      </c>
      <c r="CP16" s="1" t="str">
        <f>+'IRS - INF – XCCY précédent'!CO17</f>
        <v>R0MUWSFPU8MPRO8K5P83</v>
      </c>
      <c r="CQ16" s="1" t="str">
        <f>+'IRS - INF – XCCY précédent'!CP17</f>
        <v>Code DI</v>
      </c>
      <c r="CR16" s="1" t="str">
        <f>+'IRS - INF – XCCY précédent'!CQ17</f>
        <v>SWAP_148</v>
      </c>
      <c r="CS16" s="1">
        <f>+'IRS - INF – XCCY précédent'!CR17</f>
        <v>0</v>
      </c>
      <c r="CT16" s="1">
        <f>+'IRS - INF – XCCY précédent'!CS17</f>
        <v>0</v>
      </c>
      <c r="CU16" s="1">
        <f>+'IRS - INF – XCCY précédent'!CT17</f>
        <v>0</v>
      </c>
      <c r="CV16" s="1">
        <f>+'IRS - INF – XCCY précédent'!CU17</f>
        <v>0</v>
      </c>
      <c r="CW16" s="1">
        <f>+'IRS - INF – XCCY précédent'!CV17</f>
        <v>0</v>
      </c>
      <c r="CX16" s="1">
        <f>+'IRS - INF – XCCY précédent'!CW17</f>
        <v>0</v>
      </c>
      <c r="CY16" s="1">
        <f>+'IRS - INF – XCCY précédent'!CX17</f>
        <v>0</v>
      </c>
      <c r="CZ16" s="1">
        <f>+'IRS - INF – XCCY précédent'!CY17</f>
        <v>0</v>
      </c>
      <c r="DA16" s="1">
        <f>+'IRS - INF – XCCY précédent'!CZ17</f>
        <v>0</v>
      </c>
      <c r="DB16" s="1">
        <f>+'IRS - INF – XCCY précédent'!DA17</f>
        <v>0</v>
      </c>
      <c r="DC16" s="1">
        <f>+'IRS - INF – XCCY précédent'!DB17</f>
        <v>-1.000000536441803E-2</v>
      </c>
      <c r="DD16" s="1">
        <f>+'IRS - INF – XCCY précédent'!DC17</f>
        <v>47324</v>
      </c>
      <c r="DE16" s="1">
        <f>+'IRS - INF – XCCY précédent'!DD17</f>
        <v>4.3194444444444446</v>
      </c>
      <c r="DF16" s="1">
        <f>+'IRS - INF – XCCY précédent'!DE17</f>
        <v>5.0000000000000001E-3</v>
      </c>
    </row>
    <row r="17" spans="1:110" x14ac:dyDescent="0.2">
      <c r="A17" s="56" t="str">
        <f>+INDEX('analyse trimestrielle'!$A$8:$A$1048576,MATCH('IFT précédent'!B17,'analyse trimestrielle'!$A$8:$A$1048576,0))</f>
        <v>SWAP_303</v>
      </c>
      <c r="B17" s="1" t="str">
        <f>+'IRS - INF – XCCY précédent'!A18</f>
        <v>SWAP_303</v>
      </c>
      <c r="C17" s="1" t="str">
        <f>+'IRS - INF – XCCY précédent'!B18</f>
        <v>CMS Swap</v>
      </c>
      <c r="D17" s="1" t="str">
        <f>+'IRS - INF – XCCY précédent'!C18</f>
        <v>CMS Swap</v>
      </c>
      <c r="E17" s="1">
        <f>+'IRS - INF – XCCY précédent'!D18</f>
        <v>70589501</v>
      </c>
      <c r="F17" s="1" t="str">
        <f>+'IRS - INF – XCCY précédent'!E18</f>
        <v>BNP PARIBAS</v>
      </c>
      <c r="G17" s="1">
        <f>+'IRS - INF – XCCY précédent'!F18</f>
        <v>0</v>
      </c>
      <c r="H17" s="1" t="str">
        <f>+'IRS - INF – XCCY précédent'!G18</f>
        <v>CMS</v>
      </c>
      <c r="I17" s="1" t="str">
        <f>+'IRS - INF – XCCY précédent'!H18</f>
        <v>Receiver</v>
      </c>
      <c r="J17" s="1" t="str">
        <f>+'IRS - INF – XCCY précédent'!I18</f>
        <v>10Y SwapAnnual</v>
      </c>
      <c r="K17" s="1">
        <f>+'IRS - INF – XCCY précédent'!J18</f>
        <v>88.25</v>
      </c>
      <c r="L17" s="1" t="str">
        <f>+'IRS - INF – XCCY précédent'!K18</f>
        <v>04/25/2006</v>
      </c>
      <c r="M17" s="1" t="str">
        <f>+'IRS - INF – XCCY précédent'!L18</f>
        <v>04/25/2029</v>
      </c>
      <c r="N17" s="1">
        <f>+'IRS - INF – XCCY précédent'!M18</f>
        <v>152000000</v>
      </c>
      <c r="O17" s="1">
        <f>+'IRS - INF – XCCY précédent'!N18</f>
        <v>161134168.15000001</v>
      </c>
      <c r="P17" s="1">
        <f>+'IRS - INF – XCCY précédent'!O18</f>
        <v>1.0600932115131578</v>
      </c>
      <c r="Q17" s="1">
        <f>+'IRS - INF – XCCY précédent'!P18</f>
        <v>160395473.47999999</v>
      </c>
      <c r="R17" s="1">
        <f>+'IRS - INF – XCCY précédent'!Q18</f>
        <v>1.0552333781578946</v>
      </c>
      <c r="S17" s="1">
        <f>+'IRS - INF – XCCY précédent'!R18</f>
        <v>738694.67</v>
      </c>
      <c r="T17" s="1">
        <f>+'IRS - INF – XCCY précédent'!S18</f>
        <v>4.8598333552631583E-3</v>
      </c>
      <c r="U17" s="1">
        <f>+'IRS - INF – XCCY précédent'!T18</f>
        <v>0.16182945616376132</v>
      </c>
      <c r="V17" s="1">
        <f>+'IRS - INF – XCCY précédent'!U18</f>
        <v>-2607.2662256672979</v>
      </c>
      <c r="W17" s="1">
        <f>+'IRS - INF – XCCY précédent'!V18</f>
        <v>0</v>
      </c>
      <c r="X17" s="1" t="str">
        <f>+'IRS - INF – XCCY précédent'!W18</f>
        <v>Fixed</v>
      </c>
      <c r="Y17" s="1" t="str">
        <f>+'IRS - INF – XCCY précédent'!X18</f>
        <v>Payer</v>
      </c>
      <c r="Z17" s="1">
        <f>+'IRS - INF – XCCY précédent'!Y18</f>
        <v>5.5</v>
      </c>
      <c r="AA17" s="1">
        <f>+'IRS - INF – XCCY précédent'!Z18</f>
        <v>0</v>
      </c>
      <c r="AB17" s="1" t="str">
        <f>+'IRS - INF – XCCY précédent'!AA18</f>
        <v>04/25/2006</v>
      </c>
      <c r="AC17" s="1" t="str">
        <f>+'IRS - INF – XCCY précédent'!AB18</f>
        <v>04/25/2029</v>
      </c>
      <c r="AD17" s="1">
        <f>+'IRS - INF – XCCY précédent'!AC18</f>
        <v>0</v>
      </c>
      <c r="AE17" s="1">
        <f>+'IRS - INF – XCCY précédent'!AD18</f>
        <v>152000000</v>
      </c>
      <c r="AF17" s="1">
        <f>+'IRS - INF – XCCY précédent'!AE18</f>
        <v>-178043377.83000001</v>
      </c>
      <c r="AG17" s="1">
        <f>+'IRS - INF – XCCY précédent'!AF18</f>
        <v>-1.1713380120394739</v>
      </c>
      <c r="AH17" s="1">
        <f>+'IRS - INF – XCCY précédent'!AG18</f>
        <v>-170519377.83000001</v>
      </c>
      <c r="AI17" s="1">
        <f>+'IRS - INF – XCCY précédent'!AH18</f>
        <v>-1.1218380120394738</v>
      </c>
      <c r="AJ17" s="1">
        <f>+'IRS - INF – XCCY précédent'!AI18</f>
        <v>-7524000</v>
      </c>
      <c r="AK17" s="1">
        <f>+'IRS - INF – XCCY précédent'!AJ18</f>
        <v>-4.9500000000000002E-2</v>
      </c>
      <c r="AL17" s="1">
        <f>+'IRS - INF – XCCY précédent'!AK18</f>
        <v>-3.6181454122629613</v>
      </c>
      <c r="AM17" s="1">
        <f>+'IRS - INF – XCCY précédent'!AL18</f>
        <v>64408.283397489788</v>
      </c>
      <c r="AN17" s="1">
        <f>+'IRS - INF – XCCY précédent'!AM18</f>
        <v>0</v>
      </c>
      <c r="AO17" s="1">
        <f>+'IRS - INF – XCCY précédent'!AN18</f>
        <v>-16909209.690000001</v>
      </c>
      <c r="AP17" s="1">
        <f>+'IRS - INF – XCCY précédent'!AO18</f>
        <v>-0.11124480059210527</v>
      </c>
      <c r="AQ17" s="1">
        <f>+'IRS - INF – XCCY précédent'!AP18</f>
        <v>-10123904.35</v>
      </c>
      <c r="AR17" s="1">
        <f>+'IRS - INF – XCCY précédent'!AQ18</f>
        <v>-6.6604633881578945E-2</v>
      </c>
      <c r="AS17" s="1">
        <f>+'IRS - INF – XCCY précédent'!AR18</f>
        <v>-6785305.3300000001</v>
      </c>
      <c r="AT17" s="1">
        <f>+'IRS - INF – XCCY précédent'!AS18</f>
        <v>-4.4640166644736842E-2</v>
      </c>
      <c r="AU17" s="1">
        <f>+'IRS - INF – XCCY précédent'!AT18</f>
        <v>-3.6589722696033742</v>
      </c>
      <c r="AV17" s="1">
        <f>+'IRS - INF – XCCY précédent'!AU18</f>
        <v>61801.017171822488</v>
      </c>
      <c r="AW17" s="1">
        <f>+'IRS - INF – XCCY précédent'!AV18</f>
        <v>0</v>
      </c>
      <c r="AX17" s="1">
        <f>+'IRS - INF – XCCY précédent'!AW18</f>
        <v>-16910400.890000001</v>
      </c>
      <c r="AY17" s="1">
        <f>+'IRS - INF – XCCY précédent'!AX18</f>
        <v>-0.11125263743421053</v>
      </c>
      <c r="AZ17" s="1">
        <f>+'IRS - INF – XCCY précédent'!AY18</f>
        <v>0</v>
      </c>
      <c r="BA17" s="1">
        <f>+'IRS - INF – XCCY précédent'!AZ18</f>
        <v>0</v>
      </c>
      <c r="BB17" s="1">
        <f>+'IRS - INF – XCCY précédent'!BA18</f>
        <v>0</v>
      </c>
      <c r="BC17" s="1">
        <f>+'IRS - INF – XCCY précédent'!BB18</f>
        <v>0</v>
      </c>
      <c r="BD17" s="1">
        <f>+'IRS - INF – XCCY précédent'!BC18</f>
        <v>0</v>
      </c>
      <c r="BE17" s="1">
        <f>+'IRS - INF – XCCY précédent'!BD18</f>
        <v>-16902666.153634191</v>
      </c>
      <c r="BF17" s="1">
        <f>+'IRS - INF – XCCY précédent'!BE18</f>
        <v>-0.11120175101075125</v>
      </c>
      <c r="BG17" s="1">
        <f>+'IRS - INF – XCCY précédent'!BF18</f>
        <v>-10120105.264745302</v>
      </c>
      <c r="BH17" s="1">
        <f>+'IRS - INF – XCCY précédent'!BG18</f>
        <v>-6.657963989964015E-2</v>
      </c>
      <c r="BI17" s="1">
        <f>+'IRS - INF – XCCY précédent'!BH18</f>
        <v>-6782560.888888889</v>
      </c>
      <c r="BJ17" s="1">
        <f>+'IRS - INF – XCCY précédent'!BI18</f>
        <v>-4.4622111111111112E-2</v>
      </c>
      <c r="BK17" s="1">
        <f>+'IRS - INF – XCCY précédent'!BJ18</f>
        <v>0</v>
      </c>
      <c r="BL17" s="1">
        <f>+'IRS - INF – XCCY précédent'!BK18</f>
        <v>1191.1999999992549</v>
      </c>
      <c r="BM17" s="1">
        <f>+'IRS - INF – XCCY précédent'!BL18</f>
        <v>7.836842105257702E-6</v>
      </c>
      <c r="BN17" s="1">
        <f>+'IRS - INF – XCCY précédent'!BM18</f>
        <v>0</v>
      </c>
      <c r="BO17" s="1">
        <f>+'IRS - INF – XCCY précédent'!BN18</f>
        <v>0</v>
      </c>
      <c r="BP17" s="1">
        <f>+'IRS - INF – XCCY précédent'!BO18</f>
        <v>0</v>
      </c>
      <c r="BQ17" s="1">
        <f>+'IRS - INF – XCCY précédent'!BP18</f>
        <v>0</v>
      </c>
      <c r="BR17" s="1" t="str">
        <f>+'IRS - INF – XCCY précédent'!BQ18</f>
        <v/>
      </c>
      <c r="BS17" s="1">
        <f>+'IRS - INF – XCCY précédent'!BR18</f>
        <v>0</v>
      </c>
      <c r="BT17" s="1">
        <f>+'IRS - INF – XCCY précédent'!BS18</f>
        <v>-6543.5363658107817</v>
      </c>
      <c r="BU17" s="1">
        <f>+'IRS - INF – XCCY précédent'!BT18</f>
        <v>-4.3049581354023814E-5</v>
      </c>
      <c r="BV17" s="1">
        <f>+'IRS - INF – XCCY précédent'!BU18</f>
        <v>-3799.0852546971291</v>
      </c>
      <c r="BW17" s="1">
        <f>+'IRS - INF – XCCY précédent'!BV18</f>
        <v>-2.4993981938795096E-5</v>
      </c>
      <c r="BX17" s="1">
        <f>+'IRS - INF – XCCY précédent'!BW18</f>
        <v>-2744.4411111110821</v>
      </c>
      <c r="BY17" s="1">
        <f>+'IRS - INF – XCCY précédent'!BX18</f>
        <v>-1.8055533625729869E-5</v>
      </c>
      <c r="BZ17" s="1">
        <f>+'IRS - INF – XCCY précédent'!BY18</f>
        <v>0</v>
      </c>
      <c r="CA17" s="1">
        <f>+'IRS - INF – XCCY précédent'!BZ18</f>
        <v>0</v>
      </c>
      <c r="CB17" s="1">
        <f>+'IRS - INF – XCCY précédent'!CA18</f>
        <v>16902666.153634191</v>
      </c>
      <c r="CC17" s="1">
        <f>+'IRS - INF – XCCY précédent'!CB18</f>
        <v>0.11120175101075125</v>
      </c>
      <c r="CD17" s="1">
        <f>+'IRS - INF – XCCY précédent'!CC18</f>
        <v>0</v>
      </c>
      <c r="CE17" s="1">
        <f>+'IRS - INF – XCCY précédent'!CD18</f>
        <v>0</v>
      </c>
      <c r="CF17" s="1">
        <f>+'IRS - INF – XCCY précédent'!CE18</f>
        <v>0</v>
      </c>
      <c r="CG17" s="1">
        <f>+'IRS - INF – XCCY précédent'!CF18</f>
        <v>0</v>
      </c>
      <c r="CH17" s="1">
        <f>+'IRS - INF – XCCY précédent'!CG18</f>
        <v>0</v>
      </c>
      <c r="CI17" s="1">
        <f>+'IRS - INF – XCCY précédent'!CH18</f>
        <v>0</v>
      </c>
      <c r="CJ17" s="1">
        <f>+'IRS - INF – XCCY précédent'!CI18</f>
        <v>0</v>
      </c>
      <c r="CK17" s="1" t="str">
        <f>+'IRS - INF – XCCY précédent'!CJ18</f>
        <v>DImension</v>
      </c>
      <c r="CL17" s="1" t="str">
        <f>+'IRS - INF – XCCY précédent'!CK18</f>
        <v>IRSB100000035</v>
      </c>
      <c r="CM17" s="1" t="str">
        <f>+'IRS - INF – XCCY précédent'!CL18</f>
        <v>UTI</v>
      </c>
      <c r="CN17" s="1" t="str">
        <f>+'IRS - INF – XCCY précédent'!CM18</f>
        <v>1030247694FI-MAD-1533846A</v>
      </c>
      <c r="CO17" s="1" t="str">
        <f>+'IRS - INF – XCCY précédent'!CN18</f>
        <v>LEI</v>
      </c>
      <c r="CP17" s="1" t="str">
        <f>+'IRS - INF – XCCY précédent'!CO18</f>
        <v>R0MUWSFPU8MPRO8K5P83</v>
      </c>
      <c r="CQ17" s="1" t="str">
        <f>+'IRS - INF – XCCY précédent'!CP18</f>
        <v>Code DI</v>
      </c>
      <c r="CR17" s="1" t="str">
        <f>+'IRS - INF – XCCY précédent'!CQ18</f>
        <v>SWAP_303</v>
      </c>
      <c r="CS17" s="1">
        <f>+'IRS - INF – XCCY précédent'!CR18</f>
        <v>0</v>
      </c>
      <c r="CT17" s="1">
        <f>+'IRS - INF – XCCY précédent'!CS18</f>
        <v>0</v>
      </c>
      <c r="CU17" s="1">
        <f>+'IRS - INF – XCCY précédent'!CT18</f>
        <v>0</v>
      </c>
      <c r="CV17" s="1">
        <f>+'IRS - INF – XCCY précédent'!CU18</f>
        <v>0</v>
      </c>
      <c r="CW17" s="1">
        <f>+'IRS - INF – XCCY précédent'!CV18</f>
        <v>0</v>
      </c>
      <c r="CX17" s="1">
        <f>+'IRS - INF – XCCY précédent'!CW18</f>
        <v>0</v>
      </c>
      <c r="CY17" s="1">
        <f>+'IRS - INF – XCCY précédent'!CX18</f>
        <v>0</v>
      </c>
      <c r="CZ17" s="1">
        <f>+'IRS - INF – XCCY précédent'!CY18</f>
        <v>0</v>
      </c>
      <c r="DA17" s="1">
        <f>+'IRS - INF – XCCY précédent'!CZ18</f>
        <v>0</v>
      </c>
      <c r="DB17" s="1">
        <f>+'IRS - INF – XCCY précédent'!DA18</f>
        <v>0</v>
      </c>
      <c r="DC17" s="1">
        <f>+'IRS - INF – XCCY précédent'!DB18</f>
        <v>-9.9999904632568359E-3</v>
      </c>
      <c r="DD17" s="1">
        <f>+'IRS - INF – XCCY précédent'!DC18</f>
        <v>47233</v>
      </c>
      <c r="DE17" s="1">
        <f>+'IRS - INF – XCCY précédent'!DD18</f>
        <v>4.0694444444444446</v>
      </c>
      <c r="DF17" s="1">
        <f>+'IRS - INF – XCCY précédent'!DE18</f>
        <v>5.0000000000000001E-3</v>
      </c>
    </row>
    <row r="18" spans="1:110" x14ac:dyDescent="0.2">
      <c r="A18" s="56" t="str">
        <f>+INDEX('analyse trimestrielle'!$A$8:$A$1048576,MATCH('IFT précédent'!B18,'analyse trimestrielle'!$A$8:$A$1048576,0))</f>
        <v>SWAP_304</v>
      </c>
      <c r="B18" s="1" t="str">
        <f>+'IRS - INF – XCCY précédent'!A19</f>
        <v>SWAP_304</v>
      </c>
      <c r="C18" s="1" t="str">
        <f>+'IRS - INF – XCCY précédent'!B19</f>
        <v>CMS Swap</v>
      </c>
      <c r="D18" s="1" t="str">
        <f>+'IRS - INF – XCCY précédent'!C19</f>
        <v>CMS Swap</v>
      </c>
      <c r="E18" s="1">
        <f>+'IRS - INF – XCCY précédent'!D19</f>
        <v>70589503</v>
      </c>
      <c r="F18" s="1" t="str">
        <f>+'IRS - INF – XCCY précédent'!E19</f>
        <v>BNP PARIBAS</v>
      </c>
      <c r="G18" s="1">
        <f>+'IRS - INF – XCCY précédent'!F19</f>
        <v>0</v>
      </c>
      <c r="H18" s="1" t="str">
        <f>+'IRS - INF – XCCY précédent'!G19</f>
        <v>CMS</v>
      </c>
      <c r="I18" s="1" t="str">
        <f>+'IRS - INF – XCCY précédent'!H19</f>
        <v>Receiver</v>
      </c>
      <c r="J18" s="1" t="str">
        <f>+'IRS - INF – XCCY précédent'!I19</f>
        <v>10Y SwapAnnual</v>
      </c>
      <c r="K18" s="1">
        <f>+'IRS - INF – XCCY précédent'!J19</f>
        <v>161.30000000000001</v>
      </c>
      <c r="L18" s="1" t="str">
        <f>+'IRS - INF – XCCY précédent'!K19</f>
        <v>10/25/2006</v>
      </c>
      <c r="M18" s="1" t="str">
        <f>+'IRS - INF – XCCY précédent'!L19</f>
        <v>10/25/2025</v>
      </c>
      <c r="N18" s="1">
        <f>+'IRS - INF – XCCY précédent'!M19</f>
        <v>138118808</v>
      </c>
      <c r="O18" s="1">
        <f>+'IRS - INF – XCCY précédent'!N19</f>
        <v>140536237.22</v>
      </c>
      <c r="P18" s="1">
        <f>+'IRS - INF – XCCY précédent'!O19</f>
        <v>1.0175025346294619</v>
      </c>
      <c r="Q18" s="1">
        <f>+'IRS - INF – XCCY précédent'!P19</f>
        <v>139719264.47</v>
      </c>
      <c r="R18" s="1">
        <f>+'IRS - INF – XCCY précédent'!Q19</f>
        <v>1.0115875346245387</v>
      </c>
      <c r="S18" s="1">
        <f>+'IRS - INF – XCCY précédent'!R19</f>
        <v>816972.75</v>
      </c>
      <c r="T18" s="1">
        <f>+'IRS - INF – XCCY précédent'!S19</f>
        <v>5.915000004923298E-3</v>
      </c>
      <c r="U18" s="1">
        <f>+'IRS - INF – XCCY précédent'!T19</f>
        <v>0.10870078660258482</v>
      </c>
      <c r="V18" s="1">
        <f>+'IRS - INF – XCCY précédent'!U19</f>
        <v>-1528.0369409769773</v>
      </c>
      <c r="W18" s="1">
        <f>+'IRS - INF – XCCY précédent'!V19</f>
        <v>0</v>
      </c>
      <c r="X18" s="1" t="str">
        <f>+'IRS - INF – XCCY précédent'!W19</f>
        <v>Fixed</v>
      </c>
      <c r="Y18" s="1" t="str">
        <f>+'IRS - INF – XCCY précédent'!X19</f>
        <v>Payer</v>
      </c>
      <c r="Z18" s="1">
        <f>+'IRS - INF – XCCY précédent'!Y19</f>
        <v>6</v>
      </c>
      <c r="AA18" s="1">
        <f>+'IRS - INF – XCCY précédent'!Z19</f>
        <v>0</v>
      </c>
      <c r="AB18" s="1" t="str">
        <f>+'IRS - INF – XCCY précédent'!AA19</f>
        <v>10/25/2006</v>
      </c>
      <c r="AC18" s="1" t="str">
        <f>+'IRS - INF – XCCY précédent'!AB19</f>
        <v>10/25/2025</v>
      </c>
      <c r="AD18" s="1">
        <f>+'IRS - INF – XCCY précédent'!AC19</f>
        <v>0</v>
      </c>
      <c r="AE18" s="1">
        <f>+'IRS - INF – XCCY précédent'!AD19</f>
        <v>138118808</v>
      </c>
      <c r="AF18" s="1">
        <f>+'IRS - INF – XCCY précédent'!AE19</f>
        <v>-144389297.84</v>
      </c>
      <c r="AG18" s="1">
        <f>+'IRS - INF – XCCY précédent'!AF19</f>
        <v>-1.0453992467122943</v>
      </c>
      <c r="AH18" s="1">
        <f>+'IRS - INF – XCCY précédent'!AG19</f>
        <v>-141074446.44999999</v>
      </c>
      <c r="AI18" s="1">
        <f>+'IRS - INF – XCCY précédent'!AH19</f>
        <v>-1.0213992467267745</v>
      </c>
      <c r="AJ18" s="1">
        <f>+'IRS - INF – XCCY précédent'!AI19</f>
        <v>-3314851.39</v>
      </c>
      <c r="AK18" s="1">
        <f>+'IRS - INF – XCCY précédent'!AJ19</f>
        <v>-2.3999999985519715E-2</v>
      </c>
      <c r="AL18" s="1">
        <f>+'IRS - INF – XCCY précédent'!AK19</f>
        <v>-0.60831294384142065</v>
      </c>
      <c r="AM18" s="1">
        <f>+'IRS - INF – XCCY précédent'!AL19</f>
        <v>8786.1298856198791</v>
      </c>
      <c r="AN18" s="1">
        <f>+'IRS - INF – XCCY précédent'!AM19</f>
        <v>0</v>
      </c>
      <c r="AO18" s="1">
        <f>+'IRS - INF – XCCY précédent'!AN19</f>
        <v>-3853060.62</v>
      </c>
      <c r="AP18" s="1">
        <f>+'IRS - INF – XCCY précédent'!AO19</f>
        <v>-2.7896712082832339E-2</v>
      </c>
      <c r="AQ18" s="1">
        <f>+'IRS - INF – XCCY précédent'!AP19</f>
        <v>-1355181.98</v>
      </c>
      <c r="AR18" s="1">
        <f>+'IRS - INF – XCCY précédent'!AQ19</f>
        <v>-9.8117121022359248E-3</v>
      </c>
      <c r="AS18" s="1">
        <f>+'IRS - INF – XCCY précédent'!AR19</f>
        <v>-2497878.64</v>
      </c>
      <c r="AT18" s="1">
        <f>+'IRS - INF – XCCY précédent'!AS19</f>
        <v>-1.8084999980596417E-2</v>
      </c>
      <c r="AU18" s="1">
        <f>+'IRS - INF – XCCY précédent'!AT19</f>
        <v>-0.51120378368656327</v>
      </c>
      <c r="AV18" s="1">
        <f>+'IRS - INF – XCCY précédent'!AU19</f>
        <v>7258.0929446429018</v>
      </c>
      <c r="AW18" s="1">
        <f>+'IRS - INF – XCCY précédent'!AV19</f>
        <v>0</v>
      </c>
      <c r="AX18" s="1">
        <f>+'IRS - INF – XCCY précédent'!AW19</f>
        <v>-3869409.05</v>
      </c>
      <c r="AY18" s="1">
        <f>+'IRS - INF – XCCY précédent'!AX19</f>
        <v>-2.801507706321937E-2</v>
      </c>
      <c r="AZ18" s="1">
        <f>+'IRS - INF – XCCY précédent'!AY19</f>
        <v>0</v>
      </c>
      <c r="BA18" s="1">
        <f>+'IRS - INF – XCCY précédent'!AZ19</f>
        <v>0</v>
      </c>
      <c r="BB18" s="1">
        <f>+'IRS - INF – XCCY précédent'!BA19</f>
        <v>0</v>
      </c>
      <c r="BC18" s="1">
        <f>+'IRS - INF – XCCY précédent'!BB19</f>
        <v>0</v>
      </c>
      <c r="BD18" s="1">
        <f>+'IRS - INF – XCCY précédent'!BC19</f>
        <v>0</v>
      </c>
      <c r="BE18" s="1">
        <f>+'IRS - INF – XCCY précédent'!BD19</f>
        <v>-3861614.9988354305</v>
      </c>
      <c r="BF18" s="1">
        <f>+'IRS - INF – XCCY précédent'!BE19</f>
        <v>-2.7958647013775491E-2</v>
      </c>
      <c r="BG18" s="1">
        <f>+'IRS - INF – XCCY précédent'!BF19</f>
        <v>-1366230.1679665414</v>
      </c>
      <c r="BH18" s="1">
        <f>+'IRS - INF – XCCY précédent'!BG19</f>
        <v>-9.8917025693310463E-3</v>
      </c>
      <c r="BI18" s="1">
        <f>+'IRS - INF – XCCY précédent'!BH19</f>
        <v>-2495384.8308688891</v>
      </c>
      <c r="BJ18" s="1">
        <f>+'IRS - INF – XCCY précédent'!BI19</f>
        <v>-1.8066944444444445E-2</v>
      </c>
      <c r="BK18" s="1">
        <f>+'IRS - INF – XCCY précédent'!BJ19</f>
        <v>0</v>
      </c>
      <c r="BL18" s="1">
        <f>+'IRS - INF – XCCY précédent'!BK19</f>
        <v>16348.429999999702</v>
      </c>
      <c r="BM18" s="1">
        <f>+'IRS - INF – XCCY précédent'!BL19</f>
        <v>1.1836498038703125E-4</v>
      </c>
      <c r="BN18" s="1">
        <f>+'IRS - INF – XCCY précédent'!BM19</f>
        <v>0</v>
      </c>
      <c r="BO18" s="1">
        <f>+'IRS - INF – XCCY précédent'!BN19</f>
        <v>0</v>
      </c>
      <c r="BP18" s="1">
        <f>+'IRS - INF – XCCY précédent'!BO19</f>
        <v>0</v>
      </c>
      <c r="BQ18" s="1">
        <f>+'IRS - INF – XCCY précédent'!BP19</f>
        <v>0</v>
      </c>
      <c r="BR18" s="1" t="str">
        <f>+'IRS - INF – XCCY précédent'!BQ19</f>
        <v/>
      </c>
      <c r="BS18" s="1">
        <f>+'IRS - INF – XCCY précédent'!BR19</f>
        <v>0</v>
      </c>
      <c r="BT18" s="1">
        <f>+'IRS - INF – XCCY précédent'!BS19</f>
        <v>8554.3788354303688</v>
      </c>
      <c r="BU18" s="1">
        <f>+'IRS - INF – XCCY précédent'!BT19</f>
        <v>6.1934930943152028E-5</v>
      </c>
      <c r="BV18" s="1">
        <f>+'IRS - INF – XCCY précédent'!BU19</f>
        <v>11048.187966541387</v>
      </c>
      <c r="BW18" s="1">
        <f>+'IRS - INF – XCCY précédent'!BV19</f>
        <v>7.9990467095121531E-5</v>
      </c>
      <c r="BX18" s="1">
        <f>+'IRS - INF – XCCY précédent'!BW19</f>
        <v>-2493.8091311110184</v>
      </c>
      <c r="BY18" s="1">
        <f>+'IRS - INF – XCCY précédent'!BX19</f>
        <v>-1.8055536151972973E-5</v>
      </c>
      <c r="BZ18" s="1">
        <f>+'IRS - INF – XCCY précédent'!BY19</f>
        <v>0</v>
      </c>
      <c r="CA18" s="1">
        <f>+'IRS - INF – XCCY précédent'!BZ19</f>
        <v>0</v>
      </c>
      <c r="CB18" s="1">
        <f>+'IRS - INF – XCCY précédent'!CA19</f>
        <v>3861614.9988354305</v>
      </c>
      <c r="CC18" s="1">
        <f>+'IRS - INF – XCCY précédent'!CB19</f>
        <v>2.7958647013775491E-2</v>
      </c>
      <c r="CD18" s="1">
        <f>+'IRS - INF – XCCY précédent'!CC19</f>
        <v>0</v>
      </c>
      <c r="CE18" s="1">
        <f>+'IRS - INF – XCCY précédent'!CD19</f>
        <v>0</v>
      </c>
      <c r="CF18" s="1">
        <f>+'IRS - INF – XCCY précédent'!CE19</f>
        <v>0</v>
      </c>
      <c r="CG18" s="1">
        <f>+'IRS - INF – XCCY précédent'!CF19</f>
        <v>0</v>
      </c>
      <c r="CH18" s="1">
        <f>+'IRS - INF – XCCY précédent'!CG19</f>
        <v>0</v>
      </c>
      <c r="CI18" s="1">
        <f>+'IRS - INF – XCCY précédent'!CH19</f>
        <v>0</v>
      </c>
      <c r="CJ18" s="1">
        <f>+'IRS - INF – XCCY précédent'!CI19</f>
        <v>0</v>
      </c>
      <c r="CK18" s="1" t="str">
        <f>+'IRS - INF – XCCY précédent'!CJ19</f>
        <v>DImension</v>
      </c>
      <c r="CL18" s="1" t="str">
        <f>+'IRS - INF – XCCY précédent'!CK19</f>
        <v>IRSB100000036</v>
      </c>
      <c r="CM18" s="1" t="str">
        <f>+'IRS - INF – XCCY précédent'!CL19</f>
        <v>UTI</v>
      </c>
      <c r="CN18" s="1" t="str">
        <f>+'IRS - INF – XCCY précédent'!CM19</f>
        <v>1030247694FI-MAD-1534664</v>
      </c>
      <c r="CO18" s="1" t="str">
        <f>+'IRS - INF – XCCY précédent'!CN19</f>
        <v>LEI</v>
      </c>
      <c r="CP18" s="1" t="str">
        <f>+'IRS - INF – XCCY précédent'!CO19</f>
        <v>R0MUWSFPU8MPRO8K5P83</v>
      </c>
      <c r="CQ18" s="1" t="str">
        <f>+'IRS - INF – XCCY précédent'!CP19</f>
        <v>Code DI</v>
      </c>
      <c r="CR18" s="1" t="str">
        <f>+'IRS - INF – XCCY précédent'!CQ19</f>
        <v>SWAP_304</v>
      </c>
      <c r="CS18" s="1">
        <f>+'IRS - INF – XCCY précédent'!CR19</f>
        <v>0</v>
      </c>
      <c r="CT18" s="1">
        <f>+'IRS - INF – XCCY précédent'!CS19</f>
        <v>0</v>
      </c>
      <c r="CU18" s="1">
        <f>+'IRS - INF – XCCY précédent'!CT19</f>
        <v>0</v>
      </c>
      <c r="CV18" s="1">
        <f>+'IRS - INF – XCCY précédent'!CU19</f>
        <v>0</v>
      </c>
      <c r="CW18" s="1">
        <f>+'IRS - INF – XCCY précédent'!CV19</f>
        <v>0</v>
      </c>
      <c r="CX18" s="1">
        <f>+'IRS - INF – XCCY précédent'!CW19</f>
        <v>0</v>
      </c>
      <c r="CY18" s="1">
        <f>+'IRS - INF – XCCY précédent'!CX19</f>
        <v>0</v>
      </c>
      <c r="CZ18" s="1">
        <f>+'IRS - INF – XCCY précédent'!CY19</f>
        <v>0</v>
      </c>
      <c r="DA18" s="1">
        <f>+'IRS - INF – XCCY précédent'!CZ19</f>
        <v>0</v>
      </c>
      <c r="DB18" s="1">
        <f>+'IRS - INF – XCCY précédent'!DA19</f>
        <v>0</v>
      </c>
      <c r="DC18" s="1">
        <f>+'IRS - INF – XCCY précédent'!DB19</f>
        <v>0</v>
      </c>
      <c r="DD18" s="1">
        <f>+'IRS - INF – XCCY précédent'!DC19</f>
        <v>45955</v>
      </c>
      <c r="DE18" s="1">
        <f>+'IRS - INF – XCCY précédent'!DD19</f>
        <v>0.56944444444444442</v>
      </c>
      <c r="DF18" s="1">
        <f>+'IRS - INF – XCCY précédent'!DE19</f>
        <v>5.0000000000000001E-3</v>
      </c>
    </row>
    <row r="19" spans="1:110" x14ac:dyDescent="0.2">
      <c r="A19" s="56" t="str">
        <f>+INDEX('analyse trimestrielle'!$A$8:$A$1048576,MATCH('IFT précédent'!B19,'analyse trimestrielle'!$A$8:$A$1048576,0))</f>
        <v>SWAP_319</v>
      </c>
      <c r="B19" s="1" t="str">
        <f>+'IRS - INF – XCCY précédent'!A20</f>
        <v>SWAP_319</v>
      </c>
      <c r="C19" s="1" t="str">
        <f>+'IRS - INF – XCCY précédent'!B20</f>
        <v>CMS Swap</v>
      </c>
      <c r="D19" s="1" t="str">
        <f>+'IRS - INF – XCCY précédent'!C20</f>
        <v>CMS Swap</v>
      </c>
      <c r="E19" s="1">
        <f>+'IRS - INF – XCCY précédent'!D20</f>
        <v>70600138</v>
      </c>
      <c r="F19" s="1" t="str">
        <f>+'IRS - INF – XCCY précédent'!E20</f>
        <v>SOCIETE GENERALE</v>
      </c>
      <c r="G19" s="1">
        <f>+'IRS - INF – XCCY précédent'!F20</f>
        <v>0</v>
      </c>
      <c r="H19" s="1" t="str">
        <f>+'IRS - INF – XCCY précédent'!G20</f>
        <v>CMS</v>
      </c>
      <c r="I19" s="1" t="str">
        <f>+'IRS - INF – XCCY précédent'!H20</f>
        <v>Receiver</v>
      </c>
      <c r="J19" s="1" t="str">
        <f>+'IRS - INF – XCCY précédent'!I20</f>
        <v>10Y SwapAnnual</v>
      </c>
      <c r="K19" s="1">
        <f>+'IRS - INF – XCCY précédent'!J20</f>
        <v>109</v>
      </c>
      <c r="L19" s="1" t="str">
        <f>+'IRS - INF – XCCY précédent'!K20</f>
        <v>03/28/2006</v>
      </c>
      <c r="M19" s="1" t="str">
        <f>+'IRS - INF – XCCY précédent'!L20</f>
        <v>03/28/2028</v>
      </c>
      <c r="N19" s="1">
        <f>+'IRS - INF – XCCY précédent'!M20</f>
        <v>116200000</v>
      </c>
      <c r="O19" s="1">
        <f>+'IRS - INF – XCCY précédent'!N20</f>
        <v>122654609.34999999</v>
      </c>
      <c r="P19" s="1">
        <f>+'IRS - INF – XCCY précédent'!O20</f>
        <v>1.0555474126506024</v>
      </c>
      <c r="Q19" s="1">
        <f>+'IRS - INF – XCCY précédent'!P20</f>
        <v>121784823.3</v>
      </c>
      <c r="R19" s="1">
        <f>+'IRS - INF – XCCY précédent'!Q20</f>
        <v>1.0480621626506024</v>
      </c>
      <c r="S19" s="1">
        <f>+'IRS - INF – XCCY précédent'!R20</f>
        <v>869786.05</v>
      </c>
      <c r="T19" s="1">
        <f>+'IRS - INF – XCCY précédent'!S20</f>
        <v>7.4852500000000006E-3</v>
      </c>
      <c r="U19" s="1">
        <f>+'IRS - INF – XCCY précédent'!T20</f>
        <v>7.3223162566112138E-2</v>
      </c>
      <c r="V19" s="1">
        <f>+'IRS - INF – XCCY précédent'!U20</f>
        <v>-898.75792819485071</v>
      </c>
      <c r="W19" s="1">
        <f>+'IRS - INF – XCCY précédent'!V20</f>
        <v>0</v>
      </c>
      <c r="X19" s="1" t="str">
        <f>+'IRS - INF – XCCY précédent'!W20</f>
        <v>Fixed</v>
      </c>
      <c r="Y19" s="1" t="str">
        <f>+'IRS - INF – XCCY précédent'!X20</f>
        <v>Payer</v>
      </c>
      <c r="Z19" s="1">
        <f>+'IRS - INF – XCCY précédent'!Y20</f>
        <v>5.5</v>
      </c>
      <c r="AA19" s="1">
        <f>+'IRS - INF – XCCY précédent'!Z20</f>
        <v>0</v>
      </c>
      <c r="AB19" s="1" t="str">
        <f>+'IRS - INF – XCCY précédent'!AA20</f>
        <v>03/28/2006</v>
      </c>
      <c r="AC19" s="1" t="str">
        <f>+'IRS - INF – XCCY précédent'!AB20</f>
        <v>03/28/2028</v>
      </c>
      <c r="AD19" s="1">
        <f>+'IRS - INF – XCCY précédent'!AC20</f>
        <v>0</v>
      </c>
      <c r="AE19" s="1">
        <f>+'IRS - INF – XCCY précédent'!AD20</f>
        <v>116200000</v>
      </c>
      <c r="AF19" s="1">
        <f>+'IRS - INF – XCCY précédent'!AE20</f>
        <v>-133265493.8</v>
      </c>
      <c r="AG19" s="1">
        <f>+'IRS - INF – XCCY précédent'!AF20</f>
        <v>-1.146863113597246</v>
      </c>
      <c r="AH19" s="1">
        <f>+'IRS - INF – XCCY précédent'!AG20</f>
        <v>-127034268.8</v>
      </c>
      <c r="AI19" s="1">
        <f>+'IRS - INF – XCCY précédent'!AH20</f>
        <v>-1.0932381135972462</v>
      </c>
      <c r="AJ19" s="1">
        <f>+'IRS - INF – XCCY précédent'!AI20</f>
        <v>-6231225</v>
      </c>
      <c r="AK19" s="1">
        <f>+'IRS - INF – XCCY précédent'!AJ20</f>
        <v>-5.3624999999999999E-2</v>
      </c>
      <c r="AL19" s="1">
        <f>+'IRS - INF – XCCY précédent'!AK20</f>
        <v>-2.7221731872446391</v>
      </c>
      <c r="AM19" s="1">
        <f>+'IRS - INF – XCCY précédent'!AL20</f>
        <v>36299.778649415079</v>
      </c>
      <c r="AN19" s="1">
        <f>+'IRS - INF – XCCY précédent'!AM20</f>
        <v>0</v>
      </c>
      <c r="AO19" s="1">
        <f>+'IRS - INF – XCCY précédent'!AN20</f>
        <v>-10610884.439999999</v>
      </c>
      <c r="AP19" s="1">
        <f>+'IRS - INF – XCCY précédent'!AO20</f>
        <v>-9.13157008605852E-2</v>
      </c>
      <c r="AQ19" s="1">
        <f>+'IRS - INF – XCCY précédent'!AP20</f>
        <v>-5249445.49</v>
      </c>
      <c r="AR19" s="1">
        <f>+'IRS - INF – XCCY précédent'!AQ20</f>
        <v>-4.51759508605852E-2</v>
      </c>
      <c r="AS19" s="1">
        <f>+'IRS - INF – XCCY précédent'!AR20</f>
        <v>-5361438.95</v>
      </c>
      <c r="AT19" s="1">
        <f>+'IRS - INF – XCCY précédent'!AS20</f>
        <v>-4.613975E-2</v>
      </c>
      <c r="AU19" s="1">
        <f>+'IRS - INF – XCCY précédent'!AT20</f>
        <v>-2.7917414610891864</v>
      </c>
      <c r="AV19" s="1">
        <f>+'IRS - INF – XCCY précédent'!AU20</f>
        <v>35401.020721220229</v>
      </c>
      <c r="AW19" s="1">
        <f>+'IRS - INF – XCCY précédent'!AV20</f>
        <v>0</v>
      </c>
      <c r="AX19" s="1">
        <f>+'IRS - INF – XCCY précédent'!AW20</f>
        <v>-10590403.51</v>
      </c>
      <c r="AY19" s="1">
        <f>+'IRS - INF – XCCY précédent'!AX20</f>
        <v>-9.1139445008605852E-2</v>
      </c>
      <c r="AZ19" s="1">
        <f>+'IRS - INF – XCCY précédent'!AY20</f>
        <v>0</v>
      </c>
      <c r="BA19" s="1">
        <f>+'IRS - INF – XCCY précédent'!AZ20</f>
        <v>0</v>
      </c>
      <c r="BB19" s="1">
        <f>+'IRS - INF – XCCY précédent'!BA20</f>
        <v>0</v>
      </c>
      <c r="BC19" s="1">
        <f>+'IRS - INF – XCCY précédent'!BB20</f>
        <v>0</v>
      </c>
      <c r="BD19" s="1">
        <f>+'IRS - INF – XCCY précédent'!BC20</f>
        <v>0</v>
      </c>
      <c r="BE19" s="1">
        <f>+'IRS - INF – XCCY précédent'!BD20</f>
        <v>-10606229.067531819</v>
      </c>
      <c r="BF19" s="1">
        <f>+'IRS - INF – XCCY précédent'!BE20</f>
        <v>-9.1275637414215308E-2</v>
      </c>
      <c r="BG19" s="1">
        <f>+'IRS - INF – XCCY précédent'!BF20</f>
        <v>-5246957.8253040407</v>
      </c>
      <c r="BH19" s="1">
        <f>+'IRS - INF – XCCY précédent'!BG20</f>
        <v>-4.5154542386437527E-2</v>
      </c>
      <c r="BI19" s="1">
        <f>+'IRS - INF – XCCY précédent'!BH20</f>
        <v>-5359271.2422277778</v>
      </c>
      <c r="BJ19" s="1">
        <f>+'IRS - INF – XCCY précédent'!BI20</f>
        <v>-4.6121095027777781E-2</v>
      </c>
      <c r="BK19" s="1">
        <f>+'IRS - INF – XCCY précédent'!BJ20</f>
        <v>0</v>
      </c>
      <c r="BL19" s="1">
        <f>+'IRS - INF – XCCY précédent'!BK20</f>
        <v>-20480.929999999702</v>
      </c>
      <c r="BM19" s="1">
        <f>+'IRS - INF – XCCY précédent'!BL20</f>
        <v>-1.7625585197934834E-4</v>
      </c>
      <c r="BN19" s="1">
        <f>+'IRS - INF – XCCY précédent'!BM20</f>
        <v>0</v>
      </c>
      <c r="BO19" s="1">
        <f>+'IRS - INF – XCCY précédent'!BN20</f>
        <v>0</v>
      </c>
      <c r="BP19" s="1">
        <f>+'IRS - INF – XCCY précédent'!BO20</f>
        <v>0</v>
      </c>
      <c r="BQ19" s="1">
        <f>+'IRS - INF – XCCY précédent'!BP20</f>
        <v>0</v>
      </c>
      <c r="BR19" s="1" t="str">
        <f>+'IRS - INF – XCCY précédent'!BQ20</f>
        <v/>
      </c>
      <c r="BS19" s="1">
        <f>+'IRS - INF – XCCY précédent'!BR20</f>
        <v>0</v>
      </c>
      <c r="BT19" s="1">
        <f>+'IRS - INF – XCCY précédent'!BS20</f>
        <v>-4655.3724681809545</v>
      </c>
      <c r="BU19" s="1">
        <f>+'IRS - INF – XCCY précédent'!BT20</f>
        <v>-4.0063446369892342E-5</v>
      </c>
      <c r="BV19" s="1">
        <f>+'IRS - INF – XCCY précédent'!BU20</f>
        <v>-2487.6646959595382</v>
      </c>
      <c r="BW19" s="1">
        <f>+'IRS - INF – XCCY précédent'!BV20</f>
        <v>-2.1408474147673051E-5</v>
      </c>
      <c r="BX19" s="1">
        <f>+'IRS - INF – XCCY précédent'!BW20</f>
        <v>-2167.7077722223476</v>
      </c>
      <c r="BY19" s="1">
        <f>+'IRS - INF – XCCY précédent'!BX20</f>
        <v>-1.865497222221929E-5</v>
      </c>
      <c r="BZ19" s="1">
        <f>+'IRS - INF – XCCY précédent'!BY20</f>
        <v>0</v>
      </c>
      <c r="CA19" s="1">
        <f>+'IRS - INF – XCCY précédent'!BZ20</f>
        <v>0</v>
      </c>
      <c r="CB19" s="1">
        <f>+'IRS - INF – XCCY précédent'!CA20</f>
        <v>10606229.067531819</v>
      </c>
      <c r="CC19" s="1">
        <f>+'IRS - INF – XCCY précédent'!CB20</f>
        <v>9.1275637414215308E-2</v>
      </c>
      <c r="CD19" s="1">
        <f>+'IRS - INF – XCCY précédent'!CC20</f>
        <v>0</v>
      </c>
      <c r="CE19" s="1">
        <f>+'IRS - INF – XCCY précédent'!CD20</f>
        <v>0</v>
      </c>
      <c r="CF19" s="1">
        <f>+'IRS - INF – XCCY précédent'!CE20</f>
        <v>0</v>
      </c>
      <c r="CG19" s="1">
        <f>+'IRS - INF – XCCY précédent'!CF20</f>
        <v>0</v>
      </c>
      <c r="CH19" s="1">
        <f>+'IRS - INF – XCCY précédent'!CG20</f>
        <v>0</v>
      </c>
      <c r="CI19" s="1">
        <f>+'IRS - INF – XCCY précédent'!CH20</f>
        <v>0</v>
      </c>
      <c r="CJ19" s="1">
        <f>+'IRS - INF – XCCY précédent'!CI20</f>
        <v>0</v>
      </c>
      <c r="CK19" s="1" t="str">
        <f>+'IRS - INF – XCCY précédent'!CJ20</f>
        <v>DImension</v>
      </c>
      <c r="CL19" s="1" t="str">
        <f>+'IRS - INF – XCCY précédent'!CK20</f>
        <v>IRSB100000040</v>
      </c>
      <c r="CM19" s="1" t="str">
        <f>+'IRS - INF – XCCY précédent'!CL20</f>
        <v>UTI</v>
      </c>
      <c r="CN19" s="1" t="str">
        <f>+'IRS - INF – XCCY précédent'!CM20</f>
        <v>1030244282IRDONE00000000000000000008338928</v>
      </c>
      <c r="CO19" s="1" t="str">
        <f>+'IRS - INF – XCCY précédent'!CN20</f>
        <v>LEI</v>
      </c>
      <c r="CP19" s="1" t="str">
        <f>+'IRS - INF – XCCY précédent'!CO20</f>
        <v>O2RNE8IBXP4R0TD8PU41</v>
      </c>
      <c r="CQ19" s="1" t="str">
        <f>+'IRS - INF – XCCY précédent'!CP20</f>
        <v>Code DI</v>
      </c>
      <c r="CR19" s="1" t="str">
        <f>+'IRS - INF – XCCY précédent'!CQ20</f>
        <v>SWAP_319</v>
      </c>
      <c r="CS19" s="1">
        <f>+'IRS - INF – XCCY précédent'!CR20</f>
        <v>0</v>
      </c>
      <c r="CT19" s="1">
        <f>+'IRS - INF – XCCY précédent'!CS20</f>
        <v>0</v>
      </c>
      <c r="CU19" s="1">
        <f>+'IRS - INF – XCCY précédent'!CT20</f>
        <v>0</v>
      </c>
      <c r="CV19" s="1">
        <f>+'IRS - INF – XCCY précédent'!CU20</f>
        <v>0</v>
      </c>
      <c r="CW19" s="1">
        <f>+'IRS - INF – XCCY précédent'!CV20</f>
        <v>0</v>
      </c>
      <c r="CX19" s="1">
        <f>+'IRS - INF – XCCY précédent'!CW20</f>
        <v>0</v>
      </c>
      <c r="CY19" s="1">
        <f>+'IRS - INF – XCCY précédent'!CX20</f>
        <v>0</v>
      </c>
      <c r="CZ19" s="1">
        <f>+'IRS - INF – XCCY précédent'!CY20</f>
        <v>0</v>
      </c>
      <c r="DA19" s="1">
        <f>+'IRS - INF – XCCY précédent'!CZ20</f>
        <v>0</v>
      </c>
      <c r="DB19" s="1">
        <f>+'IRS - INF – XCCY précédent'!DA20</f>
        <v>0</v>
      </c>
      <c r="DC19" s="1">
        <f>+'IRS - INF – XCCY précédent'!DB20</f>
        <v>1.000000536441803E-2</v>
      </c>
      <c r="DD19" s="1">
        <f>+'IRS - INF – XCCY précédent'!DC20</f>
        <v>46840</v>
      </c>
      <c r="DE19" s="1">
        <f>+'IRS - INF – XCCY précédent'!DD20</f>
        <v>2.9944444444444445</v>
      </c>
      <c r="DF19" s="1">
        <f>+'IRS - INF – XCCY précédent'!DE20</f>
        <v>5.0000000000000001E-3</v>
      </c>
    </row>
    <row r="20" spans="1:110" x14ac:dyDescent="0.2">
      <c r="A20" s="56" t="str">
        <f>+INDEX('analyse trimestrielle'!$A$8:$A$1048576,MATCH('IFT précédent'!B20,'analyse trimestrielle'!$A$8:$A$1048576,0))</f>
        <v>SWAP_320</v>
      </c>
      <c r="B20" s="1" t="str">
        <f>+'IRS - INF – XCCY précédent'!A21</f>
        <v>SWAP_320</v>
      </c>
      <c r="C20" s="1" t="str">
        <f>+'IRS - INF – XCCY précédent'!B21</f>
        <v>CMS Swap</v>
      </c>
      <c r="D20" s="1" t="str">
        <f>+'IRS - INF – XCCY précédent'!C21</f>
        <v>CMS Swap</v>
      </c>
      <c r="E20" s="1">
        <f>+'IRS - INF – XCCY précédent'!D21</f>
        <v>70600140</v>
      </c>
      <c r="F20" s="1" t="str">
        <f>+'IRS - INF – XCCY précédent'!E21</f>
        <v>SOCIETE GENERALE</v>
      </c>
      <c r="G20" s="1">
        <f>+'IRS - INF – XCCY précédent'!F21</f>
        <v>0</v>
      </c>
      <c r="H20" s="1" t="str">
        <f>+'IRS - INF – XCCY précédent'!G21</f>
        <v>CMS</v>
      </c>
      <c r="I20" s="1" t="str">
        <f>+'IRS - INF – XCCY précédent'!H21</f>
        <v>Receiver</v>
      </c>
      <c r="J20" s="1" t="str">
        <f>+'IRS - INF – XCCY précédent'!I21</f>
        <v>10Y SwapAnnual</v>
      </c>
      <c r="K20" s="1">
        <f>+'IRS - INF – XCCY précédent'!J21</f>
        <v>299.5</v>
      </c>
      <c r="L20" s="1" t="str">
        <f>+'IRS - INF – XCCY précédent'!K21</f>
        <v>08/03/2012</v>
      </c>
      <c r="M20" s="1" t="str">
        <f>+'IRS - INF – XCCY précédent'!L21</f>
        <v>10/24/2025</v>
      </c>
      <c r="N20" s="1">
        <f>+'IRS - INF – XCCY précédent'!M21</f>
        <v>50000000</v>
      </c>
      <c r="O20" s="1">
        <f>+'IRS - INF – XCCY précédent'!N21</f>
        <v>52079166.030000001</v>
      </c>
      <c r="P20" s="1">
        <f>+'IRS - INF – XCCY précédent'!O21</f>
        <v>1.0415833206</v>
      </c>
      <c r="Q20" s="1">
        <f>+'IRS - INF – XCCY précédent'!P21</f>
        <v>50981395.200000003</v>
      </c>
      <c r="R20" s="1">
        <f>+'IRS - INF – XCCY précédent'!Q21</f>
        <v>1.019627904</v>
      </c>
      <c r="S20" s="1">
        <f>+'IRS - INF – XCCY précédent'!R21</f>
        <v>1097770.83</v>
      </c>
      <c r="T20" s="1">
        <f>+'IRS - INF – XCCY précédent'!S21</f>
        <v>2.1955416600000003E-2</v>
      </c>
      <c r="U20" s="1">
        <f>+'IRS - INF – XCCY précédent'!T21</f>
        <v>0.11602684228411105</v>
      </c>
      <c r="V20" s="1">
        <f>+'IRS - INF – XCCY précédent'!U21</f>
        <v>-604.30268786847591</v>
      </c>
      <c r="W20" s="1">
        <f>+'IRS - INF – XCCY précédent'!V21</f>
        <v>0</v>
      </c>
      <c r="X20" s="1" t="str">
        <f>+'IRS - INF – XCCY précédent'!W21</f>
        <v>Fixed</v>
      </c>
      <c r="Y20" s="1" t="str">
        <f>+'IRS - INF – XCCY précédent'!X21</f>
        <v>Payer</v>
      </c>
      <c r="Z20" s="1">
        <f>+'IRS - INF – XCCY précédent'!Y21</f>
        <v>6</v>
      </c>
      <c r="AA20" s="1">
        <f>+'IRS - INF – XCCY précédent'!Z21</f>
        <v>0</v>
      </c>
      <c r="AB20" s="1" t="str">
        <f>+'IRS - INF – XCCY précédent'!AA21</f>
        <v>08/03/2012</v>
      </c>
      <c r="AC20" s="1" t="str">
        <f>+'IRS - INF – XCCY précédent'!AB21</f>
        <v>10/24/2025</v>
      </c>
      <c r="AD20" s="1">
        <f>+'IRS - INF – XCCY précédent'!AC21</f>
        <v>0</v>
      </c>
      <c r="AE20" s="1">
        <f>+'IRS - INF – XCCY précédent'!AD21</f>
        <v>50000000</v>
      </c>
      <c r="AF20" s="1">
        <f>+'IRS - INF – XCCY précédent'!AE21</f>
        <v>-52277459.530000001</v>
      </c>
      <c r="AG20" s="1">
        <f>+'IRS - INF – XCCY précédent'!AF21</f>
        <v>-1.0455491906000001</v>
      </c>
      <c r="AH20" s="1">
        <f>+'IRS - INF – XCCY précédent'!AG21</f>
        <v>-51079009.049999997</v>
      </c>
      <c r="AI20" s="1">
        <f>+'IRS - INF – XCCY précédent'!AH21</f>
        <v>-1.021580181</v>
      </c>
      <c r="AJ20" s="1">
        <f>+'IRS - INF – XCCY précédent'!AI21</f>
        <v>-1198450.48</v>
      </c>
      <c r="AK20" s="1">
        <f>+'IRS - INF – XCCY précédent'!AJ21</f>
        <v>-2.3969009600000001E-2</v>
      </c>
      <c r="AL20" s="1">
        <f>+'IRS - INF – XCCY précédent'!AK21</f>
        <v>-0.60831294384142209</v>
      </c>
      <c r="AM20" s="1">
        <f>+'IRS - INF – XCCY précédent'!AL21</f>
        <v>3180.536780577153</v>
      </c>
      <c r="AN20" s="1">
        <f>+'IRS - INF – XCCY précédent'!AM21</f>
        <v>0</v>
      </c>
      <c r="AO20" s="1">
        <f>+'IRS - INF – XCCY précédent'!AN21</f>
        <v>-198293.5</v>
      </c>
      <c r="AP20" s="1">
        <f>+'IRS - INF – XCCY précédent'!AO21</f>
        <v>-3.9658699999999998E-3</v>
      </c>
      <c r="AQ20" s="1">
        <f>+'IRS - INF – XCCY précédent'!AP21</f>
        <v>-97613.85</v>
      </c>
      <c r="AR20" s="1">
        <f>+'IRS - INF – XCCY précédent'!AQ21</f>
        <v>-1.9522770000000001E-3</v>
      </c>
      <c r="AS20" s="1">
        <f>+'IRS - INF – XCCY précédent'!AR21</f>
        <v>-100679.65</v>
      </c>
      <c r="AT20" s="1">
        <f>+'IRS - INF – XCCY précédent'!AS21</f>
        <v>-2.0135929999999997E-3</v>
      </c>
      <c r="AU20" s="1">
        <f>+'IRS - INF – XCCY précédent'!AT21</f>
        <v>-0.51317828442829916</v>
      </c>
      <c r="AV20" s="1">
        <f>+'IRS - INF – XCCY précédent'!AU21</f>
        <v>2576.2340927086771</v>
      </c>
      <c r="AW20" s="1">
        <f>+'IRS - INF – XCCY précédent'!AV21</f>
        <v>0</v>
      </c>
      <c r="AX20" s="1">
        <f>+'IRS - INF – XCCY précédent'!AW21</f>
        <v>-186746.67</v>
      </c>
      <c r="AY20" s="1">
        <f>+'IRS - INF – XCCY précédent'!AX21</f>
        <v>-3.7349334000000003E-3</v>
      </c>
      <c r="AZ20" s="1">
        <f>+'IRS - INF – XCCY précédent'!AY21</f>
        <v>0</v>
      </c>
      <c r="BA20" s="1">
        <f>+'IRS - INF – XCCY précédent'!AZ21</f>
        <v>0</v>
      </c>
      <c r="BB20" s="1">
        <f>+'IRS - INF – XCCY précédent'!BA21</f>
        <v>0</v>
      </c>
      <c r="BC20" s="1">
        <f>+'IRS - INF – XCCY précédent'!BB21</f>
        <v>0</v>
      </c>
      <c r="BD20" s="1">
        <f>+'IRS - INF – XCCY précédent'!BC21</f>
        <v>0</v>
      </c>
      <c r="BE20" s="1">
        <f>+'IRS - INF – XCCY précédent'!BD21</f>
        <v>-201541.4697197343</v>
      </c>
      <c r="BF20" s="1">
        <f>+'IRS - INF – XCCY précédent'!BE21</f>
        <v>-4.0308293943946858E-3</v>
      </c>
      <c r="BG20" s="1">
        <f>+'IRS - INF – XCCY précédent'!BF21</f>
        <v>-99437.70821063919</v>
      </c>
      <c r="BH20" s="1">
        <f>+'IRS - INF – XCCY précédent'!BG21</f>
        <v>-1.9887541642127837E-3</v>
      </c>
      <c r="BI20" s="1">
        <f>+'IRS - INF – XCCY précédent'!BH21</f>
        <v>-102103.76150909509</v>
      </c>
      <c r="BJ20" s="1">
        <f>+'IRS - INF – XCCY précédent'!BI21</f>
        <v>-2.0420752301819017E-3</v>
      </c>
      <c r="BK20" s="1">
        <f>+'IRS - INF – XCCY précédent'!BJ21</f>
        <v>0</v>
      </c>
      <c r="BL20" s="1">
        <f>+'IRS - INF – XCCY précédent'!BK21</f>
        <v>-11546.829999999987</v>
      </c>
      <c r="BM20" s="1">
        <f>+'IRS - INF – XCCY précédent'!BL21</f>
        <v>-2.309365999999995E-4</v>
      </c>
      <c r="BN20" s="1">
        <f>+'IRS - INF – XCCY précédent'!BM21</f>
        <v>0</v>
      </c>
      <c r="BO20" s="1">
        <f>+'IRS - INF – XCCY précédent'!BN21</f>
        <v>0</v>
      </c>
      <c r="BP20" s="1">
        <f>+'IRS - INF – XCCY précédent'!BO21</f>
        <v>0</v>
      </c>
      <c r="BQ20" s="1">
        <f>+'IRS - INF – XCCY précédent'!BP21</f>
        <v>0</v>
      </c>
      <c r="BR20" s="1" t="str">
        <f>+'IRS - INF – XCCY précédent'!BQ21</f>
        <v/>
      </c>
      <c r="BS20" s="1">
        <f>+'IRS - INF – XCCY précédent'!BR21</f>
        <v>0</v>
      </c>
      <c r="BT20" s="1">
        <f>+'IRS - INF – XCCY précédent'!BS21</f>
        <v>3247.9697197343048</v>
      </c>
      <c r="BU20" s="1">
        <f>+'IRS - INF – XCCY précédent'!BT21</f>
        <v>6.4959394394686031E-5</v>
      </c>
      <c r="BV20" s="1">
        <f>+'IRS - INF – XCCY précédent'!BU21</f>
        <v>1823.8582106391841</v>
      </c>
      <c r="BW20" s="1">
        <f>+'IRS - INF – XCCY précédent'!BV21</f>
        <v>3.6477164212783599E-5</v>
      </c>
      <c r="BX20" s="1">
        <f>+'IRS - INF – XCCY précédent'!BW21</f>
        <v>1424.1115090950916</v>
      </c>
      <c r="BY20" s="1">
        <f>+'IRS - INF – XCCY précédent'!BX21</f>
        <v>2.8482230181901998E-5</v>
      </c>
      <c r="BZ20" s="1">
        <f>+'IRS - INF – XCCY précédent'!BY21</f>
        <v>0</v>
      </c>
      <c r="CA20" s="1">
        <f>+'IRS - INF – XCCY précédent'!BZ21</f>
        <v>0</v>
      </c>
      <c r="CB20" s="1">
        <f>+'IRS - INF – XCCY précédent'!CA21</f>
        <v>201541.4697197343</v>
      </c>
      <c r="CC20" s="1">
        <f>+'IRS - INF – XCCY précédent'!CB21</f>
        <v>4.0308293943946858E-3</v>
      </c>
      <c r="CD20" s="1">
        <f>+'IRS - INF – XCCY précédent'!CC21</f>
        <v>0</v>
      </c>
      <c r="CE20" s="1">
        <f>+'IRS - INF – XCCY précédent'!CD21</f>
        <v>0</v>
      </c>
      <c r="CF20" s="1">
        <f>+'IRS - INF – XCCY précédent'!CE21</f>
        <v>0</v>
      </c>
      <c r="CG20" s="1">
        <f>+'IRS - INF – XCCY précédent'!CF21</f>
        <v>0</v>
      </c>
      <c r="CH20" s="1">
        <f>+'IRS - INF – XCCY précédent'!CG21</f>
        <v>0</v>
      </c>
      <c r="CI20" s="1">
        <f>+'IRS - INF – XCCY précédent'!CH21</f>
        <v>0</v>
      </c>
      <c r="CJ20" s="1">
        <f>+'IRS - INF – XCCY précédent'!CI21</f>
        <v>0</v>
      </c>
      <c r="CK20" s="1" t="str">
        <f>+'IRS - INF – XCCY précédent'!CJ21</f>
        <v>DImension</v>
      </c>
      <c r="CL20" s="1" t="str">
        <f>+'IRS - INF – XCCY précédent'!CK21</f>
        <v>IRSB100000051</v>
      </c>
      <c r="CM20" s="1" t="str">
        <f>+'IRS - INF – XCCY précédent'!CL21</f>
        <v>UTI</v>
      </c>
      <c r="CN20" s="1" t="str">
        <f>+'IRS - INF – XCCY précédent'!CM21</f>
        <v>1030244282IRDONE00000000000000000008338892</v>
      </c>
      <c r="CO20" s="1" t="str">
        <f>+'IRS - INF – XCCY précédent'!CN21</f>
        <v>LEI</v>
      </c>
      <c r="CP20" s="1" t="str">
        <f>+'IRS - INF – XCCY précédent'!CO21</f>
        <v>O2RNE8IBXP4R0TD8PU41</v>
      </c>
      <c r="CQ20" s="1" t="str">
        <f>+'IRS - INF – XCCY précédent'!CP21</f>
        <v>Code DI</v>
      </c>
      <c r="CR20" s="1" t="str">
        <f>+'IRS - INF – XCCY précédent'!CQ21</f>
        <v>SWAP_320</v>
      </c>
      <c r="CS20" s="1">
        <f>+'IRS - INF – XCCY précédent'!CR21</f>
        <v>0</v>
      </c>
      <c r="CT20" s="1">
        <f>+'IRS - INF – XCCY précédent'!CS21</f>
        <v>0</v>
      </c>
      <c r="CU20" s="1">
        <f>+'IRS - INF – XCCY précédent'!CT21</f>
        <v>0</v>
      </c>
      <c r="CV20" s="1">
        <f>+'IRS - INF – XCCY précédent'!CU21</f>
        <v>0</v>
      </c>
      <c r="CW20" s="1">
        <f>+'IRS - INF – XCCY précédent'!CV21</f>
        <v>0</v>
      </c>
      <c r="CX20" s="1">
        <f>+'IRS - INF – XCCY précédent'!CW21</f>
        <v>0</v>
      </c>
      <c r="CY20" s="1">
        <f>+'IRS - INF – XCCY précédent'!CX21</f>
        <v>0</v>
      </c>
      <c r="CZ20" s="1">
        <f>+'IRS - INF – XCCY précédent'!CY21</f>
        <v>0</v>
      </c>
      <c r="DA20" s="1">
        <f>+'IRS - INF – XCCY précédent'!CZ21</f>
        <v>0</v>
      </c>
      <c r="DB20" s="1">
        <f>+'IRS - INF – XCCY précédent'!DA21</f>
        <v>0</v>
      </c>
      <c r="DC20" s="1">
        <f>+'IRS - INF – XCCY précédent'!DB21</f>
        <v>0</v>
      </c>
      <c r="DD20" s="1">
        <f>+'IRS - INF – XCCY précédent'!DC21</f>
        <v>45954</v>
      </c>
      <c r="DE20" s="1">
        <f>+'IRS - INF – XCCY précédent'!DD21</f>
        <v>0.56666666666666665</v>
      </c>
      <c r="DF20" s="1">
        <f>+'IRS - INF – XCCY précédent'!DE21</f>
        <v>5.0000000000000001E-3</v>
      </c>
    </row>
    <row r="21" spans="1:110" x14ac:dyDescent="0.2">
      <c r="A21" s="56" t="str">
        <f>+INDEX('analyse trimestrielle'!$A$8:$A$1048576,MATCH('IFT précédent'!B21,'analyse trimestrielle'!$A$8:$A$1048576,0))</f>
        <v>SWAP_324</v>
      </c>
      <c r="B21" s="1" t="str">
        <f>+'IRS - INF – XCCY précédent'!A22</f>
        <v>SWAP_324</v>
      </c>
      <c r="C21" s="1" t="str">
        <f>+'IRS - INF – XCCY précédent'!B22</f>
        <v>CMS Swap</v>
      </c>
      <c r="D21" s="1" t="str">
        <f>+'IRS - INF – XCCY précédent'!C22</f>
        <v>CMS Swap</v>
      </c>
      <c r="E21" s="1">
        <f>+'IRS - INF – XCCY précédent'!D22</f>
        <v>70607235</v>
      </c>
      <c r="F21" s="1" t="str">
        <f>+'IRS - INF – XCCY précédent'!E22</f>
        <v>JP MORGAN</v>
      </c>
      <c r="G21" s="1">
        <f>+'IRS - INF – XCCY précédent'!F22</f>
        <v>0</v>
      </c>
      <c r="H21" s="1" t="str">
        <f>+'IRS - INF – XCCY précédent'!G22</f>
        <v>CMS</v>
      </c>
      <c r="I21" s="1" t="str">
        <f>+'IRS - INF – XCCY précédent'!H22</f>
        <v>Receiver</v>
      </c>
      <c r="J21" s="1" t="str">
        <f>+'IRS - INF – XCCY précédent'!I22</f>
        <v>10Y SwapAnnual</v>
      </c>
      <c r="K21" s="1">
        <f>+'IRS - INF – XCCY précédent'!J22</f>
        <v>141.6</v>
      </c>
      <c r="L21" s="1" t="str">
        <f>+'IRS - INF – XCCY précédent'!K22</f>
        <v>01/31/2006</v>
      </c>
      <c r="M21" s="1" t="str">
        <f>+'IRS - INF – XCCY précédent'!L22</f>
        <v>01/31/2029</v>
      </c>
      <c r="N21" s="1">
        <f>+'IRS - INF – XCCY précédent'!M22</f>
        <v>104000000</v>
      </c>
      <c r="O21" s="1">
        <f>+'IRS - INF – XCCY précédent'!N22</f>
        <v>112052051.44</v>
      </c>
      <c r="P21" s="1">
        <f>+'IRS - INF – XCCY précédent'!O22</f>
        <v>1.0774235715384615</v>
      </c>
      <c r="Q21" s="1">
        <f>+'IRS - INF – XCCY précédent'!P22</f>
        <v>111499701.67</v>
      </c>
      <c r="R21" s="1">
        <f>+'IRS - INF – XCCY précédent'!Q22</f>
        <v>1.0721125160576923</v>
      </c>
      <c r="S21" s="1">
        <f>+'IRS - INF – XCCY précédent'!R22</f>
        <v>552349.78</v>
      </c>
      <c r="T21" s="1">
        <f>+'IRS - INF – XCCY précédent'!S22</f>
        <v>5.3110555769230773E-3</v>
      </c>
      <c r="U21" s="1">
        <f>+'IRS - INF – XCCY précédent'!T22</f>
        <v>0.20342835523680311</v>
      </c>
      <c r="V21" s="1">
        <f>+'IRS - INF – XCCY précédent'!U22</f>
        <v>-2278.0698885060847</v>
      </c>
      <c r="W21" s="1">
        <f>+'IRS - INF – XCCY précédent'!V22</f>
        <v>0</v>
      </c>
      <c r="X21" s="1" t="str">
        <f>+'IRS - INF – XCCY précédent'!W22</f>
        <v>Fixed</v>
      </c>
      <c r="Y21" s="1" t="str">
        <f>+'IRS - INF – XCCY précédent'!X22</f>
        <v>Payer</v>
      </c>
      <c r="Z21" s="1">
        <f>+'IRS - INF – XCCY précédent'!Y22</f>
        <v>6</v>
      </c>
      <c r="AA21" s="1">
        <f>+'IRS - INF – XCCY précédent'!Z22</f>
        <v>0</v>
      </c>
      <c r="AB21" s="1" t="str">
        <f>+'IRS - INF – XCCY précédent'!AA22</f>
        <v>01/31/2006</v>
      </c>
      <c r="AC21" s="1" t="str">
        <f>+'IRS - INF – XCCY précédent'!AB22</f>
        <v>01/31/2029</v>
      </c>
      <c r="AD21" s="1">
        <f>+'IRS - INF – XCCY précédent'!AC22</f>
        <v>0</v>
      </c>
      <c r="AE21" s="1">
        <f>+'IRS - INF – XCCY précédent'!AD22</f>
        <v>104000000</v>
      </c>
      <c r="AF21" s="1">
        <f>+'IRS - INF – XCCY précédent'!AE22</f>
        <v>-118783119.14</v>
      </c>
      <c r="AG21" s="1">
        <f>+'IRS - INF – XCCY précédent'!AF22</f>
        <v>-1.1421453763461538</v>
      </c>
      <c r="AH21" s="1">
        <f>+'IRS - INF – XCCY précédent'!AG22</f>
        <v>-117933785.81</v>
      </c>
      <c r="AI21" s="1">
        <f>+'IRS - INF – XCCY précédent'!AH22</f>
        <v>-1.1339787097115386</v>
      </c>
      <c r="AJ21" s="1">
        <f>+'IRS - INF – XCCY précédent'!AI22</f>
        <v>-849333.33</v>
      </c>
      <c r="AK21" s="1">
        <f>+'IRS - INF – XCCY précédent'!AJ22</f>
        <v>-8.1666666346153841E-3</v>
      </c>
      <c r="AL21" s="1">
        <f>+'IRS - INF – XCCY précédent'!AK22</f>
        <v>-3.5415883227236926</v>
      </c>
      <c r="AM21" s="1">
        <f>+'IRS - INF – XCCY précédent'!AL22</f>
        <v>42064.830188786982</v>
      </c>
      <c r="AN21" s="1">
        <f>+'IRS - INF – XCCY précédent'!AM22</f>
        <v>0</v>
      </c>
      <c r="AO21" s="1">
        <f>+'IRS - INF – XCCY précédent'!AN22</f>
        <v>-6731067.7000000002</v>
      </c>
      <c r="AP21" s="1">
        <f>+'IRS - INF – XCCY précédent'!AO22</f>
        <v>-6.472180480769231E-2</v>
      </c>
      <c r="AQ21" s="1">
        <f>+'IRS - INF – XCCY précédent'!AP22</f>
        <v>-6434084.1399999997</v>
      </c>
      <c r="AR21" s="1">
        <f>+'IRS - INF – XCCY précédent'!AQ22</f>
        <v>-6.1866193653846151E-2</v>
      </c>
      <c r="AS21" s="1">
        <f>+'IRS - INF – XCCY précédent'!AR22</f>
        <v>-296983.56</v>
      </c>
      <c r="AT21" s="1">
        <f>+'IRS - INF – XCCY précédent'!AS22</f>
        <v>-2.8556111538461538E-3</v>
      </c>
      <c r="AU21" s="1">
        <f>+'IRS - INF – XCCY précédent'!AT22</f>
        <v>-3.5911862774325587</v>
      </c>
      <c r="AV21" s="1">
        <f>+'IRS - INF – XCCY précédent'!AU22</f>
        <v>39786.760300280897</v>
      </c>
      <c r="AW21" s="1">
        <f>+'IRS - INF – XCCY précédent'!AV22</f>
        <v>0</v>
      </c>
      <c r="AX21" s="1">
        <f>+'IRS - INF – XCCY précédent'!AW22</f>
        <v>-6693654.1749999998</v>
      </c>
      <c r="AY21" s="1">
        <f>+'IRS - INF – XCCY précédent'!AX22</f>
        <v>-6.4362059375000003E-2</v>
      </c>
      <c r="AZ21" s="1">
        <f>+'IRS - INF – XCCY précédent'!AY22</f>
        <v>0</v>
      </c>
      <c r="BA21" s="1">
        <f>+'IRS - INF – XCCY précédent'!AZ22</f>
        <v>0</v>
      </c>
      <c r="BB21" s="1">
        <f>+'IRS - INF – XCCY précédent'!BA22</f>
        <v>0</v>
      </c>
      <c r="BC21" s="1">
        <f>+'IRS - INF – XCCY précédent'!BB22</f>
        <v>0</v>
      </c>
      <c r="BD21" s="1">
        <f>+'IRS - INF – XCCY précédent'!BC22</f>
        <v>0</v>
      </c>
      <c r="BE21" s="1">
        <f>+'IRS - INF – XCCY précédent'!BD22</f>
        <v>-6790020.975256145</v>
      </c>
      <c r="BF21" s="1">
        <f>+'IRS - INF – XCCY précédent'!BE22</f>
        <v>-6.5288663223616775E-2</v>
      </c>
      <c r="BG21" s="1">
        <f>+'IRS - INF – XCCY précédent'!BF22</f>
        <v>-6499548.975256145</v>
      </c>
      <c r="BH21" s="1">
        <f>+'IRS - INF – XCCY précédent'!BG22</f>
        <v>-6.2495663223616778E-2</v>
      </c>
      <c r="BI21" s="1">
        <f>+'IRS - INF – XCCY précédent'!BH22</f>
        <v>-290472</v>
      </c>
      <c r="BJ21" s="1">
        <f>+'IRS - INF – XCCY précédent'!BI22</f>
        <v>-2.7929999999999999E-3</v>
      </c>
      <c r="BK21" s="1">
        <f>+'IRS - INF – XCCY précédent'!BJ22</f>
        <v>0</v>
      </c>
      <c r="BL21" s="1">
        <f>+'IRS - INF – XCCY précédent'!BK22</f>
        <v>-37413.525000000373</v>
      </c>
      <c r="BM21" s="1">
        <f>+'IRS - INF – XCCY précédent'!BL22</f>
        <v>-3.5974543269230719E-4</v>
      </c>
      <c r="BN21" s="1">
        <f>+'IRS - INF – XCCY précédent'!BM22</f>
        <v>0</v>
      </c>
      <c r="BO21" s="1">
        <f>+'IRS - INF – XCCY précédent'!BN22</f>
        <v>0</v>
      </c>
      <c r="BP21" s="1">
        <f>+'IRS - INF – XCCY précédent'!BO22</f>
        <v>0</v>
      </c>
      <c r="BQ21" s="1">
        <f>+'IRS - INF – XCCY précédent'!BP22</f>
        <v>0</v>
      </c>
      <c r="BR21" s="1" t="str">
        <f>+'IRS - INF – XCCY précédent'!BQ22</f>
        <v/>
      </c>
      <c r="BS21" s="1">
        <f>+'IRS - INF – XCCY précédent'!BR22</f>
        <v>0</v>
      </c>
      <c r="BT21" s="1">
        <f>+'IRS - INF – XCCY précédent'!BS22</f>
        <v>58953.275256144814</v>
      </c>
      <c r="BU21" s="1">
        <f>+'IRS - INF – XCCY précédent'!BT22</f>
        <v>5.6685841592446495E-4</v>
      </c>
      <c r="BV21" s="1">
        <f>+'IRS - INF – XCCY précédent'!BU22</f>
        <v>65464.835256145336</v>
      </c>
      <c r="BW21" s="1">
        <f>+'IRS - INF – XCCY précédent'!BV22</f>
        <v>6.2946956977062707E-4</v>
      </c>
      <c r="BX21" s="1">
        <f>+'IRS - INF – XCCY précédent'!BW22</f>
        <v>-6511.5599999999977</v>
      </c>
      <c r="BY21" s="1">
        <f>+'IRS - INF – XCCY précédent'!BX22</f>
        <v>-6.2611153846153875E-5</v>
      </c>
      <c r="BZ21" s="1">
        <f>+'IRS - INF – XCCY précédent'!BY22</f>
        <v>0</v>
      </c>
      <c r="CA21" s="1">
        <f>+'IRS - INF – XCCY précédent'!BZ22</f>
        <v>0</v>
      </c>
      <c r="CB21" s="1">
        <f>+'IRS - INF – XCCY précédent'!CA22</f>
        <v>6790020.975256145</v>
      </c>
      <c r="CC21" s="1">
        <f>+'IRS - INF – XCCY précédent'!CB22</f>
        <v>6.5288663223616775E-2</v>
      </c>
      <c r="CD21" s="1">
        <f>+'IRS - INF – XCCY précédent'!CC22</f>
        <v>0</v>
      </c>
      <c r="CE21" s="1">
        <f>+'IRS - INF – XCCY précédent'!CD22</f>
        <v>0</v>
      </c>
      <c r="CF21" s="1">
        <f>+'IRS - INF – XCCY précédent'!CE22</f>
        <v>0</v>
      </c>
      <c r="CG21" s="1">
        <f>+'IRS - INF – XCCY précédent'!CF22</f>
        <v>0</v>
      </c>
      <c r="CH21" s="1">
        <f>+'IRS - INF – XCCY précédent'!CG22</f>
        <v>0</v>
      </c>
      <c r="CI21" s="1">
        <f>+'IRS - INF – XCCY précédent'!CH22</f>
        <v>0</v>
      </c>
      <c r="CJ21" s="1">
        <f>+'IRS - INF – XCCY précédent'!CI22</f>
        <v>0</v>
      </c>
      <c r="CK21" s="1" t="str">
        <f>+'IRS - INF – XCCY précédent'!CJ22</f>
        <v>DImension</v>
      </c>
      <c r="CL21" s="1" t="str">
        <f>+'IRS - INF – XCCY précédent'!CK22</f>
        <v>IRSB100000032</v>
      </c>
      <c r="CM21" s="1" t="str">
        <f>+'IRS - INF – XCCY précédent'!CL22</f>
        <v>UTI</v>
      </c>
      <c r="CN21" s="1" t="str">
        <f>+'IRS - INF – XCCY précédent'!CM22</f>
        <v>1030244641MARKITWIRE0000000000000064293667</v>
      </c>
      <c r="CO21" s="1" t="str">
        <f>+'IRS - INF – XCCY précédent'!CN22</f>
        <v>LEI</v>
      </c>
      <c r="CP21" s="1" t="str">
        <f>+'IRS - INF – XCCY précédent'!CO22</f>
        <v>K6Q0W1PS1L1O4IQL9C32</v>
      </c>
      <c r="CQ21" s="1" t="str">
        <f>+'IRS - INF – XCCY précédent'!CP22</f>
        <v>Code DI</v>
      </c>
      <c r="CR21" s="1" t="str">
        <f>+'IRS - INF – XCCY précédent'!CQ22</f>
        <v>SWAP_324</v>
      </c>
      <c r="CS21" s="1">
        <f>+'IRS - INF – XCCY précédent'!CR22</f>
        <v>0</v>
      </c>
      <c r="CT21" s="1">
        <f>+'IRS - INF – XCCY précédent'!CS22</f>
        <v>0</v>
      </c>
      <c r="CU21" s="1">
        <f>+'IRS - INF – XCCY précédent'!CT22</f>
        <v>0</v>
      </c>
      <c r="CV21" s="1">
        <f>+'IRS - INF – XCCY précédent'!CU22</f>
        <v>0</v>
      </c>
      <c r="CW21" s="1">
        <f>+'IRS - INF – XCCY précédent'!CV22</f>
        <v>0</v>
      </c>
      <c r="CX21" s="1">
        <f>+'IRS - INF – XCCY précédent'!CW22</f>
        <v>0</v>
      </c>
      <c r="CY21" s="1">
        <f>+'IRS - INF – XCCY précédent'!CX22</f>
        <v>0</v>
      </c>
      <c r="CZ21" s="1">
        <f>+'IRS - INF – XCCY précédent'!CY22</f>
        <v>0</v>
      </c>
      <c r="DA21" s="1">
        <f>+'IRS - INF – XCCY précédent'!CZ22</f>
        <v>0</v>
      </c>
      <c r="DB21" s="1">
        <f>+'IRS - INF – XCCY précédent'!DA22</f>
        <v>0</v>
      </c>
      <c r="DC21" s="1">
        <f>+'IRS - INF – XCCY précédent'!DB22</f>
        <v>0</v>
      </c>
      <c r="DD21" s="1">
        <f>+'IRS - INF – XCCY précédent'!DC22</f>
        <v>47149</v>
      </c>
      <c r="DE21" s="1">
        <f>+'IRS - INF – XCCY précédent'!DD22</f>
        <v>3.8333333333333335</v>
      </c>
      <c r="DF21" s="1">
        <f>+'IRS - INF – XCCY précédent'!DE22</f>
        <v>5.0000000000000001E-3</v>
      </c>
    </row>
    <row r="22" spans="1:110" x14ac:dyDescent="0.2">
      <c r="A22" s="56" t="str">
        <f>+INDEX('analyse trimestrielle'!$A$8:$A$1048576,MATCH('IFT précédent'!B22,'analyse trimestrielle'!$A$8:$A$1048576,0))</f>
        <v>SWAP_341</v>
      </c>
      <c r="B22" s="1" t="str">
        <f>+'IRS - INF – XCCY précédent'!A23</f>
        <v>SWAP_341</v>
      </c>
      <c r="C22" s="1" t="str">
        <f>+'IRS - INF – XCCY précédent'!B23</f>
        <v>CMS Swap</v>
      </c>
      <c r="D22" s="1" t="str">
        <f>+'IRS - INF – XCCY précédent'!C23</f>
        <v>CMS Swap</v>
      </c>
      <c r="E22" s="1">
        <f>+'IRS - INF – XCCY précédent'!D23</f>
        <v>70618160</v>
      </c>
      <c r="F22" s="1" t="str">
        <f>+'IRS - INF – XCCY précédent'!E23</f>
        <v>CREDIT SUISSE</v>
      </c>
      <c r="G22" s="1">
        <f>+'IRS - INF – XCCY précédent'!F23</f>
        <v>0</v>
      </c>
      <c r="H22" s="1" t="str">
        <f>+'IRS - INF – XCCY précédent'!G23</f>
        <v>CMS</v>
      </c>
      <c r="I22" s="1" t="str">
        <f>+'IRS - INF – XCCY précédent'!H23</f>
        <v>Receiver</v>
      </c>
      <c r="J22" s="1" t="str">
        <f>+'IRS - INF – XCCY précédent'!I23</f>
        <v>10Y SwapAnnual</v>
      </c>
      <c r="K22" s="1">
        <f>+'IRS - INF – XCCY précédent'!J23</f>
        <v>303.3</v>
      </c>
      <c r="L22" s="1" t="str">
        <f>+'IRS - INF – XCCY précédent'!K23</f>
        <v>08/16/2012</v>
      </c>
      <c r="M22" s="1" t="str">
        <f>+'IRS - INF – XCCY précédent'!L23</f>
        <v>10/24/2025</v>
      </c>
      <c r="N22" s="1">
        <f>+'IRS - INF – XCCY précédent'!M23</f>
        <v>50000000</v>
      </c>
      <c r="O22" s="1">
        <f>+'IRS - INF – XCCY précédent'!N23</f>
        <v>52098013.079999998</v>
      </c>
      <c r="P22" s="1">
        <f>+'IRS - INF – XCCY précédent'!O23</f>
        <v>1.0419602615999999</v>
      </c>
      <c r="Q22" s="1">
        <f>+'IRS - INF – XCCY précédent'!P23</f>
        <v>50992589.469999999</v>
      </c>
      <c r="R22" s="1">
        <f>+'IRS - INF – XCCY précédent'!Q23</f>
        <v>1.0198517893999999</v>
      </c>
      <c r="S22" s="1">
        <f>+'IRS - INF – XCCY précédent'!R23</f>
        <v>1105423.6100000001</v>
      </c>
      <c r="T22" s="1">
        <f>+'IRS - INF – XCCY précédent'!S23</f>
        <v>2.2108472200000003E-2</v>
      </c>
      <c r="U22" s="1">
        <f>+'IRS - INF – XCCY précédent'!T23</f>
        <v>0.11611389614324664</v>
      </c>
      <c r="V22" s="1">
        <f>+'IRS - INF – XCCY précédent'!U23</f>
        <v>-604.97611397951846</v>
      </c>
      <c r="W22" s="1">
        <f>+'IRS - INF – XCCY précédent'!V23</f>
        <v>0</v>
      </c>
      <c r="X22" s="1" t="str">
        <f>+'IRS - INF – XCCY précédent'!W23</f>
        <v>Fixed</v>
      </c>
      <c r="Y22" s="1" t="str">
        <f>+'IRS - INF – XCCY précédent'!X23</f>
        <v>Payer</v>
      </c>
      <c r="Z22" s="1">
        <f>+'IRS - INF – XCCY précédent'!Y23</f>
        <v>6</v>
      </c>
      <c r="AA22" s="1">
        <f>+'IRS - INF – XCCY précédent'!Z23</f>
        <v>0</v>
      </c>
      <c r="AB22" s="1" t="str">
        <f>+'IRS - INF – XCCY précédent'!AA23</f>
        <v>08/16/2012</v>
      </c>
      <c r="AC22" s="1" t="str">
        <f>+'IRS - INF – XCCY précédent'!AB23</f>
        <v>10/24/2025</v>
      </c>
      <c r="AD22" s="1">
        <f>+'IRS - INF – XCCY précédent'!AC23</f>
        <v>0</v>
      </c>
      <c r="AE22" s="1">
        <f>+'IRS - INF – XCCY précédent'!AD23</f>
        <v>50000000</v>
      </c>
      <c r="AF22" s="1">
        <f>+'IRS - INF – XCCY précédent'!AE23</f>
        <v>-52277459.530000001</v>
      </c>
      <c r="AG22" s="1">
        <f>+'IRS - INF – XCCY précédent'!AF23</f>
        <v>-1.0455491906000001</v>
      </c>
      <c r="AH22" s="1">
        <f>+'IRS - INF – XCCY précédent'!AG23</f>
        <v>-51079009.049999997</v>
      </c>
      <c r="AI22" s="1">
        <f>+'IRS - INF – XCCY précédent'!AH23</f>
        <v>-1.021580181</v>
      </c>
      <c r="AJ22" s="1">
        <f>+'IRS - INF – XCCY précédent'!AI23</f>
        <v>-1198450.48</v>
      </c>
      <c r="AK22" s="1">
        <f>+'IRS - INF – XCCY précédent'!AJ23</f>
        <v>-2.3969009600000001E-2</v>
      </c>
      <c r="AL22" s="1">
        <f>+'IRS - INF – XCCY précédent'!AK23</f>
        <v>-0.60831294384142209</v>
      </c>
      <c r="AM22" s="1">
        <f>+'IRS - INF – XCCY précédent'!AL23</f>
        <v>3180.536780577153</v>
      </c>
      <c r="AN22" s="1">
        <f>+'IRS - INF – XCCY précédent'!AM23</f>
        <v>0</v>
      </c>
      <c r="AO22" s="1">
        <f>+'IRS - INF – XCCY précédent'!AN23</f>
        <v>-179446.45</v>
      </c>
      <c r="AP22" s="1">
        <f>+'IRS - INF – XCCY précédent'!AO23</f>
        <v>-3.5889290000000003E-3</v>
      </c>
      <c r="AQ22" s="1">
        <f>+'IRS - INF – XCCY précédent'!AP23</f>
        <v>-86419.58</v>
      </c>
      <c r="AR22" s="1">
        <f>+'IRS - INF – XCCY précédent'!AQ23</f>
        <v>-1.7283916000000001E-3</v>
      </c>
      <c r="AS22" s="1">
        <f>+'IRS - INF – XCCY précédent'!AR23</f>
        <v>-93026.87</v>
      </c>
      <c r="AT22" s="1">
        <f>+'IRS - INF – XCCY précédent'!AS23</f>
        <v>-1.8605373999999999E-3</v>
      </c>
      <c r="AU22" s="1">
        <f>+'IRS - INF – XCCY précédent'!AT23</f>
        <v>-0.51323786523453907</v>
      </c>
      <c r="AV22" s="1">
        <f>+'IRS - INF – XCCY précédent'!AU23</f>
        <v>2575.5606665976347</v>
      </c>
      <c r="AW22" s="1">
        <f>+'IRS - INF – XCCY précédent'!AV23</f>
        <v>0</v>
      </c>
      <c r="AX22" s="1">
        <f>+'IRS - INF – XCCY précédent'!AW23</f>
        <v>-184849.35769999999</v>
      </c>
      <c r="AY22" s="1">
        <f>+'IRS - INF – XCCY précédent'!AX23</f>
        <v>-3.6969871539999999E-3</v>
      </c>
      <c r="AZ22" s="1">
        <f>+'IRS - INF – XCCY précédent'!AY23</f>
        <v>0</v>
      </c>
      <c r="BA22" s="1">
        <f>+'IRS - INF – XCCY précédent'!AZ23</f>
        <v>0</v>
      </c>
      <c r="BB22" s="1">
        <f>+'IRS - INF – XCCY précédent'!BA23</f>
        <v>0</v>
      </c>
      <c r="BC22" s="1">
        <f>+'IRS - INF – XCCY précédent'!BB23</f>
        <v>0</v>
      </c>
      <c r="BD22" s="1">
        <f>+'IRS - INF – XCCY précédent'!BC23</f>
        <v>0</v>
      </c>
      <c r="BE22" s="1">
        <f>+'IRS - INF – XCCY précédent'!BD23</f>
        <v>-182592.53768921643</v>
      </c>
      <c r="BF22" s="1">
        <f>+'IRS - INF – XCCY précédent'!BE23</f>
        <v>-3.6518507537843287E-3</v>
      </c>
      <c r="BG22" s="1">
        <f>+'IRS - INF – XCCY précédent'!BF23</f>
        <v>-88088.776180121349</v>
      </c>
      <c r="BH22" s="1">
        <f>+'IRS - INF – XCCY précédent'!BG23</f>
        <v>-1.761775523602427E-3</v>
      </c>
      <c r="BI22" s="1">
        <f>+'IRS - INF – XCCY précédent'!BH23</f>
        <v>-94503.761509095086</v>
      </c>
      <c r="BJ22" s="1">
        <f>+'IRS - INF – XCCY précédent'!BI23</f>
        <v>-1.8900752301819017E-3</v>
      </c>
      <c r="BK22" s="1">
        <f>+'IRS - INF – XCCY précédent'!BJ23</f>
        <v>0</v>
      </c>
      <c r="BL22" s="1">
        <f>+'IRS - INF – XCCY précédent'!BK23</f>
        <v>5402.9076999999816</v>
      </c>
      <c r="BM22" s="1">
        <f>+'IRS - INF – XCCY précédent'!BL23</f>
        <v>1.0805815399999967E-4</v>
      </c>
      <c r="BN22" s="1">
        <f>+'IRS - INF – XCCY précédent'!BM23</f>
        <v>0</v>
      </c>
      <c r="BO22" s="1">
        <f>+'IRS - INF – XCCY précédent'!BN23</f>
        <v>0</v>
      </c>
      <c r="BP22" s="1">
        <f>+'IRS - INF – XCCY précédent'!BO23</f>
        <v>0</v>
      </c>
      <c r="BQ22" s="1">
        <f>+'IRS - INF – XCCY précédent'!BP23</f>
        <v>0</v>
      </c>
      <c r="BR22" s="1" t="str">
        <f>+'IRS - INF – XCCY précédent'!BQ23</f>
        <v/>
      </c>
      <c r="BS22" s="1">
        <f>+'IRS - INF – XCCY précédent'!BR23</f>
        <v>0</v>
      </c>
      <c r="BT22" s="1">
        <f>+'IRS - INF – XCCY précédent'!BS23</f>
        <v>3146.0876892164233</v>
      </c>
      <c r="BU22" s="1">
        <f>+'IRS - INF – XCCY précédent'!BT23</f>
        <v>6.2921753784328429E-5</v>
      </c>
      <c r="BV22" s="1">
        <f>+'IRS - INF – XCCY précédent'!BU23</f>
        <v>1669.1961801213474</v>
      </c>
      <c r="BW22" s="1">
        <f>+'IRS - INF – XCCY précédent'!BV23</f>
        <v>3.3383923602426854E-5</v>
      </c>
      <c r="BX22" s="1">
        <f>+'IRS - INF – XCCY précédent'!BW23</f>
        <v>1476.8915090950904</v>
      </c>
      <c r="BY22" s="1">
        <f>+'IRS - INF – XCCY précédent'!BX23</f>
        <v>2.9537830181901792E-5</v>
      </c>
      <c r="BZ22" s="1">
        <f>+'IRS - INF – XCCY précédent'!BY23</f>
        <v>0</v>
      </c>
      <c r="CA22" s="1">
        <f>+'IRS - INF – XCCY précédent'!BZ23</f>
        <v>0</v>
      </c>
      <c r="CB22" s="1">
        <f>+'IRS - INF – XCCY précédent'!CA23</f>
        <v>182592.53768921643</v>
      </c>
      <c r="CC22" s="1">
        <f>+'IRS - INF – XCCY précédent'!CB23</f>
        <v>3.6518507537843287E-3</v>
      </c>
      <c r="CD22" s="1">
        <f>+'IRS - INF – XCCY précédent'!CC23</f>
        <v>0</v>
      </c>
      <c r="CE22" s="1">
        <f>+'IRS - INF – XCCY précédent'!CD23</f>
        <v>0</v>
      </c>
      <c r="CF22" s="1">
        <f>+'IRS - INF – XCCY précédent'!CE23</f>
        <v>0</v>
      </c>
      <c r="CG22" s="1">
        <f>+'IRS - INF – XCCY précédent'!CF23</f>
        <v>0</v>
      </c>
      <c r="CH22" s="1">
        <f>+'IRS - INF – XCCY précédent'!CG23</f>
        <v>0</v>
      </c>
      <c r="CI22" s="1">
        <f>+'IRS - INF – XCCY précédent'!CH23</f>
        <v>0</v>
      </c>
      <c r="CJ22" s="1">
        <f>+'IRS - INF – XCCY précédent'!CI23</f>
        <v>0</v>
      </c>
      <c r="CK22" s="1" t="str">
        <f>+'IRS - INF – XCCY précédent'!CJ23</f>
        <v>DImension</v>
      </c>
      <c r="CL22" s="1" t="str">
        <f>+'IRS - INF – XCCY précédent'!CK23</f>
        <v>IRSB100000059</v>
      </c>
      <c r="CM22" s="1" t="str">
        <f>+'IRS - INF – XCCY précédent'!CL23</f>
        <v>UTI</v>
      </c>
      <c r="CN22" s="1" t="str">
        <f>+'IRS - INF – XCCY précédent'!CM23</f>
        <v>1030443823DTD1008204501</v>
      </c>
      <c r="CO22" s="1" t="str">
        <f>+'IRS - INF – XCCY précédent'!CN23</f>
        <v>LEI</v>
      </c>
      <c r="CP22" s="1" t="str">
        <f>+'IRS - INF – XCCY précédent'!CO23</f>
        <v>E58DKGMJYYYJLN8C3868</v>
      </c>
      <c r="CQ22" s="1" t="str">
        <f>+'IRS - INF – XCCY précédent'!CP23</f>
        <v>Code DI</v>
      </c>
      <c r="CR22" s="1" t="str">
        <f>+'IRS - INF – XCCY précédent'!CQ23</f>
        <v>SWAP_341</v>
      </c>
      <c r="CS22" s="1">
        <f>+'IRS - INF – XCCY précédent'!CR23</f>
        <v>0</v>
      </c>
      <c r="CT22" s="1">
        <f>+'IRS - INF – XCCY précédent'!CS23</f>
        <v>0</v>
      </c>
      <c r="CU22" s="1">
        <f>+'IRS - INF – XCCY précédent'!CT23</f>
        <v>0</v>
      </c>
      <c r="CV22" s="1">
        <f>+'IRS - INF – XCCY précédent'!CU23</f>
        <v>0</v>
      </c>
      <c r="CW22" s="1">
        <f>+'IRS - INF – XCCY précédent'!CV23</f>
        <v>0</v>
      </c>
      <c r="CX22" s="1">
        <f>+'IRS - INF – XCCY précédent'!CW23</f>
        <v>0</v>
      </c>
      <c r="CY22" s="1">
        <f>+'IRS - INF – XCCY précédent'!CX23</f>
        <v>0</v>
      </c>
      <c r="CZ22" s="1">
        <f>+'IRS - INF – XCCY précédent'!CY23</f>
        <v>0</v>
      </c>
      <c r="DA22" s="1">
        <f>+'IRS - INF – XCCY précédent'!CZ23</f>
        <v>0</v>
      </c>
      <c r="DB22" s="1">
        <f>+'IRS - INF – XCCY précédent'!DA23</f>
        <v>0</v>
      </c>
      <c r="DC22" s="1">
        <f>+'IRS - INF – XCCY précédent'!DB23</f>
        <v>0</v>
      </c>
      <c r="DD22" s="1">
        <f>+'IRS - INF – XCCY précédent'!DC23</f>
        <v>45954</v>
      </c>
      <c r="DE22" s="1">
        <f>+'IRS - INF – XCCY précédent'!DD23</f>
        <v>0.56666666666666665</v>
      </c>
      <c r="DF22" s="1">
        <f>+'IRS - INF – XCCY précédent'!DE23</f>
        <v>5.0000000000000001E-3</v>
      </c>
    </row>
    <row r="23" spans="1:110" x14ac:dyDescent="0.2">
      <c r="A23" s="56" t="str">
        <f>+INDEX('analyse trimestrielle'!$A$8:$A$1048576,MATCH('IFT précédent'!B23,'analyse trimestrielle'!$A$8:$A$1048576,0))</f>
        <v>SWAP_342</v>
      </c>
      <c r="B23" s="1" t="str">
        <f>+'IRS - INF – XCCY précédent'!A24</f>
        <v>SWAP_342</v>
      </c>
      <c r="C23" s="1" t="str">
        <f>+'IRS - INF – XCCY précédent'!B24</f>
        <v>CMS Swap</v>
      </c>
      <c r="D23" s="1" t="str">
        <f>+'IRS - INF – XCCY précédent'!C24</f>
        <v>CMS Swap</v>
      </c>
      <c r="E23" s="1">
        <f>+'IRS - INF – XCCY précédent'!D24</f>
        <v>70618161</v>
      </c>
      <c r="F23" s="1" t="str">
        <f>+'IRS - INF – XCCY précédent'!E24</f>
        <v>CREDIT SUISSE</v>
      </c>
      <c r="G23" s="1">
        <f>+'IRS - INF – XCCY précédent'!F24</f>
        <v>0</v>
      </c>
      <c r="H23" s="1" t="str">
        <f>+'IRS - INF – XCCY précédent'!G24</f>
        <v>CMS</v>
      </c>
      <c r="I23" s="1" t="str">
        <f>+'IRS - INF – XCCY précédent'!H24</f>
        <v>Receiver</v>
      </c>
      <c r="J23" s="1" t="str">
        <f>+'IRS - INF – XCCY précédent'!I24</f>
        <v>10Y SwapAnnual</v>
      </c>
      <c r="K23" s="1">
        <f>+'IRS - INF – XCCY précédent'!J24</f>
        <v>312.5</v>
      </c>
      <c r="L23" s="1" t="str">
        <f>+'IRS - INF – XCCY précédent'!K24</f>
        <v>08/06/2012</v>
      </c>
      <c r="M23" s="1" t="str">
        <f>+'IRS - INF – XCCY précédent'!L24</f>
        <v>10/25/2025</v>
      </c>
      <c r="N23" s="1">
        <f>+'IRS - INF – XCCY précédent'!M24</f>
        <v>50000000</v>
      </c>
      <c r="O23" s="1">
        <f>+'IRS - INF – XCCY précédent'!N24</f>
        <v>52131348.789999999</v>
      </c>
      <c r="P23" s="1">
        <f>+'IRS - INF – XCCY précédent'!O24</f>
        <v>1.0426269758</v>
      </c>
      <c r="Q23" s="1">
        <f>+'IRS - INF – XCCY précédent'!P24</f>
        <v>51017948.789999999</v>
      </c>
      <c r="R23" s="1">
        <f>+'IRS - INF – XCCY précédent'!Q24</f>
        <v>1.0203589758</v>
      </c>
      <c r="S23" s="1">
        <f>+'IRS - INF – XCCY précédent'!R24</f>
        <v>1113400</v>
      </c>
      <c r="T23" s="1">
        <f>+'IRS - INF – XCCY précédent'!S24</f>
        <v>2.2268E-2</v>
      </c>
      <c r="U23" s="1">
        <f>+'IRS - INF – XCCY précédent'!T24</f>
        <v>0.1163243961183254</v>
      </c>
      <c r="V23" s="1">
        <f>+'IRS - INF – XCCY précédent'!U24</f>
        <v>-606.60651403702798</v>
      </c>
      <c r="W23" s="1">
        <f>+'IRS - INF – XCCY précédent'!V24</f>
        <v>0</v>
      </c>
      <c r="X23" s="1" t="str">
        <f>+'IRS - INF – XCCY précédent'!W24</f>
        <v>Fixed</v>
      </c>
      <c r="Y23" s="1" t="str">
        <f>+'IRS - INF – XCCY précédent'!X24</f>
        <v>Payer</v>
      </c>
      <c r="Z23" s="1">
        <f>+'IRS - INF – XCCY précédent'!Y24</f>
        <v>6</v>
      </c>
      <c r="AA23" s="1">
        <f>+'IRS - INF – XCCY précédent'!Z24</f>
        <v>0</v>
      </c>
      <c r="AB23" s="1" t="str">
        <f>+'IRS - INF – XCCY précédent'!AA24</f>
        <v>08/06/2012</v>
      </c>
      <c r="AC23" s="1" t="str">
        <f>+'IRS - INF – XCCY précédent'!AB24</f>
        <v>10/25/2025</v>
      </c>
      <c r="AD23" s="1">
        <f>+'IRS - INF – XCCY précédent'!AC24</f>
        <v>0</v>
      </c>
      <c r="AE23" s="1">
        <f>+'IRS - INF – XCCY précédent'!AD24</f>
        <v>50000000</v>
      </c>
      <c r="AF23" s="1">
        <f>+'IRS - INF – XCCY précédent'!AE24</f>
        <v>-52268456.310000002</v>
      </c>
      <c r="AG23" s="1">
        <f>+'IRS - INF – XCCY précédent'!AF24</f>
        <v>-1.0453691262</v>
      </c>
      <c r="AH23" s="1">
        <f>+'IRS - INF – XCCY précédent'!AG24</f>
        <v>-51078202.549999997</v>
      </c>
      <c r="AI23" s="1">
        <f>+'IRS - INF – XCCY précédent'!AH24</f>
        <v>-1.0215640509999999</v>
      </c>
      <c r="AJ23" s="1">
        <f>+'IRS - INF – XCCY précédent'!AI24</f>
        <v>-1190253.76</v>
      </c>
      <c r="AK23" s="1">
        <f>+'IRS - INF – XCCY précédent'!AJ24</f>
        <v>-2.3805075200000001E-2</v>
      </c>
      <c r="AL23" s="1">
        <f>+'IRS - INF – XCCY précédent'!AK24</f>
        <v>-0.60831294384142209</v>
      </c>
      <c r="AM23" s="1">
        <f>+'IRS - INF – XCCY précédent'!AL24</f>
        <v>3180.536780577153</v>
      </c>
      <c r="AN23" s="1">
        <f>+'IRS - INF – XCCY précédent'!AM24</f>
        <v>0</v>
      </c>
      <c r="AO23" s="1">
        <f>+'IRS - INF – XCCY précédent'!AN24</f>
        <v>-137107.51999999999</v>
      </c>
      <c r="AP23" s="1">
        <f>+'IRS - INF – XCCY précédent'!AO24</f>
        <v>-2.7421503999999998E-3</v>
      </c>
      <c r="AQ23" s="1">
        <f>+'IRS - INF – XCCY précédent'!AP24</f>
        <v>-60253.760000000002</v>
      </c>
      <c r="AR23" s="1">
        <f>+'IRS - INF – XCCY précédent'!AQ24</f>
        <v>-1.2050752E-3</v>
      </c>
      <c r="AS23" s="1">
        <f>+'IRS - INF – XCCY précédent'!AR24</f>
        <v>-76853.759999999995</v>
      </c>
      <c r="AT23" s="1">
        <f>+'IRS - INF – XCCY précédent'!AS24</f>
        <v>-1.5370751999999998E-3</v>
      </c>
      <c r="AU23" s="1">
        <f>+'IRS - INF – XCCY précédent'!AT24</f>
        <v>-0.51338230001103025</v>
      </c>
      <c r="AV23" s="1">
        <f>+'IRS - INF – XCCY précédent'!AU24</f>
        <v>2573.9302665401251</v>
      </c>
      <c r="AW23" s="1">
        <f>+'IRS - INF – XCCY précédent'!AV24</f>
        <v>0</v>
      </c>
      <c r="AX23" s="1">
        <f>+'IRS - INF – XCCY précédent'!AW24</f>
        <v>-123292.31050000001</v>
      </c>
      <c r="AY23" s="1">
        <f>+'IRS - INF – XCCY précédent'!AX24</f>
        <v>-2.4658462100000003E-3</v>
      </c>
      <c r="AZ23" s="1">
        <f>+'IRS - INF – XCCY précédent'!AY24</f>
        <v>0</v>
      </c>
      <c r="BA23" s="1">
        <f>+'IRS - INF – XCCY précédent'!AZ24</f>
        <v>0</v>
      </c>
      <c r="BB23" s="1">
        <f>+'IRS - INF – XCCY précédent'!BA24</f>
        <v>0</v>
      </c>
      <c r="BC23" s="1">
        <f>+'IRS - INF – XCCY précédent'!BB24</f>
        <v>0</v>
      </c>
      <c r="BD23" s="1">
        <f>+'IRS - INF – XCCY précédent'!BC24</f>
        <v>0</v>
      </c>
      <c r="BE23" s="1">
        <f>+'IRS - INF – XCCY précédent'!BD24</f>
        <v>-136716.17593110842</v>
      </c>
      <c r="BF23" s="1">
        <f>+'IRS - INF – XCCY précédent'!BE24</f>
        <v>-2.7343235186221685E-3</v>
      </c>
      <c r="BG23" s="1">
        <f>+'IRS - INF – XCCY précédent'!BF24</f>
        <v>-60612.414422013557</v>
      </c>
      <c r="BH23" s="1">
        <f>+'IRS - INF – XCCY précédent'!BG24</f>
        <v>-1.2122482884402712E-3</v>
      </c>
      <c r="BI23" s="1">
        <f>+'IRS - INF – XCCY précédent'!BH24</f>
        <v>-76103.761509094853</v>
      </c>
      <c r="BJ23" s="1">
        <f>+'IRS - INF – XCCY précédent'!BI24</f>
        <v>-1.5220752301818971E-3</v>
      </c>
      <c r="BK23" s="1">
        <f>+'IRS - INF – XCCY précédent'!BJ24</f>
        <v>0</v>
      </c>
      <c r="BL23" s="1">
        <f>+'IRS - INF – XCCY précédent'!BK24</f>
        <v>-13815.209499999983</v>
      </c>
      <c r="BM23" s="1">
        <f>+'IRS - INF – XCCY précédent'!BL24</f>
        <v>-2.7630418999999946E-4</v>
      </c>
      <c r="BN23" s="1">
        <f>+'IRS - INF – XCCY précédent'!BM24</f>
        <v>0</v>
      </c>
      <c r="BO23" s="1">
        <f>+'IRS - INF – XCCY précédent'!BN24</f>
        <v>0</v>
      </c>
      <c r="BP23" s="1">
        <f>+'IRS - INF – XCCY précédent'!BO24</f>
        <v>0</v>
      </c>
      <c r="BQ23" s="1">
        <f>+'IRS - INF – XCCY précédent'!BP24</f>
        <v>0</v>
      </c>
      <c r="BR23" s="1" t="str">
        <f>+'IRS - INF – XCCY précédent'!BQ24</f>
        <v/>
      </c>
      <c r="BS23" s="1">
        <f>+'IRS - INF – XCCY précédent'!BR24</f>
        <v>0</v>
      </c>
      <c r="BT23" s="1">
        <f>+'IRS - INF – XCCY précédent'!BS24</f>
        <v>-391.34406889157253</v>
      </c>
      <c r="BU23" s="1">
        <f>+'IRS - INF – XCCY précédent'!BT24</f>
        <v>-7.8268813778312359E-6</v>
      </c>
      <c r="BV23" s="1">
        <f>+'IRS - INF – XCCY précédent'!BU24</f>
        <v>358.65442201355472</v>
      </c>
      <c r="BW23" s="1">
        <f>+'IRS - INF – XCCY précédent'!BV24</f>
        <v>7.1730884402712407E-6</v>
      </c>
      <c r="BX23" s="1">
        <f>+'IRS - INF – XCCY précédent'!BW24</f>
        <v>-749.99849090514181</v>
      </c>
      <c r="BY23" s="1">
        <f>+'IRS - INF – XCCY précédent'!BX24</f>
        <v>-1.4999969818102693E-5</v>
      </c>
      <c r="BZ23" s="1">
        <f>+'IRS - INF – XCCY précédent'!BY24</f>
        <v>0</v>
      </c>
      <c r="CA23" s="1">
        <f>+'IRS - INF – XCCY précédent'!BZ24</f>
        <v>0</v>
      </c>
      <c r="CB23" s="1">
        <f>+'IRS - INF – XCCY précédent'!CA24</f>
        <v>136716.17593110842</v>
      </c>
      <c r="CC23" s="1">
        <f>+'IRS - INF – XCCY précédent'!CB24</f>
        <v>2.7343235186221685E-3</v>
      </c>
      <c r="CD23" s="1">
        <f>+'IRS - INF – XCCY précédent'!CC24</f>
        <v>0</v>
      </c>
      <c r="CE23" s="1">
        <f>+'IRS - INF – XCCY précédent'!CD24</f>
        <v>0</v>
      </c>
      <c r="CF23" s="1">
        <f>+'IRS - INF – XCCY précédent'!CE24</f>
        <v>0</v>
      </c>
      <c r="CG23" s="1">
        <f>+'IRS - INF – XCCY précédent'!CF24</f>
        <v>0</v>
      </c>
      <c r="CH23" s="1">
        <f>+'IRS - INF – XCCY précédent'!CG24</f>
        <v>0</v>
      </c>
      <c r="CI23" s="1">
        <f>+'IRS - INF – XCCY précédent'!CH24</f>
        <v>0</v>
      </c>
      <c r="CJ23" s="1">
        <f>+'IRS - INF – XCCY précédent'!CI24</f>
        <v>0</v>
      </c>
      <c r="CK23" s="1" t="str">
        <f>+'IRS - INF – XCCY précédent'!CJ24</f>
        <v>DImension</v>
      </c>
      <c r="CL23" s="1" t="str">
        <f>+'IRS - INF – XCCY précédent'!CK24</f>
        <v>IRSB100000060</v>
      </c>
      <c r="CM23" s="1" t="str">
        <f>+'IRS - INF – XCCY précédent'!CL24</f>
        <v>UTI</v>
      </c>
      <c r="CN23" s="1" t="str">
        <f>+'IRS - INF – XCCY précédent'!CM24</f>
        <v>1030443823DTD1008198401</v>
      </c>
      <c r="CO23" s="1" t="str">
        <f>+'IRS - INF – XCCY précédent'!CN24</f>
        <v>LEI</v>
      </c>
      <c r="CP23" s="1" t="str">
        <f>+'IRS - INF – XCCY précédent'!CO24</f>
        <v>E58DKGMJYYYJLN8C3868</v>
      </c>
      <c r="CQ23" s="1" t="str">
        <f>+'IRS - INF – XCCY précédent'!CP24</f>
        <v>Code DI</v>
      </c>
      <c r="CR23" s="1" t="str">
        <f>+'IRS - INF – XCCY précédent'!CQ24</f>
        <v>SWAP_342</v>
      </c>
      <c r="CS23" s="1">
        <f>+'IRS - INF – XCCY précédent'!CR24</f>
        <v>0</v>
      </c>
      <c r="CT23" s="1">
        <f>+'IRS - INF – XCCY précédent'!CS24</f>
        <v>0</v>
      </c>
      <c r="CU23" s="1">
        <f>+'IRS - INF – XCCY précédent'!CT24</f>
        <v>0</v>
      </c>
      <c r="CV23" s="1">
        <f>+'IRS - INF – XCCY précédent'!CU24</f>
        <v>0</v>
      </c>
      <c r="CW23" s="1">
        <f>+'IRS - INF – XCCY précédent'!CV24</f>
        <v>0</v>
      </c>
      <c r="CX23" s="1">
        <f>+'IRS - INF – XCCY précédent'!CW24</f>
        <v>0</v>
      </c>
      <c r="CY23" s="1">
        <f>+'IRS - INF – XCCY précédent'!CX24</f>
        <v>0</v>
      </c>
      <c r="CZ23" s="1">
        <f>+'IRS - INF – XCCY précédent'!CY24</f>
        <v>0</v>
      </c>
      <c r="DA23" s="1">
        <f>+'IRS - INF – XCCY précédent'!CZ24</f>
        <v>0</v>
      </c>
      <c r="DB23" s="1">
        <f>+'IRS - INF – XCCY précédent'!DA24</f>
        <v>0</v>
      </c>
      <c r="DC23" s="1">
        <f>+'IRS - INF – XCCY précédent'!DB24</f>
        <v>0</v>
      </c>
      <c r="DD23" s="1">
        <f>+'IRS - INF – XCCY précédent'!DC24</f>
        <v>45955</v>
      </c>
      <c r="DE23" s="1">
        <f>+'IRS - INF – XCCY précédent'!DD24</f>
        <v>0.56944444444444442</v>
      </c>
      <c r="DF23" s="1">
        <f>+'IRS - INF – XCCY précédent'!DE24</f>
        <v>5.0000000000000001E-3</v>
      </c>
    </row>
    <row r="24" spans="1:110" x14ac:dyDescent="0.2">
      <c r="A24" s="56" t="str">
        <f>+INDEX('analyse trimestrielle'!$A$8:$A$1048576,MATCH('IFT précédent'!B24,'analyse trimestrielle'!$A$8:$A$1048576,0))</f>
        <v>SWAP_280</v>
      </c>
      <c r="B24" s="1" t="str">
        <f>+'IRS - INF – XCCY précédent'!A25</f>
        <v>SWAP_280</v>
      </c>
      <c r="C24" s="1" t="str">
        <f>+'IRS - INF – XCCY précédent'!B25</f>
        <v>Cross Currency Swap</v>
      </c>
      <c r="D24" s="1" t="str">
        <f>+'IRS - INF – XCCY précédent'!C25</f>
        <v>Cross Currency Swap</v>
      </c>
      <c r="E24" s="1">
        <f>+'IRS - INF – XCCY précédent'!D25</f>
        <v>69227200</v>
      </c>
      <c r="F24" s="1" t="str">
        <f>+'IRS - INF – XCCY précédent'!E25</f>
        <v>SOCIETE GENERALE</v>
      </c>
      <c r="G24" s="1">
        <f>+'IRS - INF – XCCY précédent'!F25</f>
        <v>0</v>
      </c>
      <c r="H24" s="1" t="str">
        <f>+'IRS - INF – XCCY précédent'!G25</f>
        <v>Fixed</v>
      </c>
      <c r="I24" s="1" t="str">
        <f>+'IRS - INF – XCCY précédent'!H25</f>
        <v>Receiver</v>
      </c>
      <c r="J24" s="1">
        <f>+'IRS - INF – XCCY précédent'!I25</f>
        <v>3.3325</v>
      </c>
      <c r="K24" s="1">
        <f>+'IRS - INF – XCCY précédent'!J25</f>
        <v>0</v>
      </c>
      <c r="L24" s="1" t="str">
        <f>+'IRS - INF – XCCY précédent'!K25</f>
        <v>12/07/2012</v>
      </c>
      <c r="M24" s="1" t="str">
        <f>+'IRS - INF – XCCY précédent'!L25</f>
        <v>12/07/2028</v>
      </c>
      <c r="N24" s="1">
        <f>+'IRS - INF – XCCY précédent'!M25</f>
        <v>7185629</v>
      </c>
      <c r="O24" s="1">
        <f>+'IRS - INF – XCCY précédent'!N25</f>
        <v>7507357.8499999996</v>
      </c>
      <c r="P24" s="1">
        <f>+'IRS - INF – XCCY précédent'!O25</f>
        <v>1.0447739300206007</v>
      </c>
      <c r="Q24" s="1">
        <f>+'IRS - INF – XCCY précédent'!P25</f>
        <v>7439510.5499999998</v>
      </c>
      <c r="R24" s="1">
        <f>+'IRS - INF – XCCY précédent'!Q25</f>
        <v>1.0353318477756088</v>
      </c>
      <c r="S24" s="1">
        <f>+'IRS - INF – XCCY précédent'!R25</f>
        <v>67847.31</v>
      </c>
      <c r="T24" s="1">
        <f>+'IRS - INF – XCCY précédent'!S25</f>
        <v>9.4420836366586689E-3</v>
      </c>
      <c r="U24" s="1">
        <f>+'IRS - INF – XCCY précédent'!T25</f>
        <v>3.7490000000000001</v>
      </c>
      <c r="V24" s="1">
        <f>+'IRS - INF – XCCY précédent'!U25</f>
        <v>-2827.52</v>
      </c>
      <c r="W24" s="1">
        <f>+'IRS - INF – XCCY précédent'!V25</f>
        <v>0</v>
      </c>
      <c r="X24" s="1" t="str">
        <f>+'IRS - INF – XCCY précédent'!W25</f>
        <v>Fixed</v>
      </c>
      <c r="Y24" s="1" t="str">
        <f>+'IRS - INF – XCCY précédent'!X25</f>
        <v>Payer</v>
      </c>
      <c r="Z24" s="1">
        <f>+'IRS - INF – XCCY précédent'!Y25</f>
        <v>5.25</v>
      </c>
      <c r="AA24" s="1">
        <f>+'IRS - INF – XCCY précédent'!Z25</f>
        <v>0</v>
      </c>
      <c r="AB24" s="1" t="str">
        <f>+'IRS - INF – XCCY précédent'!AA25</f>
        <v>12/07/2012</v>
      </c>
      <c r="AC24" s="1" t="str">
        <f>+'IRS - INF – XCCY précédent'!AB25</f>
        <v>12/07/2028</v>
      </c>
      <c r="AD24" s="1" t="str">
        <f>+'IRS - INF – XCCY précédent'!AC25</f>
        <v>GBP</v>
      </c>
      <c r="AE24" s="1">
        <f>+'IRS - INF – XCCY précédent'!AD25</f>
        <v>6000000</v>
      </c>
      <c r="AF24" s="1">
        <f>+'IRS - INF – XCCY précédent'!AE25</f>
        <v>-6330080.9000000004</v>
      </c>
      <c r="AG24" s="1">
        <f>+'IRS - INF – XCCY précédent'!AF25</f>
        <v>-1.0550134833333333</v>
      </c>
      <c r="AH24" s="1">
        <f>+'IRS - INF – XCCY précédent'!AG25</f>
        <v>-6242580.9000000004</v>
      </c>
      <c r="AI24" s="1">
        <f>+'IRS - INF – XCCY précédent'!AH25</f>
        <v>-1.0404301500000002</v>
      </c>
      <c r="AJ24" s="1">
        <f>+'IRS - INF – XCCY précédent'!AI25</f>
        <v>-87500</v>
      </c>
      <c r="AK24" s="1">
        <f>+'IRS - INF – XCCY précédent'!AJ25</f>
        <v>-1.4583333333333334E-2</v>
      </c>
      <c r="AL24" s="1">
        <f>+'IRS - INF – XCCY précédent'!AK25</f>
        <v>3.2749999999999999</v>
      </c>
      <c r="AM24" s="1">
        <f>+'IRS - INF – XCCY précédent'!AL25</f>
        <v>2077.27</v>
      </c>
      <c r="AN24" s="1">
        <f>+'IRS - INF – XCCY précédent'!AM25</f>
        <v>0</v>
      </c>
      <c r="AO24" s="1">
        <f>+'IRS - INF – XCCY précédent'!AN25</f>
        <v>-39233.589999999997</v>
      </c>
      <c r="AP24" s="1">
        <f>+'IRS - INF – XCCY précédent'!AO25</f>
        <v>-5.4600077460163886E-3</v>
      </c>
      <c r="AQ24" s="1">
        <f>+'IRS - INF – XCCY précédent'!AP25</f>
        <v>-2765.2</v>
      </c>
      <c r="AR24" s="1">
        <f>+'IRS - INF – XCCY précédent'!AQ25</f>
        <v>-3.8482365287715242E-4</v>
      </c>
      <c r="AS24" s="1">
        <f>+'IRS - INF – XCCY précédent'!AR25</f>
        <v>-36468.379999999997</v>
      </c>
      <c r="AT24" s="1">
        <f>+'IRS - INF – XCCY précédent'!AS25</f>
        <v>-5.0751827014726197E-3</v>
      </c>
      <c r="AU24" s="1">
        <f>+'IRS - INF – XCCY précédent'!AT25</f>
        <v>0.214</v>
      </c>
      <c r="AV24" s="1">
        <f>+'IRS - INF – XCCY précédent'!AU25</f>
        <v>-2635.12</v>
      </c>
      <c r="AW24" s="1">
        <f>+'IRS - INF – XCCY précédent'!AV25</f>
        <v>0</v>
      </c>
      <c r="AX24" s="1">
        <f>+'IRS - INF – XCCY précédent'!AW25</f>
        <v>-15779.36</v>
      </c>
      <c r="AY24" s="1">
        <f>+'IRS - INF – XCCY précédent'!AX25</f>
        <v>-2.1959608546447363E-3</v>
      </c>
      <c r="AZ24" s="1">
        <f>+'IRS - INF – XCCY précédent'!AY25</f>
        <v>0</v>
      </c>
      <c r="BA24" s="1">
        <f>+'IRS - INF – XCCY précédent'!AZ25</f>
        <v>0</v>
      </c>
      <c r="BB24" s="1">
        <f>+'IRS - INF – XCCY précédent'!BA25</f>
        <v>0</v>
      </c>
      <c r="BC24" s="1">
        <f>+'IRS - INF – XCCY précédent'!BB25</f>
        <v>0</v>
      </c>
      <c r="BD24" s="1">
        <f>+'IRS - INF – XCCY précédent'!BC25</f>
        <v>0</v>
      </c>
      <c r="BE24" s="1">
        <f>+'IRS - INF – XCCY précédent'!BD25</f>
        <v>0</v>
      </c>
      <c r="BF24" s="1">
        <f>+'IRS - INF – XCCY précédent'!BE25</f>
        <v>0</v>
      </c>
      <c r="BG24" s="1">
        <f>+'IRS - INF – XCCY précédent'!BF25</f>
        <v>0</v>
      </c>
      <c r="BH24" s="1">
        <f>+'IRS - INF – XCCY précédent'!BG25</f>
        <v>0</v>
      </c>
      <c r="BI24" s="1">
        <f>+'IRS - INF – XCCY précédent'!BH25</f>
        <v>0</v>
      </c>
      <c r="BJ24" s="1">
        <f>+'IRS - INF – XCCY précédent'!BI25</f>
        <v>0</v>
      </c>
      <c r="BK24" s="1">
        <f>+'IRS - INF – XCCY précédent'!BJ25</f>
        <v>0</v>
      </c>
      <c r="BL24" s="1">
        <f>+'IRS - INF – XCCY précédent'!BK25</f>
        <v>-23454.229999999996</v>
      </c>
      <c r="BM24" s="1">
        <f>+'IRS - INF – XCCY précédent'!BL25</f>
        <v>-3.2640468913716523E-3</v>
      </c>
      <c r="BN24" s="1">
        <f>+'IRS - INF – XCCY précédent'!BM25</f>
        <v>0</v>
      </c>
      <c r="BO24" s="1">
        <f>+'IRS - INF – XCCY précédent'!BN25</f>
        <v>0</v>
      </c>
      <c r="BP24" s="1">
        <f>+'IRS - INF – XCCY précédent'!BO25</f>
        <v>0</v>
      </c>
      <c r="BQ24" s="1">
        <f>+'IRS - INF – XCCY précédent'!BP25</f>
        <v>0</v>
      </c>
      <c r="BR24" s="1" t="str">
        <f>+'IRS - INF – XCCY précédent'!BQ25</f>
        <v/>
      </c>
      <c r="BS24" s="1">
        <f>+'IRS - INF – XCCY précédent'!BR25</f>
        <v>0</v>
      </c>
      <c r="BT24" s="1">
        <f>+'IRS - INF – XCCY précédent'!BS25</f>
        <v>0</v>
      </c>
      <c r="BU24" s="1">
        <f>+'IRS - INF – XCCY précédent'!BT25</f>
        <v>0</v>
      </c>
      <c r="BV24" s="1">
        <f>+'IRS - INF – XCCY précédent'!BU25</f>
        <v>0</v>
      </c>
      <c r="BW24" s="1">
        <f>+'IRS - INF – XCCY précédent'!BV25</f>
        <v>0</v>
      </c>
      <c r="BX24" s="1">
        <f>+'IRS - INF – XCCY précédent'!BW25</f>
        <v>0</v>
      </c>
      <c r="BY24" s="1">
        <f>+'IRS - INF – XCCY précédent'!BX25</f>
        <v>0</v>
      </c>
      <c r="BZ24" s="1">
        <f>+'IRS - INF – XCCY précédent'!BY25</f>
        <v>0</v>
      </c>
      <c r="CA24" s="1">
        <f>+'IRS - INF – XCCY précédent'!BZ25</f>
        <v>0</v>
      </c>
      <c r="CB24" s="1">
        <f>+'IRS - INF – XCCY précédent'!CA25</f>
        <v>0</v>
      </c>
      <c r="CC24" s="1">
        <f>+'IRS - INF – XCCY précédent'!CB25</f>
        <v>0</v>
      </c>
      <c r="CD24" s="1">
        <f>+'IRS - INF – XCCY précédent'!CC25</f>
        <v>0</v>
      </c>
      <c r="CE24" s="1">
        <f>+'IRS - INF – XCCY précédent'!CD25</f>
        <v>0</v>
      </c>
      <c r="CF24" s="1">
        <f>+'IRS - INF – XCCY précédent'!CE25</f>
        <v>0</v>
      </c>
      <c r="CG24" s="1">
        <f>+'IRS - INF – XCCY précédent'!CF25</f>
        <v>0</v>
      </c>
      <c r="CH24" s="1">
        <f>+'IRS - INF – XCCY précédent'!CG25</f>
        <v>0</v>
      </c>
      <c r="CI24" s="1">
        <f>+'IRS - INF – XCCY précédent'!CH25</f>
        <v>0</v>
      </c>
      <c r="CJ24" s="1">
        <f>+'IRS - INF – XCCY précédent'!CI25</f>
        <v>0</v>
      </c>
      <c r="CK24" s="1" t="str">
        <f>+'IRS - INF – XCCY précédent'!CJ25</f>
        <v>DImension</v>
      </c>
      <c r="CL24" s="1" t="str">
        <f>+'IRS - INF – XCCY précédent'!CK25</f>
        <v>IRSB100000088</v>
      </c>
      <c r="CM24" s="1" t="str">
        <f>+'IRS - INF – XCCY précédent'!CL25</f>
        <v>UTI</v>
      </c>
      <c r="CN24" s="1" t="str">
        <f>+'IRS - INF – XCCY précédent'!CM25</f>
        <v>1030244282IRDONE00000000000000000006135056</v>
      </c>
      <c r="CO24" s="1" t="str">
        <f>+'IRS - INF – XCCY précédent'!CN25</f>
        <v>LEI</v>
      </c>
      <c r="CP24" s="1" t="str">
        <f>+'IRS - INF – XCCY précédent'!CO25</f>
        <v>O2RNE8IBXP4R0TD8PU41</v>
      </c>
      <c r="CQ24" s="1" t="str">
        <f>+'IRS - INF – XCCY précédent'!CP25</f>
        <v>Code DI</v>
      </c>
      <c r="CR24" s="1" t="str">
        <f>+'IRS - INF – XCCY précédent'!CQ25</f>
        <v>SWAP_280</v>
      </c>
      <c r="CS24" s="1">
        <f>+'IRS - INF – XCCY précédent'!CR25</f>
        <v>0</v>
      </c>
      <c r="CT24" s="1">
        <f>+'IRS - INF – XCCY précédent'!CS25</f>
        <v>0</v>
      </c>
      <c r="CU24" s="1">
        <f>+'IRS - INF – XCCY précédent'!CT25</f>
        <v>0</v>
      </c>
      <c r="CV24" s="1">
        <f>+'IRS - INF – XCCY précédent'!CU25</f>
        <v>0</v>
      </c>
      <c r="CW24" s="1">
        <f>+'IRS - INF – XCCY précédent'!CV25</f>
        <v>0</v>
      </c>
      <c r="CX24" s="1">
        <f>+'IRS - INF – XCCY précédent'!CW25</f>
        <v>0</v>
      </c>
      <c r="CY24" s="1">
        <f>+'IRS - INF – XCCY précédent'!CX25</f>
        <v>0</v>
      </c>
      <c r="CZ24" s="1">
        <f>+'IRS - INF – XCCY précédent'!CY25</f>
        <v>0</v>
      </c>
      <c r="DA24" s="1">
        <f>+'IRS - INF – XCCY précédent'!CZ25</f>
        <v>0</v>
      </c>
      <c r="DB24" s="1">
        <f>+'IRS - INF – XCCY précédent'!DA25</f>
        <v>0</v>
      </c>
      <c r="DC24" s="1">
        <f>+'IRS - INF – XCCY précédent'!DB25</f>
        <v>-1216510.5399999991</v>
      </c>
      <c r="DD24" s="1">
        <f>+'IRS - INF – XCCY précédent'!DC25</f>
        <v>46946</v>
      </c>
      <c r="DE24" s="1">
        <f>+'IRS - INF – XCCY précédent'!DD25</f>
        <v>3.2833333333333332</v>
      </c>
      <c r="DF24" s="1">
        <f>+'IRS - INF – XCCY précédent'!DE25</f>
        <v>6.0000000000000001E-3</v>
      </c>
    </row>
    <row r="25" spans="1:110" x14ac:dyDescent="0.2">
      <c r="A25" s="56" t="str">
        <f>+INDEX('analyse trimestrielle'!$A$8:$A$1048576,MATCH('IFT précédent'!B25,'analyse trimestrielle'!$A$8:$A$1048576,0))</f>
        <v>SWAP_279</v>
      </c>
      <c r="B25" s="1" t="str">
        <f>+'IRS - INF – XCCY précédent'!A26</f>
        <v>SWAP_279</v>
      </c>
      <c r="C25" s="1" t="str">
        <f>+'IRS - INF – XCCY précédent'!B26</f>
        <v>Cross Currency Swap</v>
      </c>
      <c r="D25" s="1" t="str">
        <f>+'IRS - INF – XCCY précédent'!C26</f>
        <v>Cross Currency Swap</v>
      </c>
      <c r="E25" s="1">
        <f>+'IRS - INF – XCCY précédent'!D26</f>
        <v>69211698</v>
      </c>
      <c r="F25" s="1" t="str">
        <f>+'IRS - INF – XCCY précédent'!E26</f>
        <v>MORGAN STANLEY</v>
      </c>
      <c r="G25" s="1">
        <f>+'IRS - INF – XCCY précédent'!F26</f>
        <v>0</v>
      </c>
      <c r="H25" s="1" t="str">
        <f>+'IRS - INF – XCCY précédent'!G26</f>
        <v>Fixed</v>
      </c>
      <c r="I25" s="1" t="str">
        <f>+'IRS - INF – XCCY précédent'!H26</f>
        <v>Receiver</v>
      </c>
      <c r="J25" s="1">
        <f>+'IRS - INF – XCCY précédent'!I26</f>
        <v>3.4350000000000001</v>
      </c>
      <c r="K25" s="1">
        <f>+'IRS - INF – XCCY précédent'!J26</f>
        <v>0</v>
      </c>
      <c r="L25" s="1" t="str">
        <f>+'IRS - INF – XCCY précédent'!K26</f>
        <v>12/07/2012</v>
      </c>
      <c r="M25" s="1" t="str">
        <f>+'IRS - INF – XCCY précédent'!L26</f>
        <v>12/07/2028</v>
      </c>
      <c r="N25" s="1">
        <f>+'IRS - INF – XCCY précédent'!M26</f>
        <v>7168458</v>
      </c>
      <c r="O25" s="1">
        <f>+'IRS - INF – XCCY précédent'!N26</f>
        <v>7517385.6799999997</v>
      </c>
      <c r="P25" s="1">
        <f>+'IRS - INF – XCCY précédent'!O26</f>
        <v>1.0486754166656205</v>
      </c>
      <c r="Q25" s="1">
        <f>+'IRS - INF – XCCY précédent'!P26</f>
        <v>7447618.6600000001</v>
      </c>
      <c r="R25" s="1">
        <f>+'IRS - INF – XCCY précédent'!Q26</f>
        <v>1.0389429163147779</v>
      </c>
      <c r="S25" s="1">
        <f>+'IRS - INF – XCCY précédent'!R26</f>
        <v>69767.02</v>
      </c>
      <c r="T25" s="1">
        <f>+'IRS - INF – XCCY précédent'!S26</f>
        <v>9.7325003508425389E-3</v>
      </c>
      <c r="U25" s="1">
        <f>+'IRS - INF – XCCY précédent'!T26</f>
        <v>3.7450000000000001</v>
      </c>
      <c r="V25" s="1">
        <f>+'IRS - INF – XCCY précédent'!U26</f>
        <v>-2827.52</v>
      </c>
      <c r="W25" s="1">
        <f>+'IRS - INF – XCCY précédent'!V26</f>
        <v>0</v>
      </c>
      <c r="X25" s="1" t="str">
        <f>+'IRS - INF – XCCY précédent'!W26</f>
        <v>Fixed</v>
      </c>
      <c r="Y25" s="1" t="str">
        <f>+'IRS - INF – XCCY précédent'!X26</f>
        <v>Payer</v>
      </c>
      <c r="Z25" s="1">
        <f>+'IRS - INF – XCCY précédent'!Y26</f>
        <v>5.25</v>
      </c>
      <c r="AA25" s="1">
        <f>+'IRS - INF – XCCY précédent'!Z26</f>
        <v>0</v>
      </c>
      <c r="AB25" s="1" t="str">
        <f>+'IRS - INF – XCCY précédent'!AA26</f>
        <v>12/07/2012</v>
      </c>
      <c r="AC25" s="1" t="str">
        <f>+'IRS - INF – XCCY précédent'!AB26</f>
        <v>12/07/2028</v>
      </c>
      <c r="AD25" s="1" t="str">
        <f>+'IRS - INF – XCCY précédent'!AC26</f>
        <v>GBP</v>
      </c>
      <c r="AE25" s="1">
        <f>+'IRS - INF – XCCY précédent'!AD26</f>
        <v>6000000</v>
      </c>
      <c r="AF25" s="1">
        <f>+'IRS - INF – XCCY précédent'!AE26</f>
        <v>-6330080.9000000004</v>
      </c>
      <c r="AG25" s="1">
        <f>+'IRS - INF – XCCY précédent'!AF26</f>
        <v>-1.0550134833333333</v>
      </c>
      <c r="AH25" s="1">
        <f>+'IRS - INF – XCCY précédent'!AG26</f>
        <v>-6242580.9000000004</v>
      </c>
      <c r="AI25" s="1">
        <f>+'IRS - INF – XCCY précédent'!AH26</f>
        <v>-1.0404301500000002</v>
      </c>
      <c r="AJ25" s="1">
        <f>+'IRS - INF – XCCY précédent'!AI26</f>
        <v>-87500</v>
      </c>
      <c r="AK25" s="1">
        <f>+'IRS - INF – XCCY précédent'!AJ26</f>
        <v>-1.4583333333333334E-2</v>
      </c>
      <c r="AL25" s="1">
        <f>+'IRS - INF – XCCY précédent'!AK26</f>
        <v>3.2749999999999999</v>
      </c>
      <c r="AM25" s="1">
        <f>+'IRS - INF – XCCY précédent'!AL26</f>
        <v>2077.27</v>
      </c>
      <c r="AN25" s="1">
        <f>+'IRS - INF – XCCY précédent'!AM26</f>
        <v>0</v>
      </c>
      <c r="AO25" s="1">
        <f>+'IRS - INF – XCCY précédent'!AN26</f>
        <v>-29205.759999999998</v>
      </c>
      <c r="AP25" s="1">
        <f>+'IRS - INF – XCCY précédent'!AO26</f>
        <v>-4.0742039640882322E-3</v>
      </c>
      <c r="AQ25" s="1">
        <f>+'IRS - INF – XCCY précédent'!AP26</f>
        <v>5342.91</v>
      </c>
      <c r="AR25" s="1">
        <f>+'IRS - INF – XCCY précédent'!AQ26</f>
        <v>7.453360262416268E-4</v>
      </c>
      <c r="AS25" s="1">
        <f>+'IRS - INF – XCCY précédent'!AR26</f>
        <v>-34548.67</v>
      </c>
      <c r="AT25" s="1">
        <f>+'IRS - INF – XCCY précédent'!AS26</f>
        <v>-4.8195399903298583E-3</v>
      </c>
      <c r="AU25" s="1">
        <f>+'IRS - INF – XCCY précédent'!AT26</f>
        <v>0.215</v>
      </c>
      <c r="AV25" s="1">
        <f>+'IRS - INF – XCCY précédent'!AU26</f>
        <v>-2634.87</v>
      </c>
      <c r="AW25" s="1">
        <f>+'IRS - INF – XCCY précédent'!AV26</f>
        <v>0</v>
      </c>
      <c r="AX25" s="1">
        <f>+'IRS - INF – XCCY précédent'!AW26</f>
        <v>-14241.48</v>
      </c>
      <c r="AY25" s="1">
        <f>+'IRS - INF – XCCY précédent'!AX26</f>
        <v>-1.9866866765488479E-3</v>
      </c>
      <c r="AZ25" s="1">
        <f>+'IRS - INF – XCCY précédent'!AY26</f>
        <v>0</v>
      </c>
      <c r="BA25" s="1">
        <f>+'IRS - INF – XCCY précédent'!AZ26</f>
        <v>0</v>
      </c>
      <c r="BB25" s="1">
        <f>+'IRS - INF – XCCY précédent'!BA26</f>
        <v>0</v>
      </c>
      <c r="BC25" s="1">
        <f>+'IRS - INF – XCCY précédent'!BB26</f>
        <v>0</v>
      </c>
      <c r="BD25" s="1">
        <f>+'IRS - INF – XCCY précédent'!BC26</f>
        <v>0</v>
      </c>
      <c r="BE25" s="1">
        <f>+'IRS - INF – XCCY précédent'!BD26</f>
        <v>0</v>
      </c>
      <c r="BF25" s="1">
        <f>+'IRS - INF – XCCY précédent'!BE26</f>
        <v>0</v>
      </c>
      <c r="BG25" s="1">
        <f>+'IRS - INF – XCCY précédent'!BF26</f>
        <v>0</v>
      </c>
      <c r="BH25" s="1">
        <f>+'IRS - INF – XCCY précédent'!BG26</f>
        <v>0</v>
      </c>
      <c r="BI25" s="1">
        <f>+'IRS - INF – XCCY précédent'!BH26</f>
        <v>0</v>
      </c>
      <c r="BJ25" s="1">
        <f>+'IRS - INF – XCCY précédent'!BI26</f>
        <v>0</v>
      </c>
      <c r="BK25" s="1">
        <f>+'IRS - INF – XCCY précédent'!BJ26</f>
        <v>0</v>
      </c>
      <c r="BL25" s="1">
        <f>+'IRS - INF – XCCY précédent'!BK26</f>
        <v>-14964.279999999999</v>
      </c>
      <c r="BM25" s="1">
        <f>+'IRS - INF – XCCY précédent'!BL26</f>
        <v>-2.0875172875393843E-3</v>
      </c>
      <c r="BN25" s="1">
        <f>+'IRS - INF – XCCY précédent'!BM26</f>
        <v>0</v>
      </c>
      <c r="BO25" s="1">
        <f>+'IRS - INF – XCCY précédent'!BN26</f>
        <v>0</v>
      </c>
      <c r="BP25" s="1">
        <f>+'IRS - INF – XCCY précédent'!BO26</f>
        <v>0</v>
      </c>
      <c r="BQ25" s="1">
        <f>+'IRS - INF – XCCY précédent'!BP26</f>
        <v>0</v>
      </c>
      <c r="BR25" s="1" t="str">
        <f>+'IRS - INF – XCCY précédent'!BQ26</f>
        <v/>
      </c>
      <c r="BS25" s="1">
        <f>+'IRS - INF – XCCY précédent'!BR26</f>
        <v>0</v>
      </c>
      <c r="BT25" s="1">
        <f>+'IRS - INF – XCCY précédent'!BS26</f>
        <v>0</v>
      </c>
      <c r="BU25" s="1">
        <f>+'IRS - INF – XCCY précédent'!BT26</f>
        <v>0</v>
      </c>
      <c r="BV25" s="1">
        <f>+'IRS - INF – XCCY précédent'!BU26</f>
        <v>0</v>
      </c>
      <c r="BW25" s="1">
        <f>+'IRS - INF – XCCY précédent'!BV26</f>
        <v>0</v>
      </c>
      <c r="BX25" s="1">
        <f>+'IRS - INF – XCCY précédent'!BW26</f>
        <v>0</v>
      </c>
      <c r="BY25" s="1">
        <f>+'IRS - INF – XCCY précédent'!BX26</f>
        <v>0</v>
      </c>
      <c r="BZ25" s="1">
        <f>+'IRS - INF – XCCY précédent'!BY26</f>
        <v>0</v>
      </c>
      <c r="CA25" s="1">
        <f>+'IRS - INF – XCCY précédent'!BZ26</f>
        <v>0</v>
      </c>
      <c r="CB25" s="1">
        <f>+'IRS - INF – XCCY précédent'!CA26</f>
        <v>0</v>
      </c>
      <c r="CC25" s="1">
        <f>+'IRS - INF – XCCY précédent'!CB26</f>
        <v>0</v>
      </c>
      <c r="CD25" s="1">
        <f>+'IRS - INF – XCCY précédent'!CC26</f>
        <v>0</v>
      </c>
      <c r="CE25" s="1">
        <f>+'IRS - INF – XCCY précédent'!CD26</f>
        <v>0</v>
      </c>
      <c r="CF25" s="1">
        <f>+'IRS - INF – XCCY précédent'!CE26</f>
        <v>0</v>
      </c>
      <c r="CG25" s="1">
        <f>+'IRS - INF – XCCY précédent'!CF26</f>
        <v>0</v>
      </c>
      <c r="CH25" s="1">
        <f>+'IRS - INF – XCCY précédent'!CG26</f>
        <v>0</v>
      </c>
      <c r="CI25" s="1">
        <f>+'IRS - INF – XCCY précédent'!CH26</f>
        <v>0</v>
      </c>
      <c r="CJ25" s="1">
        <f>+'IRS - INF – XCCY précédent'!CI26</f>
        <v>0</v>
      </c>
      <c r="CK25" s="1" t="str">
        <f>+'IRS - INF – XCCY précédent'!CJ26</f>
        <v>DImension</v>
      </c>
      <c r="CL25" s="1" t="str">
        <f>+'IRS - INF – XCCY précédent'!CK26</f>
        <v>IRSB100000086</v>
      </c>
      <c r="CM25" s="1" t="str">
        <f>+'IRS - INF – XCCY précédent'!CL26</f>
        <v>UTI</v>
      </c>
      <c r="CN25" s="1" t="str">
        <f>+'IRS - INF – XCCY précédent'!CM26</f>
        <v>1030238917D38799C051FA11E3BBA12D1A3307926C</v>
      </c>
      <c r="CO25" s="1" t="str">
        <f>+'IRS - INF – XCCY précédent'!CN26</f>
        <v>LEI</v>
      </c>
      <c r="CP25" s="1" t="str">
        <f>+'IRS - INF – XCCY précédent'!CO26</f>
        <v>4PQUHN3JPFGFNF3BB653</v>
      </c>
      <c r="CQ25" s="1" t="str">
        <f>+'IRS - INF – XCCY précédent'!CP26</f>
        <v>Code DI</v>
      </c>
      <c r="CR25" s="1" t="str">
        <f>+'IRS - INF – XCCY précédent'!CQ26</f>
        <v>SWAP_279</v>
      </c>
      <c r="CS25" s="1">
        <f>+'IRS - INF – XCCY précédent'!CR26</f>
        <v>0</v>
      </c>
      <c r="CT25" s="1">
        <f>+'IRS - INF – XCCY précédent'!CS26</f>
        <v>0</v>
      </c>
      <c r="CU25" s="1">
        <f>+'IRS - INF – XCCY précédent'!CT26</f>
        <v>0</v>
      </c>
      <c r="CV25" s="1">
        <f>+'IRS - INF – XCCY précédent'!CU26</f>
        <v>0</v>
      </c>
      <c r="CW25" s="1">
        <f>+'IRS - INF – XCCY précédent'!CV26</f>
        <v>0</v>
      </c>
      <c r="CX25" s="1">
        <f>+'IRS - INF – XCCY précédent'!CW26</f>
        <v>0</v>
      </c>
      <c r="CY25" s="1">
        <f>+'IRS - INF – XCCY précédent'!CX26</f>
        <v>0</v>
      </c>
      <c r="CZ25" s="1">
        <f>+'IRS - INF – XCCY précédent'!CY26</f>
        <v>0</v>
      </c>
      <c r="DA25" s="1">
        <f>+'IRS - INF – XCCY précédent'!CZ26</f>
        <v>0</v>
      </c>
      <c r="DB25" s="1">
        <f>+'IRS - INF – XCCY précédent'!DA26</f>
        <v>0</v>
      </c>
      <c r="DC25" s="1">
        <f>+'IRS - INF – XCCY précédent'!DB26</f>
        <v>-1216510.5399999991</v>
      </c>
      <c r="DD25" s="1">
        <f>+'IRS - INF – XCCY précédent'!DC26</f>
        <v>46946</v>
      </c>
      <c r="DE25" s="1">
        <f>+'IRS - INF – XCCY précédent'!DD26</f>
        <v>3.2833333333333332</v>
      </c>
      <c r="DF25" s="1">
        <f>+'IRS - INF – XCCY précédent'!DE26</f>
        <v>6.0000000000000001E-3</v>
      </c>
    </row>
    <row r="26" spans="1:110" x14ac:dyDescent="0.2">
      <c r="A26" s="56" t="str">
        <f>+INDEX('analyse trimestrielle'!$A$8:$A$1048576,MATCH('IFT précédent'!B26,'analyse trimestrielle'!$A$8:$A$1048576,0))</f>
        <v>SWAP_273</v>
      </c>
      <c r="B26" s="1" t="str">
        <f>+'IRS - INF – XCCY précédent'!A27</f>
        <v>SWAP_273</v>
      </c>
      <c r="C26" s="1" t="str">
        <f>+'IRS - INF – XCCY précédent'!B27</f>
        <v>Cross Currency Swap</v>
      </c>
      <c r="D26" s="1" t="str">
        <f>+'IRS - INF – XCCY précédent'!C27</f>
        <v>Cross Currency Swap</v>
      </c>
      <c r="E26" s="1">
        <f>+'IRS - INF – XCCY précédent'!D27</f>
        <v>69189004</v>
      </c>
      <c r="F26" s="1" t="str">
        <f>+'IRS - INF – XCCY précédent'!E27</f>
        <v>SOCIETE GENERALE</v>
      </c>
      <c r="G26" s="1">
        <f>+'IRS - INF – XCCY précédent'!F27</f>
        <v>0</v>
      </c>
      <c r="H26" s="1" t="str">
        <f>+'IRS - INF – XCCY précédent'!G27</f>
        <v>Fixed</v>
      </c>
      <c r="I26" s="1" t="str">
        <f>+'IRS - INF – XCCY précédent'!H27</f>
        <v>Receiver</v>
      </c>
      <c r="J26" s="1">
        <f>+'IRS - INF – XCCY précédent'!I27</f>
        <v>3.4049999999999998</v>
      </c>
      <c r="K26" s="1">
        <f>+'IRS - INF – XCCY précédent'!J27</f>
        <v>0</v>
      </c>
      <c r="L26" s="1" t="str">
        <f>+'IRS - INF – XCCY précédent'!K27</f>
        <v>11/13/2013</v>
      </c>
      <c r="M26" s="1" t="str">
        <f>+'IRS - INF – XCCY précédent'!L27</f>
        <v>03/18/2027</v>
      </c>
      <c r="N26" s="1">
        <f>+'IRS - INF – XCCY précédent'!M27</f>
        <v>11978917</v>
      </c>
      <c r="O26" s="1">
        <f>+'IRS - INF – XCCY précédent'!N27</f>
        <v>12257964.279999999</v>
      </c>
      <c r="P26" s="1">
        <f>+'IRS - INF – XCCY précédent'!O27</f>
        <v>1.0232948671403266</v>
      </c>
      <c r="Q26" s="1">
        <f>+'IRS - INF – XCCY précédent'!P27</f>
        <v>12256831.279999999</v>
      </c>
      <c r="R26" s="1">
        <f>+'IRS - INF – XCCY précédent'!Q27</f>
        <v>1.0232002842994905</v>
      </c>
      <c r="S26" s="1">
        <f>+'IRS - INF – XCCY précédent'!R27</f>
        <v>1133.01</v>
      </c>
      <c r="T26" s="1">
        <f>+'IRS - INF – XCCY précédent'!S27</f>
        <v>9.4583675636119696E-5</v>
      </c>
      <c r="U26" s="1">
        <f>+'IRS - INF – XCCY précédent'!T27</f>
        <v>2.1230000000000002</v>
      </c>
      <c r="V26" s="1">
        <f>+'IRS - INF – XCCY précédent'!U27</f>
        <v>-2684.58</v>
      </c>
      <c r="W26" s="1">
        <f>+'IRS - INF – XCCY précédent'!V27</f>
        <v>0</v>
      </c>
      <c r="X26" s="1" t="str">
        <f>+'IRS - INF – XCCY précédent'!W27</f>
        <v>Fixed</v>
      </c>
      <c r="Y26" s="1" t="str">
        <f>+'IRS - INF – XCCY précédent'!X27</f>
        <v>Payer</v>
      </c>
      <c r="Z26" s="1">
        <f>+'IRS - INF – XCCY précédent'!Y27</f>
        <v>5.375</v>
      </c>
      <c r="AA26" s="1">
        <f>+'IRS - INF – XCCY précédent'!Z27</f>
        <v>0</v>
      </c>
      <c r="AB26" s="1" t="str">
        <f>+'IRS - INF – XCCY précédent'!AA27</f>
        <v>11/13/2013</v>
      </c>
      <c r="AC26" s="1" t="str">
        <f>+'IRS - INF – XCCY précédent'!AB27</f>
        <v>03/18/2027</v>
      </c>
      <c r="AD26" s="1" t="str">
        <f>+'IRS - INF – XCCY précédent'!AC27</f>
        <v>GBP</v>
      </c>
      <c r="AE26" s="1">
        <f>+'IRS - INF – XCCY précédent'!AD27</f>
        <v>10000000</v>
      </c>
      <c r="AF26" s="1">
        <f>+'IRS - INF – XCCY précédent'!AE27</f>
        <v>-10237799.539999999</v>
      </c>
      <c r="AG26" s="1">
        <f>+'IRS - INF – XCCY précédent'!AF27</f>
        <v>-1.0237799539999999</v>
      </c>
      <c r="AH26" s="1">
        <f>+'IRS - INF – XCCY précédent'!AG27</f>
        <v>-10236326.939999999</v>
      </c>
      <c r="AI26" s="1">
        <f>+'IRS - INF – XCCY précédent'!AH27</f>
        <v>-1.023632694</v>
      </c>
      <c r="AJ26" s="1">
        <f>+'IRS - INF – XCCY précédent'!AI27</f>
        <v>-1472.6</v>
      </c>
      <c r="AK26" s="1">
        <f>+'IRS - INF – XCCY précédent'!AJ27</f>
        <v>-1.4726E-4</v>
      </c>
      <c r="AL26" s="1">
        <f>+'IRS - INF – XCCY précédent'!AK27</f>
        <v>1.84</v>
      </c>
      <c r="AM26" s="1">
        <f>+'IRS - INF – XCCY précédent'!AL27</f>
        <v>1887.26</v>
      </c>
      <c r="AN26" s="1">
        <f>+'IRS - INF – XCCY précédent'!AM27</f>
        <v>0</v>
      </c>
      <c r="AO26" s="1">
        <f>+'IRS - INF – XCCY précédent'!AN27</f>
        <v>52671.56</v>
      </c>
      <c r="AP26" s="1">
        <f>+'IRS - INF – XCCY précédent'!AO27</f>
        <v>4.3970218676696732E-3</v>
      </c>
      <c r="AQ26" s="1">
        <f>+'IRS - INF – XCCY précédent'!AP27</f>
        <v>53294.16</v>
      </c>
      <c r="AR26" s="1">
        <f>+'IRS - INF – XCCY précédent'!AQ27</f>
        <v>4.4489965161291292E-3</v>
      </c>
      <c r="AS26" s="1">
        <f>+'IRS - INF – XCCY précédent'!AR27</f>
        <v>-622.6</v>
      </c>
      <c r="AT26" s="1">
        <f>+'IRS - INF – XCCY précédent'!AS27</f>
        <v>-5.1974648459455892E-5</v>
      </c>
      <c r="AU26" s="1">
        <f>+'IRS - INF – XCCY précédent'!AT27</f>
        <v>9.1999999999999998E-2</v>
      </c>
      <c r="AV26" s="1">
        <f>+'IRS - INF – XCCY précédent'!AU27</f>
        <v>-2364.9299999999998</v>
      </c>
      <c r="AW26" s="1">
        <f>+'IRS - INF – XCCY précédent'!AV27</f>
        <v>0</v>
      </c>
      <c r="AX26" s="1">
        <f>+'IRS - INF – XCCY précédent'!AW27</f>
        <v>81172.2</v>
      </c>
      <c r="AY26" s="1">
        <f>+'IRS - INF – XCCY précédent'!AX27</f>
        <v>6.7762553159020971E-3</v>
      </c>
      <c r="AZ26" s="1">
        <f>+'IRS - INF – XCCY précédent'!AY27</f>
        <v>0</v>
      </c>
      <c r="BA26" s="1">
        <f>+'IRS - INF – XCCY précédent'!AZ27</f>
        <v>0</v>
      </c>
      <c r="BB26" s="1">
        <f>+'IRS - INF – XCCY précédent'!BA27</f>
        <v>0</v>
      </c>
      <c r="BC26" s="1">
        <f>+'IRS - INF – XCCY précédent'!BB27</f>
        <v>0</v>
      </c>
      <c r="BD26" s="1">
        <f>+'IRS - INF – XCCY précédent'!BC27</f>
        <v>0</v>
      </c>
      <c r="BE26" s="1">
        <f>+'IRS - INF – XCCY précédent'!BD27</f>
        <v>0</v>
      </c>
      <c r="BF26" s="1">
        <f>+'IRS - INF – XCCY précédent'!BE27</f>
        <v>0</v>
      </c>
      <c r="BG26" s="1">
        <f>+'IRS - INF – XCCY précédent'!BF27</f>
        <v>0</v>
      </c>
      <c r="BH26" s="1">
        <f>+'IRS - INF – XCCY précédent'!BG27</f>
        <v>0</v>
      </c>
      <c r="BI26" s="1">
        <f>+'IRS - INF – XCCY précédent'!BH27</f>
        <v>0</v>
      </c>
      <c r="BJ26" s="1">
        <f>+'IRS - INF – XCCY précédent'!BI27</f>
        <v>0</v>
      </c>
      <c r="BK26" s="1">
        <f>+'IRS - INF – XCCY précédent'!BJ27</f>
        <v>0</v>
      </c>
      <c r="BL26" s="1">
        <f>+'IRS - INF – XCCY précédent'!BK27</f>
        <v>-28500.639999999999</v>
      </c>
      <c r="BM26" s="1">
        <f>+'IRS - INF – XCCY précédent'!BL27</f>
        <v>-2.379233448232424E-3</v>
      </c>
      <c r="BN26" s="1">
        <f>+'IRS - INF – XCCY précédent'!BM27</f>
        <v>0</v>
      </c>
      <c r="BO26" s="1">
        <f>+'IRS - INF – XCCY précédent'!BN27</f>
        <v>0</v>
      </c>
      <c r="BP26" s="1">
        <f>+'IRS - INF – XCCY précédent'!BO27</f>
        <v>0</v>
      </c>
      <c r="BQ26" s="1">
        <f>+'IRS - INF – XCCY précédent'!BP27</f>
        <v>0</v>
      </c>
      <c r="BR26" s="1" t="str">
        <f>+'IRS - INF – XCCY précédent'!BQ27</f>
        <v/>
      </c>
      <c r="BS26" s="1">
        <f>+'IRS - INF – XCCY précédent'!BR27</f>
        <v>0</v>
      </c>
      <c r="BT26" s="1">
        <f>+'IRS - INF – XCCY précédent'!BS27</f>
        <v>0</v>
      </c>
      <c r="BU26" s="1">
        <f>+'IRS - INF – XCCY précédent'!BT27</f>
        <v>0</v>
      </c>
      <c r="BV26" s="1">
        <f>+'IRS - INF – XCCY précédent'!BU27</f>
        <v>0</v>
      </c>
      <c r="BW26" s="1">
        <f>+'IRS - INF – XCCY précédent'!BV27</f>
        <v>0</v>
      </c>
      <c r="BX26" s="1">
        <f>+'IRS - INF – XCCY précédent'!BW27</f>
        <v>0</v>
      </c>
      <c r="BY26" s="1">
        <f>+'IRS - INF – XCCY précédent'!BX27</f>
        <v>0</v>
      </c>
      <c r="BZ26" s="1">
        <f>+'IRS - INF – XCCY précédent'!BY27</f>
        <v>0</v>
      </c>
      <c r="CA26" s="1">
        <f>+'IRS - INF – XCCY précédent'!BZ27</f>
        <v>0</v>
      </c>
      <c r="CB26" s="1">
        <f>+'IRS - INF – XCCY précédent'!CA27</f>
        <v>0</v>
      </c>
      <c r="CC26" s="1">
        <f>+'IRS - INF – XCCY précédent'!CB27</f>
        <v>0</v>
      </c>
      <c r="CD26" s="1">
        <f>+'IRS - INF – XCCY précédent'!CC27</f>
        <v>0</v>
      </c>
      <c r="CE26" s="1">
        <f>+'IRS - INF – XCCY précédent'!CD27</f>
        <v>0</v>
      </c>
      <c r="CF26" s="1">
        <f>+'IRS - INF – XCCY précédent'!CE27</f>
        <v>0</v>
      </c>
      <c r="CG26" s="1">
        <f>+'IRS - INF – XCCY précédent'!CF27</f>
        <v>0</v>
      </c>
      <c r="CH26" s="1">
        <f>+'IRS - INF – XCCY précédent'!CG27</f>
        <v>0</v>
      </c>
      <c r="CI26" s="1">
        <f>+'IRS - INF – XCCY précédent'!CH27</f>
        <v>0</v>
      </c>
      <c r="CJ26" s="1">
        <f>+'IRS - INF – XCCY précédent'!CI27</f>
        <v>0</v>
      </c>
      <c r="CK26" s="1" t="str">
        <f>+'IRS - INF – XCCY précédent'!CJ27</f>
        <v>DImension</v>
      </c>
      <c r="CL26" s="1" t="str">
        <f>+'IRS - INF – XCCY précédent'!CK27</f>
        <v>IRSB100000084</v>
      </c>
      <c r="CM26" s="1" t="str">
        <f>+'IRS - INF – XCCY précédent'!CL27</f>
        <v>UTI</v>
      </c>
      <c r="CN26" s="1" t="str">
        <f>+'IRS - INF – XCCY précédent'!CM27</f>
        <v>1030244282IRDONE00000000000000000006105729</v>
      </c>
      <c r="CO26" s="1" t="str">
        <f>+'IRS - INF – XCCY précédent'!CN27</f>
        <v>LEI</v>
      </c>
      <c r="CP26" s="1" t="str">
        <f>+'IRS - INF – XCCY précédent'!CO27</f>
        <v>O2RNE8IBXP4R0TD8PU41</v>
      </c>
      <c r="CQ26" s="1" t="str">
        <f>+'IRS - INF – XCCY précédent'!CP27</f>
        <v>Code DI</v>
      </c>
      <c r="CR26" s="1" t="str">
        <f>+'IRS - INF – XCCY précédent'!CQ27</f>
        <v>SWAP_273</v>
      </c>
      <c r="CS26" s="1">
        <f>+'IRS - INF – XCCY précédent'!CR27</f>
        <v>0</v>
      </c>
      <c r="CT26" s="1">
        <f>+'IRS - INF – XCCY précédent'!CS27</f>
        <v>0</v>
      </c>
      <c r="CU26" s="1">
        <f>+'IRS - INF – XCCY précédent'!CT27</f>
        <v>0</v>
      </c>
      <c r="CV26" s="1">
        <f>+'IRS - INF – XCCY précédent'!CU27</f>
        <v>0</v>
      </c>
      <c r="CW26" s="1">
        <f>+'IRS - INF – XCCY précédent'!CV27</f>
        <v>0</v>
      </c>
      <c r="CX26" s="1">
        <f>+'IRS - INF – XCCY précédent'!CW27</f>
        <v>0</v>
      </c>
      <c r="CY26" s="1">
        <f>+'IRS - INF – XCCY précédent'!CX27</f>
        <v>0</v>
      </c>
      <c r="CZ26" s="1">
        <f>+'IRS - INF – XCCY précédent'!CY27</f>
        <v>0</v>
      </c>
      <c r="DA26" s="1">
        <f>+'IRS - INF – XCCY précédent'!CZ27</f>
        <v>0</v>
      </c>
      <c r="DB26" s="1">
        <f>+'IRS - INF – XCCY précédent'!DA27</f>
        <v>0</v>
      </c>
      <c r="DC26" s="1">
        <f>+'IRS - INF – XCCY précédent'!DB27</f>
        <v>-1967493.1799999997</v>
      </c>
      <c r="DD26" s="1">
        <f>+'IRS - INF – XCCY précédent'!DC27</f>
        <v>46464</v>
      </c>
      <c r="DE26" s="1">
        <f>+'IRS - INF – XCCY précédent'!DD27</f>
        <v>1.9666666666666666</v>
      </c>
      <c r="DF26" s="1">
        <f>+'IRS - INF – XCCY précédent'!DE27</f>
        <v>6.0000000000000001E-3</v>
      </c>
    </row>
    <row r="27" spans="1:110" x14ac:dyDescent="0.2">
      <c r="A27" s="56" t="str">
        <f>+INDEX('analyse trimestrielle'!$A$8:$A$1048576,MATCH('IFT précédent'!B27,'analyse trimestrielle'!$A$8:$A$1048576,0))</f>
        <v>SWAP_271</v>
      </c>
      <c r="B27" s="1" t="str">
        <f>+'IRS - INF – XCCY précédent'!A28</f>
        <v>SWAP_271</v>
      </c>
      <c r="C27" s="1" t="str">
        <f>+'IRS - INF – XCCY précédent'!B28</f>
        <v>Cross Currency Swap</v>
      </c>
      <c r="D27" s="1" t="str">
        <f>+'IRS - INF – XCCY précédent'!C28</f>
        <v>Cross Currency Swap</v>
      </c>
      <c r="E27" s="1">
        <f>+'IRS - INF – XCCY précédent'!D28</f>
        <v>69174181</v>
      </c>
      <c r="F27" s="1" t="str">
        <f>+'IRS - INF – XCCY précédent'!E28</f>
        <v>SOCIETE GENERALE</v>
      </c>
      <c r="G27" s="1">
        <f>+'IRS - INF – XCCY précédent'!F28</f>
        <v>0</v>
      </c>
      <c r="H27" s="1" t="str">
        <f>+'IRS - INF – XCCY précédent'!G28</f>
        <v>Fixed</v>
      </c>
      <c r="I27" s="1" t="str">
        <f>+'IRS - INF – XCCY précédent'!H28</f>
        <v>Receiver</v>
      </c>
      <c r="J27" s="1">
        <f>+'IRS - INF – XCCY précédent'!I28</f>
        <v>3.3975</v>
      </c>
      <c r="K27" s="1">
        <f>+'IRS - INF – XCCY précédent'!J28</f>
        <v>0</v>
      </c>
      <c r="L27" s="1" t="str">
        <f>+'IRS - INF – XCCY précédent'!K28</f>
        <v>11/05/2013</v>
      </c>
      <c r="M27" s="1" t="str">
        <f>+'IRS - INF – XCCY précédent'!L28</f>
        <v>12/07/2028</v>
      </c>
      <c r="N27" s="1">
        <f>+'IRS - INF – XCCY précédent'!M28</f>
        <v>8203445</v>
      </c>
      <c r="O27" s="1">
        <f>+'IRS - INF – XCCY précédent'!N28</f>
        <v>8591042.3100000005</v>
      </c>
      <c r="P27" s="1">
        <f>+'IRS - INF – XCCY précédent'!O28</f>
        <v>1.0472481146640222</v>
      </c>
      <c r="Q27" s="1">
        <f>+'IRS - INF – XCCY précédent'!P28</f>
        <v>8512073.8900000006</v>
      </c>
      <c r="R27" s="1">
        <f>+'IRS - INF – XCCY précédent'!Q28</f>
        <v>1.0376218637413916</v>
      </c>
      <c r="S27" s="1">
        <f>+'IRS - INF – XCCY précédent'!R28</f>
        <v>78968.42</v>
      </c>
      <c r="T27" s="1">
        <f>+'IRS - INF – XCCY précédent'!S28</f>
        <v>9.6262509226306744E-3</v>
      </c>
      <c r="U27" s="1">
        <f>+'IRS - INF – XCCY précédent'!T28</f>
        <v>3.746</v>
      </c>
      <c r="V27" s="1">
        <f>+'IRS - INF – XCCY précédent'!U28</f>
        <v>-3232.92</v>
      </c>
      <c r="W27" s="1">
        <f>+'IRS - INF – XCCY précédent'!V28</f>
        <v>0</v>
      </c>
      <c r="X27" s="1" t="str">
        <f>+'IRS - INF – XCCY précédent'!W28</f>
        <v>Fixed</v>
      </c>
      <c r="Y27" s="1" t="str">
        <f>+'IRS - INF – XCCY précédent'!X28</f>
        <v>Payer</v>
      </c>
      <c r="Z27" s="1">
        <f>+'IRS - INF – XCCY précédent'!Y28</f>
        <v>5.25</v>
      </c>
      <c r="AA27" s="1">
        <f>+'IRS - INF – XCCY précédent'!Z28</f>
        <v>0</v>
      </c>
      <c r="AB27" s="1" t="str">
        <f>+'IRS - INF – XCCY précédent'!AA28</f>
        <v>11/05/2013</v>
      </c>
      <c r="AC27" s="1" t="str">
        <f>+'IRS - INF – XCCY précédent'!AB28</f>
        <v>12/07/2028</v>
      </c>
      <c r="AD27" s="1" t="str">
        <f>+'IRS - INF – XCCY précédent'!AC28</f>
        <v>GBP</v>
      </c>
      <c r="AE27" s="1">
        <f>+'IRS - INF – XCCY précédent'!AD28</f>
        <v>7000000</v>
      </c>
      <c r="AF27" s="1">
        <f>+'IRS - INF – XCCY précédent'!AE28</f>
        <v>-7385094.3899999997</v>
      </c>
      <c r="AG27" s="1">
        <f>+'IRS - INF – XCCY précédent'!AF28</f>
        <v>-1.0550134842857142</v>
      </c>
      <c r="AH27" s="1">
        <f>+'IRS - INF – XCCY précédent'!AG28</f>
        <v>-7283011.0599999996</v>
      </c>
      <c r="AI27" s="1">
        <f>+'IRS - INF – XCCY précédent'!AH28</f>
        <v>-1.0404301514285714</v>
      </c>
      <c r="AJ27" s="1">
        <f>+'IRS - INF – XCCY précédent'!AI28</f>
        <v>-102083.33</v>
      </c>
      <c r="AK27" s="1">
        <f>+'IRS - INF – XCCY précédent'!AJ28</f>
        <v>-1.4583332857142858E-2</v>
      </c>
      <c r="AL27" s="1">
        <f>+'IRS - INF – XCCY précédent'!AK28</f>
        <v>3.2749999999999999</v>
      </c>
      <c r="AM27" s="1">
        <f>+'IRS - INF – XCCY précédent'!AL28</f>
        <v>2423.48</v>
      </c>
      <c r="AN27" s="1">
        <f>+'IRS - INF – XCCY précédent'!AM28</f>
        <v>0</v>
      </c>
      <c r="AO27" s="1">
        <f>+'IRS - INF – XCCY précédent'!AN28</f>
        <v>-213314.38</v>
      </c>
      <c r="AP27" s="1">
        <f>+'IRS - INF – XCCY précédent'!AO28</f>
        <v>-2.6003024339164828E-2</v>
      </c>
      <c r="AQ27" s="1">
        <f>+'IRS - INF – XCCY précédent'!AP28</f>
        <v>-170581.16</v>
      </c>
      <c r="AR27" s="1">
        <f>+'IRS - INF – XCCY précédent'!AQ28</f>
        <v>-2.0793844537264527E-2</v>
      </c>
      <c r="AS27" s="1">
        <f>+'IRS - INF – XCCY précédent'!AR28</f>
        <v>-42733.22</v>
      </c>
      <c r="AT27" s="1">
        <f>+'IRS - INF – XCCY précédent'!AS28</f>
        <v>-5.2091798019002992E-3</v>
      </c>
      <c r="AU27" s="1">
        <f>+'IRS - INF – XCCY précédent'!AT28</f>
        <v>0.13800000000000001</v>
      </c>
      <c r="AV27" s="1">
        <f>+'IRS - INF – XCCY précédent'!AU28</f>
        <v>-3012.75</v>
      </c>
      <c r="AW27" s="1">
        <f>+'IRS - INF – XCCY précédent'!AV28</f>
        <v>0</v>
      </c>
      <c r="AX27" s="1">
        <f>+'IRS - INF – XCCY précédent'!AW28</f>
        <v>-185932.4</v>
      </c>
      <c r="AY27" s="1">
        <f>+'IRS - INF – XCCY précédent'!AX28</f>
        <v>-2.2665160795251264E-2</v>
      </c>
      <c r="AZ27" s="1">
        <f>+'IRS - INF – XCCY précédent'!AY28</f>
        <v>0</v>
      </c>
      <c r="BA27" s="1">
        <f>+'IRS - INF – XCCY précédent'!AZ28</f>
        <v>0</v>
      </c>
      <c r="BB27" s="1">
        <f>+'IRS - INF – XCCY précédent'!BA28</f>
        <v>0</v>
      </c>
      <c r="BC27" s="1">
        <f>+'IRS - INF – XCCY précédent'!BB28</f>
        <v>0</v>
      </c>
      <c r="BD27" s="1">
        <f>+'IRS - INF – XCCY précédent'!BC28</f>
        <v>0</v>
      </c>
      <c r="BE27" s="1">
        <f>+'IRS - INF – XCCY précédent'!BD28</f>
        <v>0</v>
      </c>
      <c r="BF27" s="1">
        <f>+'IRS - INF – XCCY précédent'!BE28</f>
        <v>0</v>
      </c>
      <c r="BG27" s="1">
        <f>+'IRS - INF – XCCY précédent'!BF28</f>
        <v>0</v>
      </c>
      <c r="BH27" s="1">
        <f>+'IRS - INF – XCCY précédent'!BG28</f>
        <v>0</v>
      </c>
      <c r="BI27" s="1">
        <f>+'IRS - INF – XCCY précédent'!BH28</f>
        <v>0</v>
      </c>
      <c r="BJ27" s="1">
        <f>+'IRS - INF – XCCY précédent'!BI28</f>
        <v>0</v>
      </c>
      <c r="BK27" s="1">
        <f>+'IRS - INF – XCCY précédent'!BJ28</f>
        <v>0</v>
      </c>
      <c r="BL27" s="1">
        <f>+'IRS - INF – XCCY précédent'!BK28</f>
        <v>-27381.98000000001</v>
      </c>
      <c r="BM27" s="1">
        <f>+'IRS - INF – XCCY précédent'!BL28</f>
        <v>-3.3378635439135634E-3</v>
      </c>
      <c r="BN27" s="1">
        <f>+'IRS - INF – XCCY précédent'!BM28</f>
        <v>0</v>
      </c>
      <c r="BO27" s="1">
        <f>+'IRS - INF – XCCY précédent'!BN28</f>
        <v>0</v>
      </c>
      <c r="BP27" s="1">
        <f>+'IRS - INF – XCCY précédent'!BO28</f>
        <v>0</v>
      </c>
      <c r="BQ27" s="1">
        <f>+'IRS - INF – XCCY précédent'!BP28</f>
        <v>0</v>
      </c>
      <c r="BR27" s="1" t="str">
        <f>+'IRS - INF – XCCY précédent'!BQ28</f>
        <v/>
      </c>
      <c r="BS27" s="1">
        <f>+'IRS - INF – XCCY précédent'!BR28</f>
        <v>0</v>
      </c>
      <c r="BT27" s="1">
        <f>+'IRS - INF – XCCY précédent'!BS28</f>
        <v>0</v>
      </c>
      <c r="BU27" s="1">
        <f>+'IRS - INF – XCCY précédent'!BT28</f>
        <v>0</v>
      </c>
      <c r="BV27" s="1">
        <f>+'IRS - INF – XCCY précédent'!BU28</f>
        <v>0</v>
      </c>
      <c r="BW27" s="1">
        <f>+'IRS - INF – XCCY précédent'!BV28</f>
        <v>0</v>
      </c>
      <c r="BX27" s="1">
        <f>+'IRS - INF – XCCY précédent'!BW28</f>
        <v>0</v>
      </c>
      <c r="BY27" s="1">
        <f>+'IRS - INF – XCCY précédent'!BX28</f>
        <v>0</v>
      </c>
      <c r="BZ27" s="1">
        <f>+'IRS - INF – XCCY précédent'!BY28</f>
        <v>0</v>
      </c>
      <c r="CA27" s="1">
        <f>+'IRS - INF – XCCY précédent'!BZ28</f>
        <v>0</v>
      </c>
      <c r="CB27" s="1">
        <f>+'IRS - INF – XCCY précédent'!CA28</f>
        <v>0</v>
      </c>
      <c r="CC27" s="1">
        <f>+'IRS - INF – XCCY précédent'!CB28</f>
        <v>0</v>
      </c>
      <c r="CD27" s="1">
        <f>+'IRS - INF – XCCY précédent'!CC28</f>
        <v>0</v>
      </c>
      <c r="CE27" s="1">
        <f>+'IRS - INF – XCCY précédent'!CD28</f>
        <v>0</v>
      </c>
      <c r="CF27" s="1">
        <f>+'IRS - INF – XCCY précédent'!CE28</f>
        <v>0</v>
      </c>
      <c r="CG27" s="1">
        <f>+'IRS - INF – XCCY précédent'!CF28</f>
        <v>0</v>
      </c>
      <c r="CH27" s="1">
        <f>+'IRS - INF – XCCY précédent'!CG28</f>
        <v>0</v>
      </c>
      <c r="CI27" s="1">
        <f>+'IRS - INF – XCCY précédent'!CH28</f>
        <v>0</v>
      </c>
      <c r="CJ27" s="1">
        <f>+'IRS - INF – XCCY précédent'!CI28</f>
        <v>0</v>
      </c>
      <c r="CK27" s="1" t="str">
        <f>+'IRS - INF – XCCY précédent'!CJ28</f>
        <v>DImension</v>
      </c>
      <c r="CL27" s="1" t="str">
        <f>+'IRS - INF – XCCY précédent'!CK28</f>
        <v>IRSB100000082</v>
      </c>
      <c r="CM27" s="1" t="str">
        <f>+'IRS - INF – XCCY précédent'!CL28</f>
        <v>UTI</v>
      </c>
      <c r="CN27" s="1" t="str">
        <f>+'IRS - INF – XCCY précédent'!CM28</f>
        <v>1030244282IRDONE00000000000000000006084180</v>
      </c>
      <c r="CO27" s="1" t="str">
        <f>+'IRS - INF – XCCY précédent'!CN28</f>
        <v>LEI</v>
      </c>
      <c r="CP27" s="1" t="str">
        <f>+'IRS - INF – XCCY précédent'!CO28</f>
        <v>O2RNE8IBXP4R0TD8PU41</v>
      </c>
      <c r="CQ27" s="1" t="str">
        <f>+'IRS - INF – XCCY précédent'!CP28</f>
        <v>Code DI</v>
      </c>
      <c r="CR27" s="1" t="str">
        <f>+'IRS - INF – XCCY précédent'!CQ28</f>
        <v>SWAP_271</v>
      </c>
      <c r="CS27" s="1">
        <f>+'IRS - INF – XCCY précédent'!CR28</f>
        <v>0</v>
      </c>
      <c r="CT27" s="1">
        <f>+'IRS - INF – XCCY précédent'!CS28</f>
        <v>0</v>
      </c>
      <c r="CU27" s="1">
        <f>+'IRS - INF – XCCY précédent'!CT28</f>
        <v>0</v>
      </c>
      <c r="CV27" s="1">
        <f>+'IRS - INF – XCCY précédent'!CU28</f>
        <v>0</v>
      </c>
      <c r="CW27" s="1">
        <f>+'IRS - INF – XCCY précédent'!CV28</f>
        <v>0</v>
      </c>
      <c r="CX27" s="1">
        <f>+'IRS - INF – XCCY précédent'!CW28</f>
        <v>0</v>
      </c>
      <c r="CY27" s="1">
        <f>+'IRS - INF – XCCY précédent'!CX28</f>
        <v>0</v>
      </c>
      <c r="CZ27" s="1">
        <f>+'IRS - INF – XCCY précédent'!CY28</f>
        <v>0</v>
      </c>
      <c r="DA27" s="1">
        <f>+'IRS - INF – XCCY précédent'!CZ28</f>
        <v>0</v>
      </c>
      <c r="DB27" s="1">
        <f>+'IRS - INF – XCCY précédent'!DA28</f>
        <v>0</v>
      </c>
      <c r="DC27" s="1">
        <f>+'IRS - INF – XCCY précédent'!DB28</f>
        <v>-1419262.3000000017</v>
      </c>
      <c r="DD27" s="1">
        <f>+'IRS - INF – XCCY précédent'!DC28</f>
        <v>46946</v>
      </c>
      <c r="DE27" s="1">
        <f>+'IRS - INF – XCCY précédent'!DD28</f>
        <v>3.2833333333333332</v>
      </c>
      <c r="DF27" s="1">
        <f>+'IRS - INF – XCCY précédent'!DE28</f>
        <v>6.0000000000000001E-3</v>
      </c>
    </row>
    <row r="28" spans="1:110" x14ac:dyDescent="0.2">
      <c r="A28" s="56" t="str">
        <f>+INDEX('analyse trimestrielle'!$A$8:$A$1048576,MATCH('IFT précédent'!B28,'analyse trimestrielle'!$A$8:$A$1048576,0))</f>
        <v>SWAP_265</v>
      </c>
      <c r="B28" s="1" t="str">
        <f>+'IRS - INF – XCCY précédent'!A29</f>
        <v>SWAP_265</v>
      </c>
      <c r="C28" s="1" t="str">
        <f>+'IRS - INF – XCCY précédent'!B29</f>
        <v>Cross Currency Swap</v>
      </c>
      <c r="D28" s="1" t="str">
        <f>+'IRS - INF – XCCY précédent'!C29</f>
        <v>Cross Currency Swap</v>
      </c>
      <c r="E28" s="1">
        <f>+'IRS - INF – XCCY précédent'!D29</f>
        <v>69163276</v>
      </c>
      <c r="F28" s="1" t="str">
        <f>+'IRS - INF – XCCY précédent'!E29</f>
        <v>SOCIETE GENERALE</v>
      </c>
      <c r="G28" s="1">
        <f>+'IRS - INF – XCCY précédent'!F29</f>
        <v>0</v>
      </c>
      <c r="H28" s="1" t="str">
        <f>+'IRS - INF – XCCY précédent'!G29</f>
        <v>Fixed</v>
      </c>
      <c r="I28" s="1" t="str">
        <f>+'IRS - INF – XCCY précédent'!H29</f>
        <v>Receiver</v>
      </c>
      <c r="J28" s="1">
        <f>+'IRS - INF – XCCY précédent'!I29</f>
        <v>3.5</v>
      </c>
      <c r="K28" s="1">
        <f>+'IRS - INF – XCCY précédent'!J29</f>
        <v>0</v>
      </c>
      <c r="L28" s="1" t="str">
        <f>+'IRS - INF – XCCY précédent'!K29</f>
        <v>12/07/2012</v>
      </c>
      <c r="M28" s="1" t="str">
        <f>+'IRS - INF – XCCY précédent'!L29</f>
        <v>12/07/2028</v>
      </c>
      <c r="N28" s="1">
        <f>+'IRS - INF – XCCY précédent'!M29</f>
        <v>9361105</v>
      </c>
      <c r="O28" s="1">
        <f>+'IRS - INF – XCCY précédent'!N29</f>
        <v>9839920.4800000004</v>
      </c>
      <c r="P28" s="1">
        <f>+'IRS - INF – XCCY précédent'!O29</f>
        <v>1.0511494615219037</v>
      </c>
      <c r="Q28" s="1">
        <f>+'IRS - INF – XCCY précédent'!P29</f>
        <v>9747089.5299999993</v>
      </c>
      <c r="R28" s="1">
        <f>+'IRS - INF – XCCY précédent'!Q29</f>
        <v>1.0412327957009349</v>
      </c>
      <c r="S28" s="1">
        <f>+'IRS - INF – XCCY précédent'!R29</f>
        <v>92830.95</v>
      </c>
      <c r="T28" s="1">
        <f>+'IRS - INF – XCCY précédent'!S29</f>
        <v>9.9166658209687841E-3</v>
      </c>
      <c r="U28" s="1">
        <f>+'IRS - INF – XCCY précédent'!T29</f>
        <v>3.7410000000000001</v>
      </c>
      <c r="V28" s="1">
        <f>+'IRS - INF – XCCY précédent'!U29</f>
        <v>-3697.98</v>
      </c>
      <c r="W28" s="1">
        <f>+'IRS - INF – XCCY précédent'!V29</f>
        <v>0</v>
      </c>
      <c r="X28" s="1" t="str">
        <f>+'IRS - INF – XCCY précédent'!W29</f>
        <v>Fixed</v>
      </c>
      <c r="Y28" s="1" t="str">
        <f>+'IRS - INF – XCCY précédent'!X29</f>
        <v>Payer</v>
      </c>
      <c r="Z28" s="1">
        <f>+'IRS - INF – XCCY précédent'!Y29</f>
        <v>5.25</v>
      </c>
      <c r="AA28" s="1">
        <f>+'IRS - INF – XCCY précédent'!Z29</f>
        <v>0</v>
      </c>
      <c r="AB28" s="1" t="str">
        <f>+'IRS - INF – XCCY précédent'!AA29</f>
        <v>12/07/2012</v>
      </c>
      <c r="AC28" s="1" t="str">
        <f>+'IRS - INF – XCCY précédent'!AB29</f>
        <v>12/07/2028</v>
      </c>
      <c r="AD28" s="1" t="str">
        <f>+'IRS - INF – XCCY précédent'!AC29</f>
        <v>GBP</v>
      </c>
      <c r="AE28" s="1">
        <f>+'IRS - INF – XCCY précédent'!AD29</f>
        <v>8000000</v>
      </c>
      <c r="AF28" s="1">
        <f>+'IRS - INF – XCCY précédent'!AE29</f>
        <v>-8440107.8699999992</v>
      </c>
      <c r="AG28" s="1">
        <f>+'IRS - INF – XCCY précédent'!AF29</f>
        <v>-1.0550134837499998</v>
      </c>
      <c r="AH28" s="1">
        <f>+'IRS - INF – XCCY précédent'!AG29</f>
        <v>-8323441.2000000002</v>
      </c>
      <c r="AI28" s="1">
        <f>+'IRS - INF – XCCY précédent'!AH29</f>
        <v>-1.0404301499999999</v>
      </c>
      <c r="AJ28" s="1">
        <f>+'IRS - INF – XCCY précédent'!AI29</f>
        <v>-116666.67</v>
      </c>
      <c r="AK28" s="1">
        <f>+'IRS - INF – XCCY précédent'!AJ29</f>
        <v>-1.458333375E-2</v>
      </c>
      <c r="AL28" s="1">
        <f>+'IRS - INF – XCCY précédent'!AK29</f>
        <v>3.2749999999999999</v>
      </c>
      <c r="AM28" s="1">
        <f>+'IRS - INF – XCCY précédent'!AL29</f>
        <v>2769.69</v>
      </c>
      <c r="AN28" s="1">
        <f>+'IRS - INF – XCCY précédent'!AM29</f>
        <v>0</v>
      </c>
      <c r="AO28" s="1">
        <f>+'IRS - INF – XCCY précédent'!AN29</f>
        <v>-222201.44</v>
      </c>
      <c r="AP28" s="1">
        <f>+'IRS - INF – XCCY précédent'!AO29</f>
        <v>-2.3736667839961201E-2</v>
      </c>
      <c r="AQ28" s="1">
        <f>+'IRS - INF – XCCY précédent'!AP29</f>
        <v>-175944.81</v>
      </c>
      <c r="AR28" s="1">
        <f>+'IRS - INF – XCCY précédent'!AQ29</f>
        <v>-1.8795303545895491E-2</v>
      </c>
      <c r="AS28" s="1">
        <f>+'IRS - INF – XCCY précédent'!AR29</f>
        <v>-46256.63</v>
      </c>
      <c r="AT28" s="1">
        <f>+'IRS - INF – XCCY précédent'!AS29</f>
        <v>-4.9413642940657112E-3</v>
      </c>
      <c r="AU28" s="1">
        <f>+'IRS - INF – XCCY précédent'!AT29</f>
        <v>0.14099999999999999</v>
      </c>
      <c r="AV28" s="1">
        <f>+'IRS - INF – XCCY précédent'!AU29</f>
        <v>-3445.8</v>
      </c>
      <c r="AW28" s="1">
        <f>+'IRS - INF – XCCY précédent'!AV29</f>
        <v>0</v>
      </c>
      <c r="AX28" s="1">
        <f>+'IRS - INF – XCCY précédent'!AW29</f>
        <v>-190956.58</v>
      </c>
      <c r="AY28" s="1">
        <f>+'IRS - INF – XCCY précédent'!AX29</f>
        <v>-2.0398935809394295E-2</v>
      </c>
      <c r="AZ28" s="1">
        <f>+'IRS - INF – XCCY précédent'!AY29</f>
        <v>0</v>
      </c>
      <c r="BA28" s="1">
        <f>+'IRS - INF – XCCY précédent'!AZ29</f>
        <v>0</v>
      </c>
      <c r="BB28" s="1">
        <f>+'IRS - INF – XCCY précédent'!BA29</f>
        <v>0</v>
      </c>
      <c r="BC28" s="1">
        <f>+'IRS - INF – XCCY précédent'!BB29</f>
        <v>0</v>
      </c>
      <c r="BD28" s="1">
        <f>+'IRS - INF – XCCY précédent'!BC29</f>
        <v>0</v>
      </c>
      <c r="BE28" s="1">
        <f>+'IRS - INF – XCCY précédent'!BD29</f>
        <v>0</v>
      </c>
      <c r="BF28" s="1">
        <f>+'IRS - INF – XCCY précédent'!BE29</f>
        <v>0</v>
      </c>
      <c r="BG28" s="1">
        <f>+'IRS - INF – XCCY précédent'!BF29</f>
        <v>0</v>
      </c>
      <c r="BH28" s="1">
        <f>+'IRS - INF – XCCY précédent'!BG29</f>
        <v>0</v>
      </c>
      <c r="BI28" s="1">
        <f>+'IRS - INF – XCCY précédent'!BH29</f>
        <v>0</v>
      </c>
      <c r="BJ28" s="1">
        <f>+'IRS - INF – XCCY précédent'!BI29</f>
        <v>0</v>
      </c>
      <c r="BK28" s="1">
        <f>+'IRS - INF – XCCY précédent'!BJ29</f>
        <v>0</v>
      </c>
      <c r="BL28" s="1">
        <f>+'IRS - INF – XCCY précédent'!BK29</f>
        <v>-31244.860000000015</v>
      </c>
      <c r="BM28" s="1">
        <f>+'IRS - INF – XCCY précédent'!BL29</f>
        <v>-3.3377320305669061E-3</v>
      </c>
      <c r="BN28" s="1">
        <f>+'IRS - INF – XCCY précédent'!BM29</f>
        <v>0</v>
      </c>
      <c r="BO28" s="1">
        <f>+'IRS - INF – XCCY précédent'!BN29</f>
        <v>0</v>
      </c>
      <c r="BP28" s="1">
        <f>+'IRS - INF – XCCY précédent'!BO29</f>
        <v>0</v>
      </c>
      <c r="BQ28" s="1">
        <f>+'IRS - INF – XCCY précédent'!BP29</f>
        <v>0</v>
      </c>
      <c r="BR28" s="1" t="str">
        <f>+'IRS - INF – XCCY précédent'!BQ29</f>
        <v/>
      </c>
      <c r="BS28" s="1">
        <f>+'IRS - INF – XCCY précédent'!BR29</f>
        <v>0</v>
      </c>
      <c r="BT28" s="1">
        <f>+'IRS - INF – XCCY précédent'!BS29</f>
        <v>0</v>
      </c>
      <c r="BU28" s="1">
        <f>+'IRS - INF – XCCY précédent'!BT29</f>
        <v>0</v>
      </c>
      <c r="BV28" s="1">
        <f>+'IRS - INF – XCCY précédent'!BU29</f>
        <v>0</v>
      </c>
      <c r="BW28" s="1">
        <f>+'IRS - INF – XCCY précédent'!BV29</f>
        <v>0</v>
      </c>
      <c r="BX28" s="1">
        <f>+'IRS - INF – XCCY précédent'!BW29</f>
        <v>0</v>
      </c>
      <c r="BY28" s="1">
        <f>+'IRS - INF – XCCY précédent'!BX29</f>
        <v>0</v>
      </c>
      <c r="BZ28" s="1">
        <f>+'IRS - INF – XCCY précédent'!BY29</f>
        <v>0</v>
      </c>
      <c r="CA28" s="1">
        <f>+'IRS - INF – XCCY précédent'!BZ29</f>
        <v>0</v>
      </c>
      <c r="CB28" s="1">
        <f>+'IRS - INF – XCCY précédent'!CA29</f>
        <v>0</v>
      </c>
      <c r="CC28" s="1">
        <f>+'IRS - INF – XCCY précédent'!CB29</f>
        <v>0</v>
      </c>
      <c r="CD28" s="1">
        <f>+'IRS - INF – XCCY précédent'!CC29</f>
        <v>0</v>
      </c>
      <c r="CE28" s="1">
        <f>+'IRS - INF – XCCY précédent'!CD29</f>
        <v>0</v>
      </c>
      <c r="CF28" s="1">
        <f>+'IRS - INF – XCCY précédent'!CE29</f>
        <v>0</v>
      </c>
      <c r="CG28" s="1">
        <f>+'IRS - INF – XCCY précédent'!CF29</f>
        <v>0</v>
      </c>
      <c r="CH28" s="1">
        <f>+'IRS - INF – XCCY précédent'!CG29</f>
        <v>0</v>
      </c>
      <c r="CI28" s="1">
        <f>+'IRS - INF – XCCY précédent'!CH29</f>
        <v>0</v>
      </c>
      <c r="CJ28" s="1">
        <f>+'IRS - INF – XCCY précédent'!CI29</f>
        <v>0</v>
      </c>
      <c r="CK28" s="1" t="str">
        <f>+'IRS - INF – XCCY précédent'!CJ29</f>
        <v>DImension</v>
      </c>
      <c r="CL28" s="1" t="str">
        <f>+'IRS - INF – XCCY précédent'!CK29</f>
        <v>IRSB100000076</v>
      </c>
      <c r="CM28" s="1" t="str">
        <f>+'IRS - INF – XCCY précédent'!CL29</f>
        <v>UTI</v>
      </c>
      <c r="CN28" s="1" t="str">
        <f>+'IRS - INF – XCCY précédent'!CM29</f>
        <v>1030244282IRDONE00000000000000000006073988</v>
      </c>
      <c r="CO28" s="1" t="str">
        <f>+'IRS - INF – XCCY précédent'!CN29</f>
        <v>LEI</v>
      </c>
      <c r="CP28" s="1" t="str">
        <f>+'IRS - INF – XCCY précédent'!CO29</f>
        <v>O2RNE8IBXP4R0TD8PU41</v>
      </c>
      <c r="CQ28" s="1" t="str">
        <f>+'IRS - INF – XCCY précédent'!CP29</f>
        <v>Code DI</v>
      </c>
      <c r="CR28" s="1" t="str">
        <f>+'IRS - INF – XCCY précédent'!CQ29</f>
        <v>SWAP_265</v>
      </c>
      <c r="CS28" s="1">
        <f>+'IRS - INF – XCCY précédent'!CR29</f>
        <v>0</v>
      </c>
      <c r="CT28" s="1">
        <f>+'IRS - INF – XCCY précédent'!CS29</f>
        <v>0</v>
      </c>
      <c r="CU28" s="1">
        <f>+'IRS - INF – XCCY précédent'!CT29</f>
        <v>0</v>
      </c>
      <c r="CV28" s="1">
        <f>+'IRS - INF – XCCY précédent'!CU29</f>
        <v>0</v>
      </c>
      <c r="CW28" s="1">
        <f>+'IRS - INF – XCCY précédent'!CV29</f>
        <v>0</v>
      </c>
      <c r="CX28" s="1">
        <f>+'IRS - INF – XCCY précédent'!CW29</f>
        <v>0</v>
      </c>
      <c r="CY28" s="1">
        <f>+'IRS - INF – XCCY précédent'!CX29</f>
        <v>0</v>
      </c>
      <c r="CZ28" s="1">
        <f>+'IRS - INF – XCCY précédent'!CY29</f>
        <v>0</v>
      </c>
      <c r="DA28" s="1">
        <f>+'IRS - INF – XCCY précédent'!CZ29</f>
        <v>0</v>
      </c>
      <c r="DB28" s="1">
        <f>+'IRS - INF – XCCY précédent'!DA29</f>
        <v>0</v>
      </c>
      <c r="DC28" s="1">
        <f>+'IRS - INF – XCCY précédent'!DB29</f>
        <v>-1622014.0500000007</v>
      </c>
      <c r="DD28" s="1">
        <f>+'IRS - INF – XCCY précédent'!DC29</f>
        <v>46946</v>
      </c>
      <c r="DE28" s="1">
        <f>+'IRS - INF – XCCY précédent'!DD29</f>
        <v>3.2833333333333332</v>
      </c>
      <c r="DF28" s="1">
        <f>+'IRS - INF – XCCY précédent'!DE29</f>
        <v>6.0000000000000001E-3</v>
      </c>
    </row>
    <row r="29" spans="1:110" x14ac:dyDescent="0.2">
      <c r="A29" s="56" t="str">
        <f>+INDEX('analyse trimestrielle'!$A$8:$A$1048576,MATCH('IFT précédent'!B29,'analyse trimestrielle'!$A$8:$A$1048576,0))</f>
        <v>SWAP_244</v>
      </c>
      <c r="B29" s="1" t="str">
        <f>+'IRS - INF – XCCY précédent'!A30</f>
        <v>SWAP_244</v>
      </c>
      <c r="C29" s="1" t="str">
        <f>+'IRS - INF – XCCY précédent'!B30</f>
        <v>Cross Currency Swap</v>
      </c>
      <c r="D29" s="1" t="str">
        <f>+'IRS - INF – XCCY précédent'!C30</f>
        <v>Cross Currency Swap</v>
      </c>
      <c r="E29" s="1">
        <f>+'IRS - INF – XCCY précédent'!D30</f>
        <v>69063721</v>
      </c>
      <c r="F29" s="1" t="str">
        <f>+'IRS - INF – XCCY précédent'!E30</f>
        <v>MORGAN STANLEY</v>
      </c>
      <c r="G29" s="1">
        <f>+'IRS - INF – XCCY précédent'!F30</f>
        <v>0</v>
      </c>
      <c r="H29" s="1" t="str">
        <f>+'IRS - INF – XCCY précédent'!G30</f>
        <v>Fixed</v>
      </c>
      <c r="I29" s="1" t="str">
        <f>+'IRS - INF – XCCY précédent'!H30</f>
        <v>Receiver</v>
      </c>
      <c r="J29" s="1">
        <f>+'IRS - INF – XCCY précédent'!I30</f>
        <v>3.6524999999999999</v>
      </c>
      <c r="K29" s="1">
        <f>+'IRS - INF – XCCY précédent'!J30</f>
        <v>0</v>
      </c>
      <c r="L29" s="1" t="str">
        <f>+'IRS - INF – XCCY précédent'!K30</f>
        <v>09/06/2013</v>
      </c>
      <c r="M29" s="1" t="str">
        <f>+'IRS - INF – XCCY précédent'!L30</f>
        <v>03/18/2027</v>
      </c>
      <c r="N29" s="1">
        <f>+'IRS - INF – XCCY précédent'!M30</f>
        <v>5901794</v>
      </c>
      <c r="O29" s="1">
        <f>+'IRS - INF – XCCY précédent'!N30</f>
        <v>6067549.5499999998</v>
      </c>
      <c r="P29" s="1">
        <f>+'IRS - INF – XCCY précédent'!O30</f>
        <v>1.0280856210840297</v>
      </c>
      <c r="Q29" s="1">
        <f>+'IRS - INF – XCCY précédent'!P30</f>
        <v>6066950.7699999996</v>
      </c>
      <c r="R29" s="1">
        <f>+'IRS - INF – XCCY précédent'!Q30</f>
        <v>1.0279841637983298</v>
      </c>
      <c r="S29" s="1">
        <f>+'IRS - INF – XCCY précédent'!R30</f>
        <v>598.79</v>
      </c>
      <c r="T29" s="1">
        <f>+'IRS - INF – XCCY précédent'!S30</f>
        <v>1.0145898009994927E-4</v>
      </c>
      <c r="U29" s="1">
        <f>+'IRS - INF – XCCY précédent'!T30</f>
        <v>2.1160000000000001</v>
      </c>
      <c r="V29" s="1">
        <f>+'IRS - INF – XCCY précédent'!U30</f>
        <v>-1327.83</v>
      </c>
      <c r="W29" s="1">
        <f>+'IRS - INF – XCCY précédent'!V30</f>
        <v>0</v>
      </c>
      <c r="X29" s="1" t="str">
        <f>+'IRS - INF – XCCY précédent'!W30</f>
        <v>Fixed</v>
      </c>
      <c r="Y29" s="1" t="str">
        <f>+'IRS - INF – XCCY précédent'!X30</f>
        <v>Payer</v>
      </c>
      <c r="Z29" s="1">
        <f>+'IRS - INF – XCCY précédent'!Y30</f>
        <v>5.375</v>
      </c>
      <c r="AA29" s="1">
        <f>+'IRS - INF – XCCY précédent'!Z30</f>
        <v>0</v>
      </c>
      <c r="AB29" s="1" t="str">
        <f>+'IRS - INF – XCCY précédent'!AA30</f>
        <v>09/06/2013</v>
      </c>
      <c r="AC29" s="1" t="str">
        <f>+'IRS - INF – XCCY précédent'!AB30</f>
        <v>03/18/2027</v>
      </c>
      <c r="AD29" s="1" t="str">
        <f>+'IRS - INF – XCCY précédent'!AC30</f>
        <v>GBP</v>
      </c>
      <c r="AE29" s="1">
        <f>+'IRS - INF – XCCY précédent'!AD30</f>
        <v>5000000</v>
      </c>
      <c r="AF29" s="1">
        <f>+'IRS - INF – XCCY précédent'!AE30</f>
        <v>-5118899.7699999996</v>
      </c>
      <c r="AG29" s="1">
        <f>+'IRS - INF – XCCY précédent'!AF30</f>
        <v>-1.0237799539999999</v>
      </c>
      <c r="AH29" s="1">
        <f>+'IRS - INF – XCCY précédent'!AG30</f>
        <v>-5118153.24</v>
      </c>
      <c r="AI29" s="1">
        <f>+'IRS - INF – XCCY précédent'!AH30</f>
        <v>-1.0236306480000001</v>
      </c>
      <c r="AJ29" s="1">
        <f>+'IRS - INF – XCCY précédent'!AI30</f>
        <v>-746.53</v>
      </c>
      <c r="AK29" s="1">
        <f>+'IRS - INF – XCCY précédent'!AJ30</f>
        <v>-1.4930599999999998E-4</v>
      </c>
      <c r="AL29" s="1">
        <f>+'IRS - INF – XCCY précédent'!AK30</f>
        <v>1.84</v>
      </c>
      <c r="AM29" s="1">
        <f>+'IRS - INF – XCCY précédent'!AL30</f>
        <v>943.63</v>
      </c>
      <c r="AN29" s="1">
        <f>+'IRS - INF – XCCY précédent'!AM30</f>
        <v>0</v>
      </c>
      <c r="AO29" s="1">
        <f>+'IRS - INF – XCCY précédent'!AN30</f>
        <v>-35096.81</v>
      </c>
      <c r="AP29" s="1">
        <f>+'IRS - INF – XCCY précédent'!AO30</f>
        <v>-5.9468036329292408E-3</v>
      </c>
      <c r="AQ29" s="1">
        <f>+'IRS - INF – XCCY précédent'!AP30</f>
        <v>-34805.599999999999</v>
      </c>
      <c r="AR29" s="1">
        <f>+'IRS - INF – XCCY précédent'!AQ30</f>
        <v>-5.8974610093134395E-3</v>
      </c>
      <c r="AS29" s="1">
        <f>+'IRS - INF – XCCY précédent'!AR30</f>
        <v>-291.20999999999998</v>
      </c>
      <c r="AT29" s="1">
        <f>+'IRS - INF – XCCY précédent'!AS30</f>
        <v>-4.9342623615802243E-5</v>
      </c>
      <c r="AU29" s="1">
        <f>+'IRS - INF – XCCY précédent'!AT30</f>
        <v>7.0000000000000007E-2</v>
      </c>
      <c r="AV29" s="1">
        <f>+'IRS - INF – XCCY précédent'!AU30</f>
        <v>-1169.27</v>
      </c>
      <c r="AW29" s="1">
        <f>+'IRS - INF – XCCY précédent'!AV30</f>
        <v>0</v>
      </c>
      <c r="AX29" s="1">
        <f>+'IRS - INF – XCCY précédent'!AW30</f>
        <v>-26996.94</v>
      </c>
      <c r="AY29" s="1">
        <f>+'IRS - INF – XCCY précédent'!AX30</f>
        <v>-4.5743616263122702E-3</v>
      </c>
      <c r="AZ29" s="1">
        <f>+'IRS - INF – XCCY précédent'!AY30</f>
        <v>0</v>
      </c>
      <c r="BA29" s="1">
        <f>+'IRS - INF – XCCY précédent'!AZ30</f>
        <v>0</v>
      </c>
      <c r="BB29" s="1">
        <f>+'IRS - INF – XCCY précédent'!BA30</f>
        <v>0</v>
      </c>
      <c r="BC29" s="1">
        <f>+'IRS - INF – XCCY précédent'!BB30</f>
        <v>0</v>
      </c>
      <c r="BD29" s="1">
        <f>+'IRS - INF – XCCY précédent'!BC30</f>
        <v>0</v>
      </c>
      <c r="BE29" s="1">
        <f>+'IRS - INF – XCCY précédent'!BD30</f>
        <v>0</v>
      </c>
      <c r="BF29" s="1">
        <f>+'IRS - INF – XCCY précédent'!BE30</f>
        <v>0</v>
      </c>
      <c r="BG29" s="1">
        <f>+'IRS - INF – XCCY précédent'!BF30</f>
        <v>0</v>
      </c>
      <c r="BH29" s="1">
        <f>+'IRS - INF – XCCY précédent'!BG30</f>
        <v>0</v>
      </c>
      <c r="BI29" s="1">
        <f>+'IRS - INF – XCCY précédent'!BH30</f>
        <v>0</v>
      </c>
      <c r="BJ29" s="1">
        <f>+'IRS - INF – XCCY précédent'!BI30</f>
        <v>0</v>
      </c>
      <c r="BK29" s="1">
        <f>+'IRS - INF – XCCY précédent'!BJ30</f>
        <v>0</v>
      </c>
      <c r="BL29" s="1">
        <f>+'IRS - INF – XCCY précédent'!BK30</f>
        <v>-8099.869999999999</v>
      </c>
      <c r="BM29" s="1">
        <f>+'IRS - INF – XCCY précédent'!BL30</f>
        <v>-1.3724420066169706E-3</v>
      </c>
      <c r="BN29" s="1">
        <f>+'IRS - INF – XCCY précédent'!BM30</f>
        <v>0</v>
      </c>
      <c r="BO29" s="1">
        <f>+'IRS - INF – XCCY précédent'!BN30</f>
        <v>0</v>
      </c>
      <c r="BP29" s="1">
        <f>+'IRS - INF – XCCY précédent'!BO30</f>
        <v>0</v>
      </c>
      <c r="BQ29" s="1">
        <f>+'IRS - INF – XCCY précédent'!BP30</f>
        <v>0</v>
      </c>
      <c r="BR29" s="1" t="str">
        <f>+'IRS - INF – XCCY précédent'!BQ30</f>
        <v/>
      </c>
      <c r="BS29" s="1">
        <f>+'IRS - INF – XCCY précédent'!BR30</f>
        <v>0</v>
      </c>
      <c r="BT29" s="1">
        <f>+'IRS - INF – XCCY précédent'!BS30</f>
        <v>0</v>
      </c>
      <c r="BU29" s="1">
        <f>+'IRS - INF – XCCY précédent'!BT30</f>
        <v>0</v>
      </c>
      <c r="BV29" s="1">
        <f>+'IRS - INF – XCCY précédent'!BU30</f>
        <v>0</v>
      </c>
      <c r="BW29" s="1">
        <f>+'IRS - INF – XCCY précédent'!BV30</f>
        <v>0</v>
      </c>
      <c r="BX29" s="1">
        <f>+'IRS - INF – XCCY précédent'!BW30</f>
        <v>0</v>
      </c>
      <c r="BY29" s="1">
        <f>+'IRS - INF – XCCY précédent'!BX30</f>
        <v>0</v>
      </c>
      <c r="BZ29" s="1">
        <f>+'IRS - INF – XCCY précédent'!BY30</f>
        <v>0</v>
      </c>
      <c r="CA29" s="1">
        <f>+'IRS - INF – XCCY précédent'!BZ30</f>
        <v>0</v>
      </c>
      <c r="CB29" s="1">
        <f>+'IRS - INF – XCCY précédent'!CA30</f>
        <v>0</v>
      </c>
      <c r="CC29" s="1">
        <f>+'IRS - INF – XCCY précédent'!CB30</f>
        <v>0</v>
      </c>
      <c r="CD29" s="1">
        <f>+'IRS - INF – XCCY précédent'!CC30</f>
        <v>0</v>
      </c>
      <c r="CE29" s="1">
        <f>+'IRS - INF – XCCY précédent'!CD30</f>
        <v>0</v>
      </c>
      <c r="CF29" s="1">
        <f>+'IRS - INF – XCCY précédent'!CE30</f>
        <v>0</v>
      </c>
      <c r="CG29" s="1">
        <f>+'IRS - INF – XCCY précédent'!CF30</f>
        <v>0</v>
      </c>
      <c r="CH29" s="1">
        <f>+'IRS - INF – XCCY précédent'!CG30</f>
        <v>0</v>
      </c>
      <c r="CI29" s="1">
        <f>+'IRS - INF – XCCY précédent'!CH30</f>
        <v>0</v>
      </c>
      <c r="CJ29" s="1">
        <f>+'IRS - INF – XCCY précédent'!CI30</f>
        <v>0</v>
      </c>
      <c r="CK29" s="1" t="str">
        <f>+'IRS - INF – XCCY précédent'!CJ30</f>
        <v>DImension</v>
      </c>
      <c r="CL29" s="1" t="str">
        <f>+'IRS - INF – XCCY précédent'!CK30</f>
        <v>IRSB100000072</v>
      </c>
      <c r="CM29" s="1" t="str">
        <f>+'IRS - INF – XCCY précédent'!CL30</f>
        <v>UTI</v>
      </c>
      <c r="CN29" s="1" t="str">
        <f>+'IRS - INF – XCCY précédent'!CM30</f>
        <v>10304451923A4C534014BA11E3A6080BF0D55FBCA1</v>
      </c>
      <c r="CO29" s="1" t="str">
        <f>+'IRS - INF – XCCY précédent'!CN30</f>
        <v>LEI</v>
      </c>
      <c r="CP29" s="1" t="str">
        <f>+'IRS - INF – XCCY précédent'!CO30</f>
        <v>4PQUHN3JPFGFNF3BB653</v>
      </c>
      <c r="CQ29" s="1" t="str">
        <f>+'IRS - INF – XCCY précédent'!CP30</f>
        <v>Code DI</v>
      </c>
      <c r="CR29" s="1" t="str">
        <f>+'IRS - INF – XCCY précédent'!CQ30</f>
        <v>SWAP_244</v>
      </c>
      <c r="CS29" s="1">
        <f>+'IRS - INF – XCCY précédent'!CR30</f>
        <v>0</v>
      </c>
      <c r="CT29" s="1">
        <f>+'IRS - INF – XCCY précédent'!CS30</f>
        <v>0</v>
      </c>
      <c r="CU29" s="1">
        <f>+'IRS - INF – XCCY précédent'!CT30</f>
        <v>0</v>
      </c>
      <c r="CV29" s="1">
        <f>+'IRS - INF – XCCY précédent'!CU30</f>
        <v>0</v>
      </c>
      <c r="CW29" s="1">
        <f>+'IRS - INF – XCCY précédent'!CV30</f>
        <v>0</v>
      </c>
      <c r="CX29" s="1">
        <f>+'IRS - INF – XCCY précédent'!CW30</f>
        <v>0</v>
      </c>
      <c r="CY29" s="1">
        <f>+'IRS - INF – XCCY précédent'!CX30</f>
        <v>0</v>
      </c>
      <c r="CZ29" s="1">
        <f>+'IRS - INF – XCCY précédent'!CY30</f>
        <v>0</v>
      </c>
      <c r="DA29" s="1">
        <f>+'IRS - INF – XCCY précédent'!CZ30</f>
        <v>0</v>
      </c>
      <c r="DB29" s="1">
        <f>+'IRS - INF – XCCY précédent'!DA30</f>
        <v>0</v>
      </c>
      <c r="DC29" s="1">
        <f>+'IRS - INF – XCCY précédent'!DB30</f>
        <v>-983746.58999999985</v>
      </c>
      <c r="DD29" s="1">
        <f>+'IRS - INF – XCCY précédent'!DC30</f>
        <v>46464</v>
      </c>
      <c r="DE29" s="1">
        <f>+'IRS - INF – XCCY précédent'!DD30</f>
        <v>1.9666666666666666</v>
      </c>
      <c r="DF29" s="1">
        <f>+'IRS - INF – XCCY précédent'!DE30</f>
        <v>6.0000000000000001E-3</v>
      </c>
    </row>
    <row r="30" spans="1:110" x14ac:dyDescent="0.2">
      <c r="A30" s="56" t="str">
        <f>+INDEX('analyse trimestrielle'!$A$8:$A$1048576,MATCH('IFT précédent'!B30,'analyse trimestrielle'!$A$8:$A$1048576,0))</f>
        <v>SWAP_243</v>
      </c>
      <c r="B30" s="1" t="str">
        <f>+'IRS - INF – XCCY précédent'!A31</f>
        <v>SWAP_243</v>
      </c>
      <c r="C30" s="1" t="str">
        <f>+'IRS - INF – XCCY précédent'!B31</f>
        <v>Cross Currency Swap</v>
      </c>
      <c r="D30" s="1" t="str">
        <f>+'IRS - INF – XCCY précédent'!C31</f>
        <v>Cross Currency Swap</v>
      </c>
      <c r="E30" s="1">
        <f>+'IRS - INF – XCCY précédent'!D31</f>
        <v>69015063</v>
      </c>
      <c r="F30" s="1" t="str">
        <f>+'IRS - INF – XCCY précédent'!E31</f>
        <v>SOCIETE GENERALE</v>
      </c>
      <c r="G30" s="1">
        <f>+'IRS - INF – XCCY précédent'!F31</f>
        <v>0</v>
      </c>
      <c r="H30" s="1" t="str">
        <f>+'IRS - INF – XCCY précédent'!G31</f>
        <v>Fixed</v>
      </c>
      <c r="I30" s="1" t="str">
        <f>+'IRS - INF – XCCY précédent'!H31</f>
        <v>Receiver</v>
      </c>
      <c r="J30" s="1">
        <f>+'IRS - INF – XCCY précédent'!I31</f>
        <v>3.6230000000000002</v>
      </c>
      <c r="K30" s="1">
        <f>+'IRS - INF – XCCY précédent'!J31</f>
        <v>0</v>
      </c>
      <c r="L30" s="1" t="str">
        <f>+'IRS - INF – XCCY précédent'!K31</f>
        <v>09/06/2013</v>
      </c>
      <c r="M30" s="1" t="str">
        <f>+'IRS - INF – XCCY précédent'!L31</f>
        <v>03/18/2027</v>
      </c>
      <c r="N30" s="1">
        <f>+'IRS - INF – XCCY précédent'!M31</f>
        <v>8505611</v>
      </c>
      <c r="O30" s="1">
        <f>+'IRS - INF – XCCY précédent'!N31</f>
        <v>8739639.3000000007</v>
      </c>
      <c r="P30" s="1">
        <f>+'IRS - INF – XCCY précédent'!O31</f>
        <v>1.0275145783177717</v>
      </c>
      <c r="Q30" s="1">
        <f>+'IRS - INF – XCCY précédent'!P31</f>
        <v>8738783.3000000007</v>
      </c>
      <c r="R30" s="1">
        <f>+'IRS - INF – XCCY précédent'!Q31</f>
        <v>1.0274139388692947</v>
      </c>
      <c r="S30" s="1">
        <f>+'IRS - INF – XCCY précédent'!R31</f>
        <v>856</v>
      </c>
      <c r="T30" s="1">
        <f>+'IRS - INF – XCCY précédent'!S31</f>
        <v>1.0063944847701123E-4</v>
      </c>
      <c r="U30" s="1">
        <f>+'IRS - INF – XCCY précédent'!T31</f>
        <v>2.117</v>
      </c>
      <c r="V30" s="1">
        <f>+'IRS - INF – XCCY précédent'!U31</f>
        <v>-1912.76</v>
      </c>
      <c r="W30" s="1">
        <f>+'IRS - INF – XCCY précédent'!V31</f>
        <v>0</v>
      </c>
      <c r="X30" s="1" t="str">
        <f>+'IRS - INF – XCCY précédent'!W31</f>
        <v>Fixed</v>
      </c>
      <c r="Y30" s="1" t="str">
        <f>+'IRS - INF – XCCY précédent'!X31</f>
        <v>Payer</v>
      </c>
      <c r="Z30" s="1">
        <f>+'IRS - INF – XCCY précédent'!Y31</f>
        <v>5.375</v>
      </c>
      <c r="AA30" s="1">
        <f>+'IRS - INF – XCCY précédent'!Z31</f>
        <v>0</v>
      </c>
      <c r="AB30" s="1" t="str">
        <f>+'IRS - INF – XCCY précédent'!AA31</f>
        <v>09/06/2013</v>
      </c>
      <c r="AC30" s="1" t="str">
        <f>+'IRS - INF – XCCY précédent'!AB31</f>
        <v>03/18/2027</v>
      </c>
      <c r="AD30" s="1" t="str">
        <f>+'IRS - INF – XCCY précédent'!AC31</f>
        <v>GBP</v>
      </c>
      <c r="AE30" s="1">
        <f>+'IRS - INF – XCCY précédent'!AD31</f>
        <v>7200000</v>
      </c>
      <c r="AF30" s="1">
        <f>+'IRS - INF – XCCY précédent'!AE31</f>
        <v>-7371215.6699999999</v>
      </c>
      <c r="AG30" s="1">
        <f>+'IRS - INF – XCCY précédent'!AF31</f>
        <v>-1.0237799541666666</v>
      </c>
      <c r="AH30" s="1">
        <f>+'IRS - INF – XCCY précédent'!AG31</f>
        <v>-7370140.6699999999</v>
      </c>
      <c r="AI30" s="1">
        <f>+'IRS - INF – XCCY précédent'!AH31</f>
        <v>-1.0236306486111111</v>
      </c>
      <c r="AJ30" s="1">
        <f>+'IRS - INF – XCCY précédent'!AI31</f>
        <v>-1075</v>
      </c>
      <c r="AK30" s="1">
        <f>+'IRS - INF – XCCY précédent'!AJ31</f>
        <v>-1.4930555555555555E-4</v>
      </c>
      <c r="AL30" s="1">
        <f>+'IRS - INF – XCCY précédent'!AK31</f>
        <v>1.84</v>
      </c>
      <c r="AM30" s="1">
        <f>+'IRS - INF – XCCY précédent'!AL31</f>
        <v>1358.83</v>
      </c>
      <c r="AN30" s="1">
        <f>+'IRS - INF – XCCY précédent'!AM31</f>
        <v>0</v>
      </c>
      <c r="AO30" s="1">
        <f>+'IRS - INF – XCCY précédent'!AN31</f>
        <v>-48171.46</v>
      </c>
      <c r="AP30" s="1">
        <f>+'IRS - INF – XCCY précédent'!AO31</f>
        <v>-5.6634920172107563E-3</v>
      </c>
      <c r="AQ30" s="1">
        <f>+'IRS - INF – XCCY précédent'!AP31</f>
        <v>-47745.87</v>
      </c>
      <c r="AR30" s="1">
        <f>+'IRS - INF – XCCY précédent'!AQ31</f>
        <v>-5.6134556353447159E-3</v>
      </c>
      <c r="AS30" s="1">
        <f>+'IRS - INF – XCCY précédent'!AR31</f>
        <v>-425.6</v>
      </c>
      <c r="AT30" s="1">
        <f>+'IRS - INF – XCCY précédent'!AS31</f>
        <v>-5.0037557560532692E-5</v>
      </c>
      <c r="AU30" s="1">
        <f>+'IRS - INF – XCCY précédent'!AT31</f>
        <v>7.0999999999999994E-2</v>
      </c>
      <c r="AV30" s="1">
        <f>+'IRS - INF – XCCY précédent'!AU31</f>
        <v>-1684.44</v>
      </c>
      <c r="AW30" s="1">
        <f>+'IRS - INF – XCCY précédent'!AV31</f>
        <v>0</v>
      </c>
      <c r="AX30" s="1">
        <f>+'IRS - INF – XCCY précédent'!AW31</f>
        <v>-27650.99</v>
      </c>
      <c r="AY30" s="1">
        <f>+'IRS - INF – XCCY précédent'!AX31</f>
        <v>-3.2509116629011133E-3</v>
      </c>
      <c r="AZ30" s="1">
        <f>+'IRS - INF – XCCY précédent'!AY31</f>
        <v>0</v>
      </c>
      <c r="BA30" s="1">
        <f>+'IRS - INF – XCCY précédent'!AZ31</f>
        <v>0</v>
      </c>
      <c r="BB30" s="1">
        <f>+'IRS - INF – XCCY précédent'!BA31</f>
        <v>0</v>
      </c>
      <c r="BC30" s="1">
        <f>+'IRS - INF – XCCY précédent'!BB31</f>
        <v>0</v>
      </c>
      <c r="BD30" s="1">
        <f>+'IRS - INF – XCCY précédent'!BC31</f>
        <v>0</v>
      </c>
      <c r="BE30" s="1">
        <f>+'IRS - INF – XCCY précédent'!BD31</f>
        <v>0</v>
      </c>
      <c r="BF30" s="1">
        <f>+'IRS - INF – XCCY précédent'!BE31</f>
        <v>0</v>
      </c>
      <c r="BG30" s="1">
        <f>+'IRS - INF – XCCY précédent'!BF31</f>
        <v>0</v>
      </c>
      <c r="BH30" s="1">
        <f>+'IRS - INF – XCCY précédent'!BG31</f>
        <v>0</v>
      </c>
      <c r="BI30" s="1">
        <f>+'IRS - INF – XCCY précédent'!BH31</f>
        <v>0</v>
      </c>
      <c r="BJ30" s="1">
        <f>+'IRS - INF – XCCY précédent'!BI31</f>
        <v>0</v>
      </c>
      <c r="BK30" s="1">
        <f>+'IRS - INF – XCCY précédent'!BJ31</f>
        <v>0</v>
      </c>
      <c r="BL30" s="1">
        <f>+'IRS - INF – XCCY précédent'!BK31</f>
        <v>-20520.469999999998</v>
      </c>
      <c r="BM30" s="1">
        <f>+'IRS - INF – XCCY précédent'!BL31</f>
        <v>-2.4125803543096429E-3</v>
      </c>
      <c r="BN30" s="1">
        <f>+'IRS - INF – XCCY précédent'!BM31</f>
        <v>0</v>
      </c>
      <c r="BO30" s="1">
        <f>+'IRS - INF – XCCY précédent'!BN31</f>
        <v>0</v>
      </c>
      <c r="BP30" s="1">
        <f>+'IRS - INF – XCCY précédent'!BO31</f>
        <v>0</v>
      </c>
      <c r="BQ30" s="1">
        <f>+'IRS - INF – XCCY précédent'!BP31</f>
        <v>0</v>
      </c>
      <c r="BR30" s="1" t="str">
        <f>+'IRS - INF – XCCY précédent'!BQ31</f>
        <v/>
      </c>
      <c r="BS30" s="1">
        <f>+'IRS - INF – XCCY précédent'!BR31</f>
        <v>0</v>
      </c>
      <c r="BT30" s="1">
        <f>+'IRS - INF – XCCY précédent'!BS31</f>
        <v>0</v>
      </c>
      <c r="BU30" s="1">
        <f>+'IRS - INF – XCCY précédent'!BT31</f>
        <v>0</v>
      </c>
      <c r="BV30" s="1">
        <f>+'IRS - INF – XCCY précédent'!BU31</f>
        <v>0</v>
      </c>
      <c r="BW30" s="1">
        <f>+'IRS - INF – XCCY précédent'!BV31</f>
        <v>0</v>
      </c>
      <c r="BX30" s="1">
        <f>+'IRS - INF – XCCY précédent'!BW31</f>
        <v>0</v>
      </c>
      <c r="BY30" s="1">
        <f>+'IRS - INF – XCCY précédent'!BX31</f>
        <v>0</v>
      </c>
      <c r="BZ30" s="1">
        <f>+'IRS - INF – XCCY précédent'!BY31</f>
        <v>0</v>
      </c>
      <c r="CA30" s="1">
        <f>+'IRS - INF – XCCY précédent'!BZ31</f>
        <v>0</v>
      </c>
      <c r="CB30" s="1">
        <f>+'IRS - INF – XCCY précédent'!CA31</f>
        <v>0</v>
      </c>
      <c r="CC30" s="1">
        <f>+'IRS - INF – XCCY précédent'!CB31</f>
        <v>0</v>
      </c>
      <c r="CD30" s="1">
        <f>+'IRS - INF – XCCY précédent'!CC31</f>
        <v>0</v>
      </c>
      <c r="CE30" s="1">
        <f>+'IRS - INF – XCCY précédent'!CD31</f>
        <v>0</v>
      </c>
      <c r="CF30" s="1">
        <f>+'IRS - INF – XCCY précédent'!CE31</f>
        <v>0</v>
      </c>
      <c r="CG30" s="1">
        <f>+'IRS - INF – XCCY précédent'!CF31</f>
        <v>0</v>
      </c>
      <c r="CH30" s="1">
        <f>+'IRS - INF – XCCY précédent'!CG31</f>
        <v>0</v>
      </c>
      <c r="CI30" s="1">
        <f>+'IRS - INF – XCCY précédent'!CH31</f>
        <v>0</v>
      </c>
      <c r="CJ30" s="1">
        <f>+'IRS - INF – XCCY précédent'!CI31</f>
        <v>0</v>
      </c>
      <c r="CK30" s="1" t="str">
        <f>+'IRS - INF – XCCY précédent'!CJ31</f>
        <v>DImension</v>
      </c>
      <c r="CL30" s="1" t="str">
        <f>+'IRS - INF – XCCY précédent'!CK31</f>
        <v>IRSB100000070</v>
      </c>
      <c r="CM30" s="1" t="str">
        <f>+'IRS - INF – XCCY précédent'!CL31</f>
        <v>UTI</v>
      </c>
      <c r="CN30" s="1" t="str">
        <f>+'IRS - INF – XCCY précédent'!CM31</f>
        <v>1030244282IRDONE00000000000000000005968106</v>
      </c>
      <c r="CO30" s="1" t="str">
        <f>+'IRS - INF – XCCY précédent'!CN31</f>
        <v>LEI</v>
      </c>
      <c r="CP30" s="1" t="str">
        <f>+'IRS - INF – XCCY précédent'!CO31</f>
        <v>O2RNE8IBXP4R0TD8PU41</v>
      </c>
      <c r="CQ30" s="1" t="str">
        <f>+'IRS - INF – XCCY précédent'!CP31</f>
        <v>Code DI</v>
      </c>
      <c r="CR30" s="1" t="str">
        <f>+'IRS - INF – XCCY précédent'!CQ31</f>
        <v>SWAP_243</v>
      </c>
      <c r="CS30" s="1">
        <f>+'IRS - INF – XCCY précédent'!CR31</f>
        <v>0</v>
      </c>
      <c r="CT30" s="1">
        <f>+'IRS - INF – XCCY précédent'!CS31</f>
        <v>0</v>
      </c>
      <c r="CU30" s="1">
        <f>+'IRS - INF – XCCY précédent'!CT31</f>
        <v>0</v>
      </c>
      <c r="CV30" s="1">
        <f>+'IRS - INF – XCCY précédent'!CU31</f>
        <v>0</v>
      </c>
      <c r="CW30" s="1">
        <f>+'IRS - INF – XCCY précédent'!CV31</f>
        <v>0</v>
      </c>
      <c r="CX30" s="1">
        <f>+'IRS - INF – XCCY précédent'!CW31</f>
        <v>0</v>
      </c>
      <c r="CY30" s="1">
        <f>+'IRS - INF – XCCY précédent'!CX31</f>
        <v>0</v>
      </c>
      <c r="CZ30" s="1">
        <f>+'IRS - INF – XCCY précédent'!CY31</f>
        <v>0</v>
      </c>
      <c r="DA30" s="1">
        <f>+'IRS - INF – XCCY précédent'!CZ31</f>
        <v>0</v>
      </c>
      <c r="DB30" s="1">
        <f>+'IRS - INF – XCCY précédent'!DA31</f>
        <v>0</v>
      </c>
      <c r="DC30" s="1">
        <f>+'IRS - INF – XCCY précédent'!DB31</f>
        <v>-1416595.0900000017</v>
      </c>
      <c r="DD30" s="1">
        <f>+'IRS - INF – XCCY précédent'!DC31</f>
        <v>46464</v>
      </c>
      <c r="DE30" s="1">
        <f>+'IRS - INF – XCCY précédent'!DD31</f>
        <v>1.9666666666666666</v>
      </c>
      <c r="DF30" s="1">
        <f>+'IRS - INF – XCCY précédent'!DE31</f>
        <v>6.0000000000000001E-3</v>
      </c>
    </row>
    <row r="31" spans="1:110" x14ac:dyDescent="0.2">
      <c r="A31" s="56" t="str">
        <f>+INDEX('analyse trimestrielle'!$A$8:$A$1048576,MATCH('IFT précédent'!B31,'analyse trimestrielle'!$A$8:$A$1048576,0))</f>
        <v>SWAP_264</v>
      </c>
      <c r="B31" s="1" t="str">
        <f>+'IRS - INF – XCCY précédent'!A32</f>
        <v>SWAP_264</v>
      </c>
      <c r="C31" s="1" t="str">
        <f>+'IRS - INF – XCCY précédent'!B32</f>
        <v>Cross Currency Swap</v>
      </c>
      <c r="D31" s="1" t="str">
        <f>+'IRS - INF – XCCY précédent'!C32</f>
        <v>Cross Currency Swap</v>
      </c>
      <c r="E31" s="1">
        <f>+'IRS - INF – XCCY précédent'!D32</f>
        <v>69146070</v>
      </c>
      <c r="F31" s="1" t="str">
        <f>+'IRS - INF – XCCY précédent'!E32</f>
        <v>MORGAN STANLEY</v>
      </c>
      <c r="G31" s="1">
        <f>+'IRS - INF – XCCY précédent'!F32</f>
        <v>0</v>
      </c>
      <c r="H31" s="1" t="str">
        <f>+'IRS - INF – XCCY précédent'!G32</f>
        <v>Fixed</v>
      </c>
      <c r="I31" s="1" t="str">
        <f>+'IRS - INF – XCCY précédent'!H32</f>
        <v>Receiver</v>
      </c>
      <c r="J31" s="1">
        <f>+'IRS - INF – XCCY précédent'!I32</f>
        <v>3.64</v>
      </c>
      <c r="K31" s="1">
        <f>+'IRS - INF – XCCY précédent'!J32</f>
        <v>0</v>
      </c>
      <c r="L31" s="1" t="str">
        <f>+'IRS - INF – XCCY précédent'!K32</f>
        <v>12/07/2012</v>
      </c>
      <c r="M31" s="1" t="str">
        <f>+'IRS - INF – XCCY précédent'!L32</f>
        <v>12/07/2028</v>
      </c>
      <c r="N31" s="1">
        <f>+'IRS - INF – XCCY précédent'!M32</f>
        <v>17674090</v>
      </c>
      <c r="O31" s="1">
        <f>+'IRS - INF – XCCY précédent'!N32</f>
        <v>18672292.550000001</v>
      </c>
      <c r="P31" s="1">
        <f>+'IRS - INF – XCCY précédent'!O32</f>
        <v>1.0564782995899649</v>
      </c>
      <c r="Q31" s="1">
        <f>+'IRS - INF – XCCY précédent'!P32</f>
        <v>18490013.77</v>
      </c>
      <c r="R31" s="1">
        <f>+'IRS - INF – XCCY précédent'!Q32</f>
        <v>1.0461649663433874</v>
      </c>
      <c r="S31" s="1">
        <f>+'IRS - INF – XCCY précédent'!R32</f>
        <v>182278.78</v>
      </c>
      <c r="T31" s="1">
        <f>+'IRS - INF – XCCY précédent'!S32</f>
        <v>1.0313333246577334E-2</v>
      </c>
      <c r="U31" s="1">
        <f>+'IRS - INF – XCCY précédent'!T32</f>
        <v>3.7349999999999999</v>
      </c>
      <c r="V31" s="1">
        <f>+'IRS - INF – XCCY précédent'!U32</f>
        <v>-7004.67</v>
      </c>
      <c r="W31" s="1">
        <f>+'IRS - INF – XCCY précédent'!V32</f>
        <v>0</v>
      </c>
      <c r="X31" s="1" t="str">
        <f>+'IRS - INF – XCCY précédent'!W32</f>
        <v>Fixed</v>
      </c>
      <c r="Y31" s="1" t="str">
        <f>+'IRS - INF – XCCY précédent'!X32</f>
        <v>Payer</v>
      </c>
      <c r="Z31" s="1">
        <f>+'IRS - INF – XCCY précédent'!Y32</f>
        <v>5.25</v>
      </c>
      <c r="AA31" s="1">
        <f>+'IRS - INF – XCCY précédent'!Z32</f>
        <v>0</v>
      </c>
      <c r="AB31" s="1" t="str">
        <f>+'IRS - INF – XCCY précédent'!AA32</f>
        <v>12/07/2012</v>
      </c>
      <c r="AC31" s="1" t="str">
        <f>+'IRS - INF – XCCY précédent'!AB32</f>
        <v>12/07/2028</v>
      </c>
      <c r="AD31" s="1" t="str">
        <f>+'IRS - INF – XCCY précédent'!AC32</f>
        <v>GBP</v>
      </c>
      <c r="AE31" s="1">
        <f>+'IRS - INF – XCCY précédent'!AD32</f>
        <v>15000000</v>
      </c>
      <c r="AF31" s="1">
        <f>+'IRS - INF – XCCY précédent'!AE32</f>
        <v>-15825202.26</v>
      </c>
      <c r="AG31" s="1">
        <f>+'IRS - INF – XCCY précédent'!AF32</f>
        <v>-1.0550134840000001</v>
      </c>
      <c r="AH31" s="1">
        <f>+'IRS - INF – XCCY précédent'!AG32</f>
        <v>-15606452.26</v>
      </c>
      <c r="AI31" s="1">
        <f>+'IRS - INF – XCCY précédent'!AH32</f>
        <v>-1.0404301506666667</v>
      </c>
      <c r="AJ31" s="1">
        <f>+'IRS - INF – XCCY précédent'!AI32</f>
        <v>-218750</v>
      </c>
      <c r="AK31" s="1">
        <f>+'IRS - INF – XCCY précédent'!AJ32</f>
        <v>-1.4583333333333334E-2</v>
      </c>
      <c r="AL31" s="1">
        <f>+'IRS - INF – XCCY précédent'!AK32</f>
        <v>3.2749999999999999</v>
      </c>
      <c r="AM31" s="1">
        <f>+'IRS - INF – XCCY précédent'!AL32</f>
        <v>5193.17</v>
      </c>
      <c r="AN31" s="1">
        <f>+'IRS - INF – XCCY précédent'!AM32</f>
        <v>0</v>
      </c>
      <c r="AO31" s="1">
        <f>+'IRS - INF – XCCY précédent'!AN32</f>
        <v>-194186.07</v>
      </c>
      <c r="AP31" s="1">
        <f>+'IRS - INF – XCCY précédent'!AO32</f>
        <v>-1.0987047706558018E-2</v>
      </c>
      <c r="AQ31" s="1">
        <f>+'IRS - INF – XCCY précédent'!AP32</f>
        <v>-115675.62</v>
      </c>
      <c r="AR31" s="1">
        <f>+'IRS - INF – XCCY précédent'!AQ32</f>
        <v>-6.5449264997518965E-3</v>
      </c>
      <c r="AS31" s="1">
        <f>+'IRS - INF – XCCY précédent'!AR32</f>
        <v>-78510.44</v>
      </c>
      <c r="AT31" s="1">
        <f>+'IRS - INF – XCCY précédent'!AS32</f>
        <v>-4.4421206410061283E-3</v>
      </c>
      <c r="AU31" s="1">
        <f>+'IRS - INF – XCCY précédent'!AT32</f>
        <v>0.17899999999999999</v>
      </c>
      <c r="AV31" s="1">
        <f>+'IRS - INF – XCCY précédent'!AU32</f>
        <v>-6526.16</v>
      </c>
      <c r="AW31" s="1">
        <f>+'IRS - INF – XCCY précédent'!AV32</f>
        <v>0</v>
      </c>
      <c r="AX31" s="1">
        <f>+'IRS - INF – XCCY précédent'!AW32</f>
        <v>-156940.04</v>
      </c>
      <c r="AY31" s="1">
        <f>+'IRS - INF – XCCY précédent'!AX32</f>
        <v>-8.8796673548680594E-3</v>
      </c>
      <c r="AZ31" s="1">
        <f>+'IRS - INF – XCCY précédent'!AY32</f>
        <v>0</v>
      </c>
      <c r="BA31" s="1">
        <f>+'IRS - INF – XCCY précédent'!AZ32</f>
        <v>0</v>
      </c>
      <c r="BB31" s="1">
        <f>+'IRS - INF – XCCY précédent'!BA32</f>
        <v>0</v>
      </c>
      <c r="BC31" s="1">
        <f>+'IRS - INF – XCCY précédent'!BB32</f>
        <v>0</v>
      </c>
      <c r="BD31" s="1">
        <f>+'IRS - INF – XCCY précédent'!BC32</f>
        <v>0</v>
      </c>
      <c r="BE31" s="1">
        <f>+'IRS - INF – XCCY précédent'!BD32</f>
        <v>0</v>
      </c>
      <c r="BF31" s="1">
        <f>+'IRS - INF – XCCY précédent'!BE32</f>
        <v>0</v>
      </c>
      <c r="BG31" s="1">
        <f>+'IRS - INF – XCCY précédent'!BF32</f>
        <v>0</v>
      </c>
      <c r="BH31" s="1">
        <f>+'IRS - INF – XCCY précédent'!BG32</f>
        <v>0</v>
      </c>
      <c r="BI31" s="1">
        <f>+'IRS - INF – XCCY précédent'!BH32</f>
        <v>0</v>
      </c>
      <c r="BJ31" s="1">
        <f>+'IRS - INF – XCCY précédent'!BI32</f>
        <v>0</v>
      </c>
      <c r="BK31" s="1">
        <f>+'IRS - INF – XCCY précédent'!BJ32</f>
        <v>0</v>
      </c>
      <c r="BL31" s="1">
        <f>+'IRS - INF – XCCY précédent'!BK32</f>
        <v>-37246.03</v>
      </c>
      <c r="BM31" s="1">
        <f>+'IRS - INF – XCCY précédent'!BL32</f>
        <v>-2.1073803516899591E-3</v>
      </c>
      <c r="BN31" s="1">
        <f>+'IRS - INF – XCCY précédent'!BM32</f>
        <v>0</v>
      </c>
      <c r="BO31" s="1">
        <f>+'IRS - INF – XCCY précédent'!BN32</f>
        <v>0</v>
      </c>
      <c r="BP31" s="1">
        <f>+'IRS - INF – XCCY précédent'!BO32</f>
        <v>0</v>
      </c>
      <c r="BQ31" s="1">
        <f>+'IRS - INF – XCCY précédent'!BP32</f>
        <v>0</v>
      </c>
      <c r="BR31" s="1" t="str">
        <f>+'IRS - INF – XCCY précédent'!BQ32</f>
        <v/>
      </c>
      <c r="BS31" s="1">
        <f>+'IRS - INF – XCCY précédent'!BR32</f>
        <v>0</v>
      </c>
      <c r="BT31" s="1">
        <f>+'IRS - INF – XCCY précédent'!BS32</f>
        <v>0</v>
      </c>
      <c r="BU31" s="1">
        <f>+'IRS - INF – XCCY précédent'!BT32</f>
        <v>0</v>
      </c>
      <c r="BV31" s="1">
        <f>+'IRS - INF – XCCY précédent'!BU32</f>
        <v>0</v>
      </c>
      <c r="BW31" s="1">
        <f>+'IRS - INF – XCCY précédent'!BV32</f>
        <v>0</v>
      </c>
      <c r="BX31" s="1">
        <f>+'IRS - INF – XCCY précédent'!BW32</f>
        <v>0</v>
      </c>
      <c r="BY31" s="1">
        <f>+'IRS - INF – XCCY précédent'!BX32</f>
        <v>0</v>
      </c>
      <c r="BZ31" s="1">
        <f>+'IRS - INF – XCCY précédent'!BY32</f>
        <v>0</v>
      </c>
      <c r="CA31" s="1">
        <f>+'IRS - INF – XCCY précédent'!BZ32</f>
        <v>0</v>
      </c>
      <c r="CB31" s="1">
        <f>+'IRS - INF – XCCY précédent'!CA32</f>
        <v>0</v>
      </c>
      <c r="CC31" s="1">
        <f>+'IRS - INF – XCCY précédent'!CB32</f>
        <v>0</v>
      </c>
      <c r="CD31" s="1">
        <f>+'IRS - INF – XCCY précédent'!CC32</f>
        <v>0</v>
      </c>
      <c r="CE31" s="1">
        <f>+'IRS - INF – XCCY précédent'!CD32</f>
        <v>0</v>
      </c>
      <c r="CF31" s="1">
        <f>+'IRS - INF – XCCY précédent'!CE32</f>
        <v>0</v>
      </c>
      <c r="CG31" s="1">
        <f>+'IRS - INF – XCCY précédent'!CF32</f>
        <v>0</v>
      </c>
      <c r="CH31" s="1">
        <f>+'IRS - INF – XCCY précédent'!CG32</f>
        <v>0</v>
      </c>
      <c r="CI31" s="1">
        <f>+'IRS - INF – XCCY précédent'!CH32</f>
        <v>0</v>
      </c>
      <c r="CJ31" s="1">
        <f>+'IRS - INF – XCCY précédent'!CI32</f>
        <v>0</v>
      </c>
      <c r="CK31" s="1" t="str">
        <f>+'IRS - INF – XCCY précédent'!CJ32</f>
        <v>DImension</v>
      </c>
      <c r="CL31" s="1" t="str">
        <f>+'IRS - INF – XCCY précédent'!CK32</f>
        <v>IRSB100000073</v>
      </c>
      <c r="CM31" s="1" t="str">
        <f>+'IRS - INF – XCCY précédent'!CL32</f>
        <v>UTI</v>
      </c>
      <c r="CN31" s="1" t="str">
        <f>+'IRS - INF – XCCY précédent'!CM32</f>
        <v>103023891740E0582034BB11E3A293CB5C05BFB3E0</v>
      </c>
      <c r="CO31" s="1" t="str">
        <f>+'IRS - INF – XCCY précédent'!CN32</f>
        <v>LEI</v>
      </c>
      <c r="CP31" s="1" t="str">
        <f>+'IRS - INF – XCCY précédent'!CO32</f>
        <v>4PQUHN3JPFGFNF3BB653</v>
      </c>
      <c r="CQ31" s="1" t="str">
        <f>+'IRS - INF – XCCY précédent'!CP32</f>
        <v>Code DI</v>
      </c>
      <c r="CR31" s="1" t="str">
        <f>+'IRS - INF – XCCY précédent'!CQ32</f>
        <v>SWAP_264</v>
      </c>
      <c r="CS31" s="1">
        <f>+'IRS - INF – XCCY précédent'!CR32</f>
        <v>0</v>
      </c>
      <c r="CT31" s="1">
        <f>+'IRS - INF – XCCY précédent'!CS32</f>
        <v>0</v>
      </c>
      <c r="CU31" s="1">
        <f>+'IRS - INF – XCCY précédent'!CT32</f>
        <v>0</v>
      </c>
      <c r="CV31" s="1">
        <f>+'IRS - INF – XCCY précédent'!CU32</f>
        <v>0</v>
      </c>
      <c r="CW31" s="1">
        <f>+'IRS - INF – XCCY précédent'!CV32</f>
        <v>0</v>
      </c>
      <c r="CX31" s="1">
        <f>+'IRS - INF – XCCY précédent'!CW32</f>
        <v>0</v>
      </c>
      <c r="CY31" s="1">
        <f>+'IRS - INF – XCCY précédent'!CX32</f>
        <v>0</v>
      </c>
      <c r="CZ31" s="1">
        <f>+'IRS - INF – XCCY précédent'!CY32</f>
        <v>0</v>
      </c>
      <c r="DA31" s="1">
        <f>+'IRS - INF – XCCY précédent'!CZ32</f>
        <v>0</v>
      </c>
      <c r="DB31" s="1">
        <f>+'IRS - INF – XCCY précédent'!DA32</f>
        <v>0</v>
      </c>
      <c r="DC31" s="1">
        <f>+'IRS - INF – XCCY précédent'!DB32</f>
        <v>-3041276.3600000013</v>
      </c>
      <c r="DD31" s="1">
        <f>+'IRS - INF – XCCY précédent'!DC32</f>
        <v>46946</v>
      </c>
      <c r="DE31" s="1">
        <f>+'IRS - INF – XCCY précédent'!DD32</f>
        <v>3.2833333333333332</v>
      </c>
      <c r="DF31" s="1">
        <f>+'IRS - INF – XCCY précédent'!DE32</f>
        <v>6.0000000000000001E-3</v>
      </c>
    </row>
    <row r="32" spans="1:110" x14ac:dyDescent="0.2">
      <c r="A32" s="56" t="str">
        <f>+INDEX('analyse trimestrielle'!$A$8:$A$1048576,MATCH('IFT précédent'!B32,'analyse trimestrielle'!$A$8:$A$1048576,0))</f>
        <v>SWAP_284</v>
      </c>
      <c r="B32" s="1" t="str">
        <f>+'IRS - INF – XCCY précédent'!A33</f>
        <v>SWAP_284</v>
      </c>
      <c r="C32" s="1" t="str">
        <f>+'IRS - INF – XCCY précédent'!B33</f>
        <v>Cross Currency Swap</v>
      </c>
      <c r="D32" s="1" t="str">
        <f>+'IRS - INF – XCCY précédent'!C33</f>
        <v>Cross Currency Swap</v>
      </c>
      <c r="E32" s="1">
        <f>+'IRS - INF – XCCY précédent'!D33</f>
        <v>69245196</v>
      </c>
      <c r="F32" s="1" t="str">
        <f>+'IRS - INF – XCCY précédent'!E33</f>
        <v>MORGAN STANLEY</v>
      </c>
      <c r="G32" s="1">
        <f>+'IRS - INF – XCCY précédent'!F33</f>
        <v>0</v>
      </c>
      <c r="H32" s="1" t="str">
        <f>+'IRS - INF – XCCY précédent'!G33</f>
        <v>Fixed</v>
      </c>
      <c r="I32" s="1" t="str">
        <f>+'IRS - INF – XCCY précédent'!H33</f>
        <v>Receiver</v>
      </c>
      <c r="J32" s="1">
        <f>+'IRS - INF – XCCY précédent'!I33</f>
        <v>3.3149999999999999</v>
      </c>
      <c r="K32" s="1">
        <f>+'IRS - INF – XCCY précédent'!J33</f>
        <v>0</v>
      </c>
      <c r="L32" s="1" t="str">
        <f>+'IRS - INF – XCCY précédent'!K33</f>
        <v>03/18/2013</v>
      </c>
      <c r="M32" s="1" t="str">
        <f>+'IRS - INF – XCCY précédent'!L33</f>
        <v>03/18/2027</v>
      </c>
      <c r="N32" s="1">
        <f>+'IRS - INF – XCCY précédent'!M33</f>
        <v>8719183</v>
      </c>
      <c r="O32" s="1">
        <f>+'IRS - INF – XCCY précédent'!N33</f>
        <v>8907105.5600000005</v>
      </c>
      <c r="P32" s="1">
        <f>+'IRS - INF – XCCY précédent'!O33</f>
        <v>1.0215527716300943</v>
      </c>
      <c r="Q32" s="1">
        <f>+'IRS - INF – XCCY précédent'!P33</f>
        <v>8906302.6699999999</v>
      </c>
      <c r="R32" s="1">
        <f>+'IRS - INF – XCCY précédent'!Q33</f>
        <v>1.0214606884612927</v>
      </c>
      <c r="S32" s="1">
        <f>+'IRS - INF – XCCY précédent'!R33</f>
        <v>802.89</v>
      </c>
      <c r="T32" s="1">
        <f>+'IRS - INF – XCCY précédent'!S33</f>
        <v>9.2083168801480598E-5</v>
      </c>
      <c r="U32" s="1">
        <f>+'IRS - INF – XCCY précédent'!T33</f>
        <v>2.125</v>
      </c>
      <c r="V32" s="1">
        <f>+'IRS - INF – XCCY précédent'!U33</f>
        <v>-1951.26</v>
      </c>
      <c r="W32" s="1">
        <f>+'IRS - INF – XCCY précédent'!V33</f>
        <v>0</v>
      </c>
      <c r="X32" s="1" t="str">
        <f>+'IRS - INF – XCCY précédent'!W33</f>
        <v>Fixed</v>
      </c>
      <c r="Y32" s="1" t="str">
        <f>+'IRS - INF – XCCY précédent'!X33</f>
        <v>Payer</v>
      </c>
      <c r="Z32" s="1">
        <f>+'IRS - INF – XCCY précédent'!Y33</f>
        <v>5.375</v>
      </c>
      <c r="AA32" s="1">
        <f>+'IRS - INF – XCCY précédent'!Z33</f>
        <v>0</v>
      </c>
      <c r="AB32" s="1" t="str">
        <f>+'IRS - INF – XCCY précédent'!AA33</f>
        <v>03/18/2013</v>
      </c>
      <c r="AC32" s="1" t="str">
        <f>+'IRS - INF – XCCY précédent'!AB33</f>
        <v>03/18/2027</v>
      </c>
      <c r="AD32" s="1" t="str">
        <f>+'IRS - INF – XCCY précédent'!AC33</f>
        <v>GBP</v>
      </c>
      <c r="AE32" s="1">
        <f>+'IRS - INF – XCCY précédent'!AD33</f>
        <v>7250000</v>
      </c>
      <c r="AF32" s="1">
        <f>+'IRS - INF – XCCY précédent'!AE33</f>
        <v>-7422404.6600000001</v>
      </c>
      <c r="AG32" s="1">
        <f>+'IRS - INF – XCCY précédent'!AF33</f>
        <v>-1.0237799531034484</v>
      </c>
      <c r="AH32" s="1">
        <f>+'IRS - INF – XCCY précédent'!AG33</f>
        <v>-7421337.0300000003</v>
      </c>
      <c r="AI32" s="1">
        <f>+'IRS - INF – XCCY précédent'!AH33</f>
        <v>-1.0236326937931035</v>
      </c>
      <c r="AJ32" s="1">
        <f>+'IRS - INF – XCCY précédent'!AI33</f>
        <v>-1067.6400000000001</v>
      </c>
      <c r="AK32" s="1">
        <f>+'IRS - INF – XCCY précédent'!AJ33</f>
        <v>-1.4726068965517243E-4</v>
      </c>
      <c r="AL32" s="1">
        <f>+'IRS - INF – XCCY précédent'!AK33</f>
        <v>1.84</v>
      </c>
      <c r="AM32" s="1">
        <f>+'IRS - INF – XCCY précédent'!AL33</f>
        <v>1368.26</v>
      </c>
      <c r="AN32" s="1">
        <f>+'IRS - INF – XCCY précédent'!AM33</f>
        <v>0</v>
      </c>
      <c r="AO32" s="1">
        <f>+'IRS - INF – XCCY précédent'!AN33</f>
        <v>58268.34</v>
      </c>
      <c r="AP32" s="1">
        <f>+'IRS - INF – XCCY précédent'!AO33</f>
        <v>6.6827752095580508E-3</v>
      </c>
      <c r="AQ32" s="1">
        <f>+'IRS - INF – XCCY précédent'!AP33</f>
        <v>58738.26</v>
      </c>
      <c r="AR32" s="1">
        <f>+'IRS - INF – XCCY précédent'!AQ33</f>
        <v>6.7366701673769206E-3</v>
      </c>
      <c r="AS32" s="1">
        <f>+'IRS - INF – XCCY précédent'!AR33</f>
        <v>-469.92</v>
      </c>
      <c r="AT32" s="1">
        <f>+'IRS - INF – XCCY précédent'!AS33</f>
        <v>-5.3894957818869041E-5</v>
      </c>
      <c r="AU32" s="1">
        <f>+'IRS - INF – XCCY précédent'!AT33</f>
        <v>9.7000000000000003E-2</v>
      </c>
      <c r="AV32" s="1">
        <f>+'IRS - INF – XCCY précédent'!AU33</f>
        <v>-1719.17</v>
      </c>
      <c r="AW32" s="1">
        <f>+'IRS - INF – XCCY précédent'!AV33</f>
        <v>0</v>
      </c>
      <c r="AX32" s="1">
        <f>+'IRS - INF – XCCY précédent'!AW33</f>
        <v>70020.12</v>
      </c>
      <c r="AY32" s="1">
        <f>+'IRS - INF – XCCY précédent'!AX33</f>
        <v>8.0305826818865937E-3</v>
      </c>
      <c r="AZ32" s="1">
        <f>+'IRS - INF – XCCY précédent'!AY33</f>
        <v>0</v>
      </c>
      <c r="BA32" s="1">
        <f>+'IRS - INF – XCCY précédent'!AZ33</f>
        <v>0</v>
      </c>
      <c r="BB32" s="1">
        <f>+'IRS - INF – XCCY précédent'!BA33</f>
        <v>0</v>
      </c>
      <c r="BC32" s="1">
        <f>+'IRS - INF – XCCY précédent'!BB33</f>
        <v>0</v>
      </c>
      <c r="BD32" s="1">
        <f>+'IRS - INF – XCCY précédent'!BC33</f>
        <v>0</v>
      </c>
      <c r="BE32" s="1">
        <f>+'IRS - INF – XCCY précédent'!BD33</f>
        <v>0</v>
      </c>
      <c r="BF32" s="1">
        <f>+'IRS - INF – XCCY précédent'!BE33</f>
        <v>0</v>
      </c>
      <c r="BG32" s="1">
        <f>+'IRS - INF – XCCY précédent'!BF33</f>
        <v>0</v>
      </c>
      <c r="BH32" s="1">
        <f>+'IRS - INF – XCCY précédent'!BG33</f>
        <v>0</v>
      </c>
      <c r="BI32" s="1">
        <f>+'IRS - INF – XCCY précédent'!BH33</f>
        <v>0</v>
      </c>
      <c r="BJ32" s="1">
        <f>+'IRS - INF – XCCY précédent'!BI33</f>
        <v>0</v>
      </c>
      <c r="BK32" s="1">
        <f>+'IRS - INF – XCCY précédent'!BJ33</f>
        <v>0</v>
      </c>
      <c r="BL32" s="1">
        <f>+'IRS - INF – XCCY précédent'!BK33</f>
        <v>-11751.779999999999</v>
      </c>
      <c r="BM32" s="1">
        <f>+'IRS - INF – XCCY précédent'!BL33</f>
        <v>-1.3478074723285429E-3</v>
      </c>
      <c r="BN32" s="1">
        <f>+'IRS - INF – XCCY précédent'!BM33</f>
        <v>0</v>
      </c>
      <c r="BO32" s="1">
        <f>+'IRS - INF – XCCY précédent'!BN33</f>
        <v>0</v>
      </c>
      <c r="BP32" s="1">
        <f>+'IRS - INF – XCCY précédent'!BO33</f>
        <v>0</v>
      </c>
      <c r="BQ32" s="1">
        <f>+'IRS - INF – XCCY précédent'!BP33</f>
        <v>0</v>
      </c>
      <c r="BR32" s="1" t="str">
        <f>+'IRS - INF – XCCY précédent'!BQ33</f>
        <v/>
      </c>
      <c r="BS32" s="1">
        <f>+'IRS - INF – XCCY précédent'!BR33</f>
        <v>0</v>
      </c>
      <c r="BT32" s="1">
        <f>+'IRS - INF – XCCY précédent'!BS33</f>
        <v>0</v>
      </c>
      <c r="BU32" s="1">
        <f>+'IRS - INF – XCCY précédent'!BT33</f>
        <v>0</v>
      </c>
      <c r="BV32" s="1">
        <f>+'IRS - INF – XCCY précédent'!BU33</f>
        <v>0</v>
      </c>
      <c r="BW32" s="1">
        <f>+'IRS - INF – XCCY précédent'!BV33</f>
        <v>0</v>
      </c>
      <c r="BX32" s="1">
        <f>+'IRS - INF – XCCY précédent'!BW33</f>
        <v>0</v>
      </c>
      <c r="BY32" s="1">
        <f>+'IRS - INF – XCCY précédent'!BX33</f>
        <v>0</v>
      </c>
      <c r="BZ32" s="1">
        <f>+'IRS - INF – XCCY précédent'!BY33</f>
        <v>0</v>
      </c>
      <c r="CA32" s="1">
        <f>+'IRS - INF – XCCY précédent'!BZ33</f>
        <v>0</v>
      </c>
      <c r="CB32" s="1">
        <f>+'IRS - INF – XCCY précédent'!CA33</f>
        <v>0</v>
      </c>
      <c r="CC32" s="1">
        <f>+'IRS - INF – XCCY précédent'!CB33</f>
        <v>0</v>
      </c>
      <c r="CD32" s="1">
        <f>+'IRS - INF – XCCY précédent'!CC33</f>
        <v>0</v>
      </c>
      <c r="CE32" s="1">
        <f>+'IRS - INF – XCCY précédent'!CD33</f>
        <v>0</v>
      </c>
      <c r="CF32" s="1">
        <f>+'IRS - INF – XCCY précédent'!CE33</f>
        <v>0</v>
      </c>
      <c r="CG32" s="1">
        <f>+'IRS - INF – XCCY précédent'!CF33</f>
        <v>0</v>
      </c>
      <c r="CH32" s="1">
        <f>+'IRS - INF – XCCY précédent'!CG33</f>
        <v>0</v>
      </c>
      <c r="CI32" s="1">
        <f>+'IRS - INF – XCCY précédent'!CH33</f>
        <v>0</v>
      </c>
      <c r="CJ32" s="1">
        <f>+'IRS - INF – XCCY précédent'!CI33</f>
        <v>0</v>
      </c>
      <c r="CK32" s="1" t="str">
        <f>+'IRS - INF – XCCY précédent'!CJ33</f>
        <v>DImension</v>
      </c>
      <c r="CL32" s="1" t="str">
        <f>+'IRS - INF – XCCY précédent'!CK33</f>
        <v>IRSB100000033</v>
      </c>
      <c r="CM32" s="1" t="str">
        <f>+'IRS - INF – XCCY précédent'!CL33</f>
        <v>UTI</v>
      </c>
      <c r="CN32" s="1" t="str">
        <f>+'IRS - INF – XCCY précédent'!CM33</f>
        <v>1030238917049F91C05D9A11E3B0312B4B4BF2A87D</v>
      </c>
      <c r="CO32" s="1" t="str">
        <f>+'IRS - INF – XCCY précédent'!CN33</f>
        <v>LEI</v>
      </c>
      <c r="CP32" s="1" t="str">
        <f>+'IRS - INF – XCCY précédent'!CO33</f>
        <v>4PQUHN3JPFGFNF3BB653</v>
      </c>
      <c r="CQ32" s="1" t="str">
        <f>+'IRS - INF – XCCY précédent'!CP33</f>
        <v>Code DI</v>
      </c>
      <c r="CR32" s="1" t="str">
        <f>+'IRS - INF – XCCY précédent'!CQ33</f>
        <v>SWAP_284</v>
      </c>
      <c r="CS32" s="1">
        <f>+'IRS - INF – XCCY précédent'!CR33</f>
        <v>0</v>
      </c>
      <c r="CT32" s="1">
        <f>+'IRS - INF – XCCY précédent'!CS33</f>
        <v>0</v>
      </c>
      <c r="CU32" s="1">
        <f>+'IRS - INF – XCCY précédent'!CT33</f>
        <v>0</v>
      </c>
      <c r="CV32" s="1">
        <f>+'IRS - INF – XCCY précédent'!CU33</f>
        <v>0</v>
      </c>
      <c r="CW32" s="1">
        <f>+'IRS - INF – XCCY précédent'!CV33</f>
        <v>0</v>
      </c>
      <c r="CX32" s="1">
        <f>+'IRS - INF – XCCY précédent'!CW33</f>
        <v>0</v>
      </c>
      <c r="CY32" s="1">
        <f>+'IRS - INF – XCCY précédent'!CX33</f>
        <v>0</v>
      </c>
      <c r="CZ32" s="1">
        <f>+'IRS - INF – XCCY précédent'!CY33</f>
        <v>0</v>
      </c>
      <c r="DA32" s="1">
        <f>+'IRS - INF – XCCY précédent'!CZ33</f>
        <v>0</v>
      </c>
      <c r="DB32" s="1">
        <f>+'IRS - INF – XCCY précédent'!DA33</f>
        <v>0</v>
      </c>
      <c r="DC32" s="1">
        <f>+'IRS - INF – XCCY précédent'!DB33</f>
        <v>-1426432.5600000005</v>
      </c>
      <c r="DD32" s="1">
        <f>+'IRS - INF – XCCY précédent'!DC33</f>
        <v>46464</v>
      </c>
      <c r="DE32" s="1">
        <f>+'IRS - INF – XCCY précédent'!DD33</f>
        <v>1.9666666666666666</v>
      </c>
      <c r="DF32" s="1">
        <f>+'IRS - INF – XCCY précédent'!DE33</f>
        <v>6.0000000000000001E-3</v>
      </c>
    </row>
    <row r="33" spans="1:110" x14ac:dyDescent="0.2">
      <c r="A33" s="56" t="e">
        <f>+INDEX('analyse trimestrielle'!$A$8:$A$1048576,MATCH('IFT précédent'!B33,'analyse trimestrielle'!$A$8:$A$1048576,0))</f>
        <v>#N/A</v>
      </c>
      <c r="B33" s="1">
        <f>+'IRS - INF – XCCY précédent'!A34</f>
        <v>0</v>
      </c>
      <c r="C33" s="1">
        <f>+'IRS - INF – XCCY précédent'!B34</f>
        <v>0</v>
      </c>
      <c r="D33" s="1">
        <f>+'IRS - INF – XCCY précédent'!C34</f>
        <v>0</v>
      </c>
      <c r="E33" s="1">
        <f>+'IRS - INF – XCCY précédent'!D34</f>
        <v>0</v>
      </c>
      <c r="F33" s="1">
        <f>+'IRS - INF – XCCY précédent'!E34</f>
        <v>0</v>
      </c>
      <c r="G33" s="1">
        <f>+'IRS - INF – XCCY précédent'!F34</f>
        <v>0</v>
      </c>
      <c r="H33" s="1">
        <f>+'IRS - INF – XCCY précédent'!G34</f>
        <v>0</v>
      </c>
      <c r="I33" s="1">
        <f>+'IRS - INF – XCCY précédent'!H34</f>
        <v>0</v>
      </c>
      <c r="J33" s="1">
        <f>+'IRS - INF – XCCY précédent'!I34</f>
        <v>0</v>
      </c>
      <c r="K33" s="1">
        <f>+'IRS - INF – XCCY précédent'!J34</f>
        <v>0</v>
      </c>
      <c r="L33" s="1">
        <f>+'IRS - INF – XCCY précédent'!K34</f>
        <v>0</v>
      </c>
      <c r="M33" s="1">
        <f>+'IRS - INF – XCCY précédent'!L34</f>
        <v>0</v>
      </c>
      <c r="N33" s="1">
        <f>+'IRS - INF – XCCY précédent'!M34</f>
        <v>0</v>
      </c>
      <c r="O33" s="1">
        <f>+'IRS - INF – XCCY précédent'!N34</f>
        <v>0</v>
      </c>
      <c r="P33" s="1">
        <f>+'IRS - INF – XCCY précédent'!O34</f>
        <v>0</v>
      </c>
      <c r="Q33" s="1">
        <f>+'IRS - INF – XCCY précédent'!P34</f>
        <v>0</v>
      </c>
      <c r="R33" s="1">
        <f>+'IRS - INF – XCCY précédent'!Q34</f>
        <v>0</v>
      </c>
      <c r="S33" s="1">
        <f>+'IRS - INF – XCCY précédent'!R34</f>
        <v>0</v>
      </c>
      <c r="T33" s="1">
        <f>+'IRS - INF – XCCY précédent'!S34</f>
        <v>0</v>
      </c>
      <c r="U33" s="1">
        <f>+'IRS - INF – XCCY précédent'!T34</f>
        <v>0</v>
      </c>
      <c r="V33" s="1">
        <f>+'IRS - INF – XCCY précédent'!U34</f>
        <v>0</v>
      </c>
      <c r="W33" s="1">
        <f>+'IRS - INF – XCCY précédent'!V34</f>
        <v>0</v>
      </c>
      <c r="X33" s="1">
        <f>+'IRS - INF – XCCY précédent'!W34</f>
        <v>0</v>
      </c>
      <c r="Y33" s="1">
        <f>+'IRS - INF – XCCY précédent'!X34</f>
        <v>0</v>
      </c>
      <c r="Z33" s="1">
        <f>+'IRS - INF – XCCY précédent'!Y34</f>
        <v>0</v>
      </c>
      <c r="AA33" s="1">
        <f>+'IRS - INF – XCCY précédent'!Z34</f>
        <v>0</v>
      </c>
      <c r="AB33" s="1">
        <f>+'IRS - INF – XCCY précédent'!AA34</f>
        <v>0</v>
      </c>
      <c r="AC33" s="1">
        <f>+'IRS - INF – XCCY précédent'!AB34</f>
        <v>0</v>
      </c>
      <c r="AD33" s="1">
        <f>+'IRS - INF – XCCY précédent'!AC34</f>
        <v>0</v>
      </c>
      <c r="AE33" s="1">
        <f>+'IRS - INF – XCCY précédent'!AD34</f>
        <v>0</v>
      </c>
      <c r="AF33" s="1">
        <f>+'IRS - INF – XCCY précédent'!AE34</f>
        <v>0</v>
      </c>
      <c r="AG33" s="1">
        <f>+'IRS - INF – XCCY précédent'!AF34</f>
        <v>0</v>
      </c>
      <c r="AH33" s="1">
        <f>+'IRS - INF – XCCY précédent'!AG34</f>
        <v>0</v>
      </c>
      <c r="AI33" s="1">
        <f>+'IRS - INF – XCCY précédent'!AH34</f>
        <v>0</v>
      </c>
      <c r="AJ33" s="1">
        <f>+'IRS - INF – XCCY précédent'!AI34</f>
        <v>0</v>
      </c>
      <c r="AK33" s="1">
        <f>+'IRS - INF – XCCY précédent'!AJ34</f>
        <v>0</v>
      </c>
      <c r="AL33" s="1">
        <f>+'IRS - INF – XCCY précédent'!AK34</f>
        <v>0</v>
      </c>
      <c r="AM33" s="1">
        <f>+'IRS - INF – XCCY précédent'!AL34</f>
        <v>0</v>
      </c>
      <c r="AN33" s="1">
        <f>+'IRS - INF – XCCY précédent'!AM34</f>
        <v>0</v>
      </c>
      <c r="AO33" s="1">
        <f>+'IRS - INF – XCCY précédent'!AN34</f>
        <v>0</v>
      </c>
      <c r="AP33" s="1">
        <f>+'IRS - INF – XCCY précédent'!AO34</f>
        <v>0</v>
      </c>
      <c r="AQ33" s="1">
        <f>+'IRS - INF – XCCY précédent'!AP34</f>
        <v>0</v>
      </c>
      <c r="AR33" s="1">
        <f>+'IRS - INF – XCCY précédent'!AQ34</f>
        <v>0</v>
      </c>
      <c r="AS33" s="1">
        <f>+'IRS - INF – XCCY précédent'!AR34</f>
        <v>0</v>
      </c>
      <c r="AT33" s="1">
        <f>+'IRS - INF – XCCY précédent'!AS34</f>
        <v>0</v>
      </c>
      <c r="AU33" s="1">
        <f>+'IRS - INF – XCCY précédent'!AT34</f>
        <v>0</v>
      </c>
      <c r="AV33" s="1">
        <f>+'IRS - INF – XCCY précédent'!AU34</f>
        <v>0</v>
      </c>
      <c r="AW33" s="1">
        <f>+'IRS - INF – XCCY précédent'!AV34</f>
        <v>0</v>
      </c>
      <c r="AX33" s="1">
        <f>+'IRS - INF – XCCY précédent'!AW34</f>
        <v>0</v>
      </c>
      <c r="AY33" s="1">
        <f>+'IRS - INF – XCCY précédent'!AX34</f>
        <v>0</v>
      </c>
      <c r="AZ33" s="1">
        <f>+'IRS - INF – XCCY précédent'!AY34</f>
        <v>0</v>
      </c>
      <c r="BA33" s="1">
        <f>+'IRS - INF – XCCY précédent'!AZ34</f>
        <v>0</v>
      </c>
      <c r="BB33" s="1">
        <f>+'IRS - INF – XCCY précédent'!BA34</f>
        <v>0</v>
      </c>
      <c r="BC33" s="1">
        <f>+'IRS - INF – XCCY précédent'!BB34</f>
        <v>0</v>
      </c>
      <c r="BD33" s="1">
        <f>+'IRS - INF – XCCY précédent'!BC34</f>
        <v>0</v>
      </c>
      <c r="BE33" s="1">
        <f>+'IRS - INF – XCCY précédent'!BD34</f>
        <v>0</v>
      </c>
      <c r="BF33" s="1">
        <f>+'IRS - INF – XCCY précédent'!BE34</f>
        <v>0</v>
      </c>
      <c r="BG33" s="1">
        <f>+'IRS - INF – XCCY précédent'!BF34</f>
        <v>0</v>
      </c>
      <c r="BH33" s="1">
        <f>+'IRS - INF – XCCY précédent'!BG34</f>
        <v>0</v>
      </c>
      <c r="BI33" s="1">
        <f>+'IRS - INF – XCCY précédent'!BH34</f>
        <v>0</v>
      </c>
      <c r="BJ33" s="1">
        <f>+'IRS - INF – XCCY précédent'!BI34</f>
        <v>0</v>
      </c>
      <c r="BK33" s="1">
        <f>+'IRS - INF – XCCY précédent'!BJ34</f>
        <v>0</v>
      </c>
      <c r="BL33" s="1">
        <f>+'IRS - INF – XCCY précédent'!BK34</f>
        <v>0</v>
      </c>
      <c r="BM33" s="1">
        <f>+'IRS - INF – XCCY précédent'!BL34</f>
        <v>0</v>
      </c>
      <c r="BN33" s="1">
        <f>+'IRS - INF – XCCY précédent'!BM34</f>
        <v>0</v>
      </c>
      <c r="BO33" s="1">
        <f>+'IRS - INF – XCCY précédent'!BN34</f>
        <v>0</v>
      </c>
      <c r="BP33" s="1">
        <f>+'IRS - INF – XCCY précédent'!BO34</f>
        <v>0</v>
      </c>
      <c r="BQ33" s="1">
        <f>+'IRS - INF – XCCY précédent'!BP34</f>
        <v>0</v>
      </c>
      <c r="BR33" s="1">
        <f>+'IRS - INF – XCCY précédent'!BQ34</f>
        <v>0</v>
      </c>
      <c r="BS33" s="1">
        <f>+'IRS - INF – XCCY précédent'!BR34</f>
        <v>0</v>
      </c>
      <c r="BT33" s="1">
        <f>+'IRS - INF – XCCY précédent'!BS34</f>
        <v>0</v>
      </c>
      <c r="BU33" s="1">
        <f>+'IRS - INF – XCCY précédent'!BT34</f>
        <v>0</v>
      </c>
      <c r="BV33" s="1">
        <f>+'IRS - INF – XCCY précédent'!BU34</f>
        <v>0</v>
      </c>
      <c r="BW33" s="1">
        <f>+'IRS - INF – XCCY précédent'!BV34</f>
        <v>0</v>
      </c>
      <c r="BX33" s="1">
        <f>+'IRS - INF – XCCY précédent'!BW34</f>
        <v>0</v>
      </c>
      <c r="BY33" s="1">
        <f>+'IRS - INF – XCCY précédent'!BX34</f>
        <v>0</v>
      </c>
      <c r="BZ33" s="1">
        <f>+'IRS - INF – XCCY précédent'!BY34</f>
        <v>0</v>
      </c>
      <c r="CA33" s="1">
        <f>+'IRS - INF – XCCY précédent'!BZ34</f>
        <v>0</v>
      </c>
      <c r="CB33" s="1">
        <f>+'IRS - INF – XCCY précédent'!CA34</f>
        <v>0</v>
      </c>
      <c r="CC33" s="1">
        <f>+'IRS - INF – XCCY précédent'!CB34</f>
        <v>0</v>
      </c>
      <c r="CD33" s="1">
        <f>+'IRS - INF – XCCY précédent'!CC34</f>
        <v>0</v>
      </c>
      <c r="CE33" s="1">
        <f>+'IRS - INF – XCCY précédent'!CD34</f>
        <v>0</v>
      </c>
      <c r="CF33" s="1">
        <f>+'IRS - INF – XCCY précédent'!CE34</f>
        <v>0</v>
      </c>
      <c r="CG33" s="1">
        <f>+'IRS - INF – XCCY précédent'!CF34</f>
        <v>0</v>
      </c>
      <c r="CH33" s="1">
        <f>+'IRS - INF – XCCY précédent'!CG34</f>
        <v>0</v>
      </c>
      <c r="CI33" s="1">
        <f>+'IRS - INF – XCCY précédent'!CH34</f>
        <v>0</v>
      </c>
      <c r="CJ33" s="1">
        <f>+'IRS - INF – XCCY précédent'!CI34</f>
        <v>0</v>
      </c>
      <c r="CK33" s="1">
        <f>+'IRS - INF – XCCY précédent'!CJ34</f>
        <v>0</v>
      </c>
      <c r="CL33" s="1">
        <f>+'IRS - INF – XCCY précédent'!CK34</f>
        <v>0</v>
      </c>
      <c r="CM33" s="1">
        <f>+'IRS - INF – XCCY précédent'!CL34</f>
        <v>0</v>
      </c>
      <c r="CN33" s="1">
        <f>+'IRS - INF – XCCY précédent'!CM34</f>
        <v>0</v>
      </c>
      <c r="CO33" s="1">
        <f>+'IRS - INF – XCCY précédent'!CN34</f>
        <v>0</v>
      </c>
      <c r="CP33" s="1">
        <f>+'IRS - INF – XCCY précédent'!CO34</f>
        <v>0</v>
      </c>
      <c r="CQ33" s="1">
        <f>+'IRS - INF – XCCY précédent'!CP34</f>
        <v>0</v>
      </c>
      <c r="CR33" s="1">
        <f>+'IRS - INF – XCCY précédent'!CQ34</f>
        <v>0</v>
      </c>
      <c r="CS33" s="1">
        <f>+'IRS - INF – XCCY précédent'!CR34</f>
        <v>0</v>
      </c>
      <c r="CT33" s="1">
        <f>+'IRS - INF – XCCY précédent'!CS34</f>
        <v>0</v>
      </c>
      <c r="CU33" s="1">
        <f>+'IRS - INF – XCCY précédent'!CT34</f>
        <v>0</v>
      </c>
      <c r="CV33" s="1">
        <f>+'IRS - INF – XCCY précédent'!CU34</f>
        <v>0</v>
      </c>
      <c r="CW33" s="1">
        <f>+'IRS - INF – XCCY précédent'!CV34</f>
        <v>0</v>
      </c>
      <c r="CX33" s="1">
        <f>+'IRS - INF – XCCY précédent'!CW34</f>
        <v>0</v>
      </c>
      <c r="CY33" s="1">
        <f>+'IRS - INF – XCCY précédent'!CX34</f>
        <v>0</v>
      </c>
      <c r="CZ33" s="1">
        <f>+'IRS - INF – XCCY précédent'!CY34</f>
        <v>0</v>
      </c>
      <c r="DA33" s="1">
        <f>+'IRS - INF – XCCY précédent'!CZ34</f>
        <v>0</v>
      </c>
      <c r="DB33" s="1">
        <f>+'IRS - INF – XCCY précédent'!DA34</f>
        <v>0</v>
      </c>
      <c r="DC33" s="1">
        <f>+'IRS - INF – XCCY précédent'!DB34</f>
        <v>0</v>
      </c>
      <c r="DD33" s="1">
        <f>+'IRS - INF – XCCY précédent'!DC34</f>
        <v>0</v>
      </c>
      <c r="DE33" s="1">
        <f>+'IRS - INF – XCCY précédent'!DD34</f>
        <v>0</v>
      </c>
      <c r="DF33" s="1">
        <f>+'IRS - INF – XCCY précédent'!DE34</f>
        <v>0</v>
      </c>
    </row>
    <row r="34" spans="1:110" x14ac:dyDescent="0.2">
      <c r="A34" s="56" t="e">
        <f>+INDEX('analyse trimestrielle'!$A$8:$A$1048576,MATCH('IFT précédent'!B34,'analyse trimestrielle'!$A$8:$A$1048576,0))</f>
        <v>#N/A</v>
      </c>
      <c r="B34" s="1">
        <f>+'IRS - INF – XCCY précédent'!A35</f>
        <v>0</v>
      </c>
      <c r="C34" s="1">
        <f>+'IRS - INF – XCCY précédent'!B35</f>
        <v>0</v>
      </c>
      <c r="D34" s="1">
        <f>+'IRS - INF – XCCY précédent'!C35</f>
        <v>0</v>
      </c>
      <c r="E34" s="1">
        <f>+'IRS - INF – XCCY précédent'!D35</f>
        <v>0</v>
      </c>
      <c r="F34" s="1">
        <f>+'IRS - INF – XCCY précédent'!E35</f>
        <v>0</v>
      </c>
      <c r="G34" s="1">
        <f>+'IRS - INF – XCCY précédent'!F35</f>
        <v>0</v>
      </c>
      <c r="H34" s="1">
        <f>+'IRS - INF – XCCY précédent'!G35</f>
        <v>0</v>
      </c>
      <c r="I34" s="1">
        <f>+'IRS - INF – XCCY précédent'!H35</f>
        <v>0</v>
      </c>
      <c r="J34" s="1">
        <f>+'IRS - INF – XCCY précédent'!I35</f>
        <v>0</v>
      </c>
      <c r="K34" s="1">
        <f>+'IRS - INF – XCCY précédent'!J35</f>
        <v>0</v>
      </c>
      <c r="L34" s="1">
        <f>+'IRS - INF – XCCY précédent'!K35</f>
        <v>0</v>
      </c>
      <c r="M34" s="1">
        <f>+'IRS - INF – XCCY précédent'!L35</f>
        <v>0</v>
      </c>
      <c r="N34" s="1">
        <f>+'IRS - INF – XCCY précédent'!M35</f>
        <v>0</v>
      </c>
      <c r="O34" s="1">
        <f>+'IRS - INF – XCCY précédent'!N35</f>
        <v>0</v>
      </c>
      <c r="P34" s="1">
        <f>+'IRS - INF – XCCY précédent'!O35</f>
        <v>0</v>
      </c>
      <c r="Q34" s="1">
        <f>+'IRS - INF – XCCY précédent'!P35</f>
        <v>0</v>
      </c>
      <c r="R34" s="1">
        <f>+'IRS - INF – XCCY précédent'!Q35</f>
        <v>0</v>
      </c>
      <c r="S34" s="1">
        <f>+'IRS - INF – XCCY précédent'!R35</f>
        <v>0</v>
      </c>
      <c r="T34" s="1">
        <f>+'IRS - INF – XCCY précédent'!S35</f>
        <v>0</v>
      </c>
      <c r="U34" s="1">
        <f>+'IRS - INF – XCCY précédent'!T35</f>
        <v>0</v>
      </c>
      <c r="V34" s="1">
        <f>+'IRS - INF – XCCY précédent'!U35</f>
        <v>0</v>
      </c>
      <c r="W34" s="1">
        <f>+'IRS - INF – XCCY précédent'!V35</f>
        <v>0</v>
      </c>
      <c r="X34" s="1">
        <f>+'IRS - INF – XCCY précédent'!W35</f>
        <v>0</v>
      </c>
      <c r="Y34" s="1">
        <f>+'IRS - INF – XCCY précédent'!X35</f>
        <v>0</v>
      </c>
      <c r="Z34" s="1">
        <f>+'IRS - INF – XCCY précédent'!Y35</f>
        <v>0</v>
      </c>
      <c r="AA34" s="1">
        <f>+'IRS - INF – XCCY précédent'!Z35</f>
        <v>0</v>
      </c>
      <c r="AB34" s="1">
        <f>+'IRS - INF – XCCY précédent'!AA35</f>
        <v>0</v>
      </c>
      <c r="AC34" s="1">
        <f>+'IRS - INF – XCCY précédent'!AB35</f>
        <v>0</v>
      </c>
      <c r="AD34" s="1">
        <f>+'IRS - INF – XCCY précédent'!AC35</f>
        <v>0</v>
      </c>
      <c r="AE34" s="1">
        <f>+'IRS - INF – XCCY précédent'!AD35</f>
        <v>0</v>
      </c>
      <c r="AF34" s="1">
        <f>+'IRS - INF – XCCY précédent'!AE35</f>
        <v>0</v>
      </c>
      <c r="AG34" s="1">
        <f>+'IRS - INF – XCCY précédent'!AF35</f>
        <v>0</v>
      </c>
      <c r="AH34" s="1">
        <f>+'IRS - INF – XCCY précédent'!AG35</f>
        <v>0</v>
      </c>
      <c r="AI34" s="1">
        <f>+'IRS - INF – XCCY précédent'!AH35</f>
        <v>0</v>
      </c>
      <c r="AJ34" s="1">
        <f>+'IRS - INF – XCCY précédent'!AI35</f>
        <v>0</v>
      </c>
      <c r="AK34" s="1">
        <f>+'IRS - INF – XCCY précédent'!AJ35</f>
        <v>0</v>
      </c>
      <c r="AL34" s="1">
        <f>+'IRS - INF – XCCY précédent'!AK35</f>
        <v>0</v>
      </c>
      <c r="AM34" s="1">
        <f>+'IRS - INF – XCCY précédent'!AL35</f>
        <v>0</v>
      </c>
      <c r="AN34" s="1">
        <f>+'IRS - INF – XCCY précédent'!AM35</f>
        <v>0</v>
      </c>
      <c r="AO34" s="1">
        <f>+'IRS - INF – XCCY précédent'!AN35</f>
        <v>0</v>
      </c>
      <c r="AP34" s="1">
        <f>+'IRS - INF – XCCY précédent'!AO35</f>
        <v>0</v>
      </c>
      <c r="AQ34" s="1">
        <f>+'IRS - INF – XCCY précédent'!AP35</f>
        <v>0</v>
      </c>
      <c r="AR34" s="1">
        <f>+'IRS - INF – XCCY précédent'!AQ35</f>
        <v>0</v>
      </c>
      <c r="AS34" s="1">
        <f>+'IRS - INF – XCCY précédent'!AR35</f>
        <v>0</v>
      </c>
      <c r="AT34" s="1">
        <f>+'IRS - INF – XCCY précédent'!AS35</f>
        <v>0</v>
      </c>
      <c r="AU34" s="1">
        <f>+'IRS - INF – XCCY précédent'!AT35</f>
        <v>0</v>
      </c>
      <c r="AV34" s="1">
        <f>+'IRS - INF – XCCY précédent'!AU35</f>
        <v>0</v>
      </c>
      <c r="AW34" s="1">
        <f>+'IRS - INF – XCCY précédent'!AV35</f>
        <v>0</v>
      </c>
      <c r="AX34" s="1">
        <f>+'IRS - INF – XCCY précédent'!AW35</f>
        <v>0</v>
      </c>
      <c r="AY34" s="1">
        <f>+'IRS - INF – XCCY précédent'!AX35</f>
        <v>0</v>
      </c>
      <c r="AZ34" s="1">
        <f>+'IRS - INF – XCCY précédent'!AY35</f>
        <v>0</v>
      </c>
      <c r="BA34" s="1">
        <f>+'IRS - INF – XCCY précédent'!AZ35</f>
        <v>0</v>
      </c>
      <c r="BB34" s="1">
        <f>+'IRS - INF – XCCY précédent'!BA35</f>
        <v>0</v>
      </c>
      <c r="BC34" s="1">
        <f>+'IRS - INF – XCCY précédent'!BB35</f>
        <v>0</v>
      </c>
      <c r="BD34" s="1">
        <f>+'IRS - INF – XCCY précédent'!BC35</f>
        <v>0</v>
      </c>
      <c r="BE34" s="1">
        <f>+'IRS - INF – XCCY précédent'!BD35</f>
        <v>0</v>
      </c>
      <c r="BF34" s="1">
        <f>+'IRS - INF – XCCY précédent'!BE35</f>
        <v>0</v>
      </c>
      <c r="BG34" s="1">
        <f>+'IRS - INF – XCCY précédent'!BF35</f>
        <v>0</v>
      </c>
      <c r="BH34" s="1">
        <f>+'IRS - INF – XCCY précédent'!BG35</f>
        <v>0</v>
      </c>
      <c r="BI34" s="1">
        <f>+'IRS - INF – XCCY précédent'!BH35</f>
        <v>0</v>
      </c>
      <c r="BJ34" s="1">
        <f>+'IRS - INF – XCCY précédent'!BI35</f>
        <v>0</v>
      </c>
      <c r="BK34" s="1">
        <f>+'IRS - INF – XCCY précédent'!BJ35</f>
        <v>0</v>
      </c>
      <c r="BL34" s="1">
        <f>+'IRS - INF – XCCY précédent'!BK35</f>
        <v>0</v>
      </c>
      <c r="BM34" s="1">
        <f>+'IRS - INF – XCCY précédent'!BL35</f>
        <v>0</v>
      </c>
      <c r="BN34" s="1">
        <f>+'IRS - INF – XCCY précédent'!BM35</f>
        <v>0</v>
      </c>
      <c r="BO34" s="1">
        <f>+'IRS - INF – XCCY précédent'!BN35</f>
        <v>0</v>
      </c>
      <c r="BP34" s="1">
        <f>+'IRS - INF – XCCY précédent'!BO35</f>
        <v>0</v>
      </c>
      <c r="BQ34" s="1">
        <f>+'IRS - INF – XCCY précédent'!BP35</f>
        <v>0</v>
      </c>
      <c r="BR34" s="1">
        <f>+'IRS - INF – XCCY précédent'!BQ35</f>
        <v>0</v>
      </c>
      <c r="BS34" s="1">
        <f>+'IRS - INF – XCCY précédent'!BR35</f>
        <v>0</v>
      </c>
      <c r="BT34" s="1">
        <f>+'IRS - INF – XCCY précédent'!BS35</f>
        <v>0</v>
      </c>
      <c r="BU34" s="1">
        <f>+'IRS - INF – XCCY précédent'!BT35</f>
        <v>0</v>
      </c>
      <c r="BV34" s="1">
        <f>+'IRS - INF – XCCY précédent'!BU35</f>
        <v>0</v>
      </c>
      <c r="BW34" s="1">
        <f>+'IRS - INF – XCCY précédent'!BV35</f>
        <v>0</v>
      </c>
      <c r="BX34" s="1">
        <f>+'IRS - INF – XCCY précédent'!BW35</f>
        <v>0</v>
      </c>
      <c r="BY34" s="1">
        <f>+'IRS - INF – XCCY précédent'!BX35</f>
        <v>0</v>
      </c>
      <c r="BZ34" s="1">
        <f>+'IRS - INF – XCCY précédent'!BY35</f>
        <v>0</v>
      </c>
      <c r="CA34" s="1">
        <f>+'IRS - INF – XCCY précédent'!BZ35</f>
        <v>0</v>
      </c>
      <c r="CB34" s="1">
        <f>+'IRS - INF – XCCY précédent'!CA35</f>
        <v>0</v>
      </c>
      <c r="CC34" s="1">
        <f>+'IRS - INF – XCCY précédent'!CB35</f>
        <v>0</v>
      </c>
      <c r="CD34" s="1">
        <f>+'IRS - INF – XCCY précédent'!CC35</f>
        <v>0</v>
      </c>
      <c r="CE34" s="1">
        <f>+'IRS - INF – XCCY précédent'!CD35</f>
        <v>0</v>
      </c>
      <c r="CF34" s="1">
        <f>+'IRS - INF – XCCY précédent'!CE35</f>
        <v>0</v>
      </c>
      <c r="CG34" s="1">
        <f>+'IRS - INF – XCCY précédent'!CF35</f>
        <v>0</v>
      </c>
      <c r="CH34" s="1">
        <f>+'IRS - INF – XCCY précédent'!CG35</f>
        <v>0</v>
      </c>
      <c r="CI34" s="1">
        <f>+'IRS - INF – XCCY précédent'!CH35</f>
        <v>0</v>
      </c>
      <c r="CJ34" s="1">
        <f>+'IRS - INF – XCCY précédent'!CI35</f>
        <v>0</v>
      </c>
      <c r="CK34" s="1">
        <f>+'IRS - INF – XCCY précédent'!CJ35</f>
        <v>0</v>
      </c>
      <c r="CL34" s="1">
        <f>+'IRS - INF – XCCY précédent'!CK35</f>
        <v>0</v>
      </c>
      <c r="CM34" s="1">
        <f>+'IRS - INF – XCCY précédent'!CL35</f>
        <v>0</v>
      </c>
      <c r="CN34" s="1">
        <f>+'IRS - INF – XCCY précédent'!CM35</f>
        <v>0</v>
      </c>
      <c r="CO34" s="1">
        <f>+'IRS - INF – XCCY précédent'!CN35</f>
        <v>0</v>
      </c>
      <c r="CP34" s="1">
        <f>+'IRS - INF – XCCY précédent'!CO35</f>
        <v>0</v>
      </c>
      <c r="CQ34" s="1">
        <f>+'IRS - INF – XCCY précédent'!CP35</f>
        <v>0</v>
      </c>
      <c r="CR34" s="1">
        <f>+'IRS - INF – XCCY précédent'!CQ35</f>
        <v>0</v>
      </c>
      <c r="CS34" s="1">
        <f>+'IRS - INF – XCCY précédent'!CR35</f>
        <v>0</v>
      </c>
      <c r="CT34" s="1">
        <f>+'IRS - INF – XCCY précédent'!CS35</f>
        <v>0</v>
      </c>
      <c r="CU34" s="1">
        <f>+'IRS - INF – XCCY précédent'!CT35</f>
        <v>0</v>
      </c>
      <c r="CV34" s="1">
        <f>+'IRS - INF – XCCY précédent'!CU35</f>
        <v>0</v>
      </c>
      <c r="CW34" s="1">
        <f>+'IRS - INF – XCCY précédent'!CV35</f>
        <v>0</v>
      </c>
      <c r="CX34" s="1">
        <f>+'IRS - INF – XCCY précédent'!CW35</f>
        <v>0</v>
      </c>
      <c r="CY34" s="1">
        <f>+'IRS - INF – XCCY précédent'!CX35</f>
        <v>0</v>
      </c>
      <c r="CZ34" s="1">
        <f>+'IRS - INF – XCCY précédent'!CY35</f>
        <v>0</v>
      </c>
      <c r="DA34" s="1">
        <f>+'IRS - INF – XCCY précédent'!CZ35</f>
        <v>0</v>
      </c>
      <c r="DB34" s="1">
        <f>+'IRS - INF – XCCY précédent'!DA35</f>
        <v>0</v>
      </c>
      <c r="DC34" s="1">
        <f>+'IRS - INF – XCCY précédent'!DB35</f>
        <v>0</v>
      </c>
      <c r="DD34" s="1">
        <f>+'IRS - INF – XCCY précédent'!DC35</f>
        <v>0</v>
      </c>
      <c r="DE34" s="1">
        <f>+'IRS - INF – XCCY précédent'!DD35</f>
        <v>0</v>
      </c>
      <c r="DF34" s="1">
        <f>+'IRS - INF – XCCY précédent'!DE35</f>
        <v>0</v>
      </c>
    </row>
    <row r="35" spans="1:110" x14ac:dyDescent="0.2">
      <c r="A35" s="56" t="e">
        <f>+INDEX('analyse trimestrielle'!$A$8:$A$1048576,MATCH('IFT précédent'!B35,'analyse trimestrielle'!$A$8:$A$1048576,0))</f>
        <v>#N/A</v>
      </c>
      <c r="B35" s="1">
        <f>+'IRS - INF – XCCY précédent'!A36</f>
        <v>0</v>
      </c>
      <c r="C35" s="1">
        <f>+'IRS - INF – XCCY précédent'!B36</f>
        <v>0</v>
      </c>
      <c r="D35" s="1">
        <f>+'IRS - INF – XCCY précédent'!C36</f>
        <v>0</v>
      </c>
      <c r="E35" s="1">
        <f>+'IRS - INF – XCCY précédent'!D36</f>
        <v>0</v>
      </c>
      <c r="F35" s="1">
        <f>+'IRS - INF – XCCY précédent'!E36</f>
        <v>0</v>
      </c>
      <c r="G35" s="1">
        <f>+'IRS - INF – XCCY précédent'!F36</f>
        <v>0</v>
      </c>
      <c r="H35" s="1">
        <f>+'IRS - INF – XCCY précédent'!G36</f>
        <v>0</v>
      </c>
      <c r="I35" s="1">
        <f>+'IRS - INF – XCCY précédent'!H36</f>
        <v>0</v>
      </c>
      <c r="J35" s="1">
        <f>+'IRS - INF – XCCY précédent'!I36</f>
        <v>0</v>
      </c>
      <c r="K35" s="1">
        <f>+'IRS - INF – XCCY précédent'!J36</f>
        <v>0</v>
      </c>
      <c r="L35" s="1">
        <f>+'IRS - INF – XCCY précédent'!K36</f>
        <v>0</v>
      </c>
      <c r="M35" s="1">
        <f>+'IRS - INF – XCCY précédent'!L36</f>
        <v>0</v>
      </c>
      <c r="N35" s="1">
        <f>+'IRS - INF – XCCY précédent'!M36</f>
        <v>0</v>
      </c>
      <c r="O35" s="1">
        <f>+'IRS - INF – XCCY précédent'!N36</f>
        <v>0</v>
      </c>
      <c r="P35" s="1">
        <f>+'IRS - INF – XCCY précédent'!O36</f>
        <v>0</v>
      </c>
      <c r="Q35" s="1">
        <f>+'IRS - INF – XCCY précédent'!P36</f>
        <v>0</v>
      </c>
      <c r="R35" s="1">
        <f>+'IRS - INF – XCCY précédent'!Q36</f>
        <v>0</v>
      </c>
      <c r="S35" s="1">
        <f>+'IRS - INF – XCCY précédent'!R36</f>
        <v>0</v>
      </c>
      <c r="T35" s="1">
        <f>+'IRS - INF – XCCY précédent'!S36</f>
        <v>0</v>
      </c>
      <c r="U35" s="1">
        <f>+'IRS - INF – XCCY précédent'!T36</f>
        <v>0</v>
      </c>
      <c r="V35" s="1">
        <f>+'IRS - INF – XCCY précédent'!U36</f>
        <v>0</v>
      </c>
      <c r="W35" s="1">
        <f>+'IRS - INF – XCCY précédent'!V36</f>
        <v>0</v>
      </c>
      <c r="X35" s="1">
        <f>+'IRS - INF – XCCY précédent'!W36</f>
        <v>0</v>
      </c>
      <c r="Y35" s="1">
        <f>+'IRS - INF – XCCY précédent'!X36</f>
        <v>0</v>
      </c>
      <c r="Z35" s="1">
        <f>+'IRS - INF – XCCY précédent'!Y36</f>
        <v>0</v>
      </c>
      <c r="AA35" s="1">
        <f>+'IRS - INF – XCCY précédent'!Z36</f>
        <v>0</v>
      </c>
      <c r="AB35" s="1">
        <f>+'IRS - INF – XCCY précédent'!AA36</f>
        <v>0</v>
      </c>
      <c r="AC35" s="1">
        <f>+'IRS - INF – XCCY précédent'!AB36</f>
        <v>0</v>
      </c>
      <c r="AD35" s="1">
        <f>+'IRS - INF – XCCY précédent'!AC36</f>
        <v>0</v>
      </c>
      <c r="AE35" s="1">
        <f>+'IRS - INF – XCCY précédent'!AD36</f>
        <v>0</v>
      </c>
      <c r="AF35" s="1">
        <f>+'IRS - INF – XCCY précédent'!AE36</f>
        <v>0</v>
      </c>
      <c r="AG35" s="1">
        <f>+'IRS - INF – XCCY précédent'!AF36</f>
        <v>0</v>
      </c>
      <c r="AH35" s="1">
        <f>+'IRS - INF – XCCY précédent'!AG36</f>
        <v>0</v>
      </c>
      <c r="AI35" s="1">
        <f>+'IRS - INF – XCCY précédent'!AH36</f>
        <v>0</v>
      </c>
      <c r="AJ35" s="1">
        <f>+'IRS - INF – XCCY précédent'!AI36</f>
        <v>0</v>
      </c>
      <c r="AK35" s="1">
        <f>+'IRS - INF – XCCY précédent'!AJ36</f>
        <v>0</v>
      </c>
      <c r="AL35" s="1">
        <f>+'IRS - INF – XCCY précédent'!AK36</f>
        <v>0</v>
      </c>
      <c r="AM35" s="1">
        <f>+'IRS - INF – XCCY précédent'!AL36</f>
        <v>0</v>
      </c>
      <c r="AN35" s="1">
        <f>+'IRS - INF – XCCY précédent'!AM36</f>
        <v>0</v>
      </c>
      <c r="AO35" s="1">
        <f>+'IRS - INF – XCCY précédent'!AN36</f>
        <v>0</v>
      </c>
      <c r="AP35" s="1">
        <f>+'IRS - INF – XCCY précédent'!AO36</f>
        <v>0</v>
      </c>
      <c r="AQ35" s="1">
        <f>+'IRS - INF – XCCY précédent'!AP36</f>
        <v>0</v>
      </c>
      <c r="AR35" s="1">
        <f>+'IRS - INF – XCCY précédent'!AQ36</f>
        <v>0</v>
      </c>
      <c r="AS35" s="1">
        <f>+'IRS - INF – XCCY précédent'!AR36</f>
        <v>0</v>
      </c>
      <c r="AT35" s="1">
        <f>+'IRS - INF – XCCY précédent'!AS36</f>
        <v>0</v>
      </c>
      <c r="AU35" s="1">
        <f>+'IRS - INF – XCCY précédent'!AT36</f>
        <v>0</v>
      </c>
      <c r="AV35" s="1">
        <f>+'IRS - INF – XCCY précédent'!AU36</f>
        <v>0</v>
      </c>
      <c r="AW35" s="1">
        <f>+'IRS - INF – XCCY précédent'!AV36</f>
        <v>0</v>
      </c>
      <c r="AX35" s="1">
        <f>+'IRS - INF – XCCY précédent'!AW36</f>
        <v>0</v>
      </c>
      <c r="AY35" s="1">
        <f>+'IRS - INF – XCCY précédent'!AX36</f>
        <v>0</v>
      </c>
      <c r="AZ35" s="1">
        <f>+'IRS - INF – XCCY précédent'!AY36</f>
        <v>0</v>
      </c>
      <c r="BA35" s="1">
        <f>+'IRS - INF – XCCY précédent'!AZ36</f>
        <v>0</v>
      </c>
      <c r="BB35" s="1">
        <f>+'IRS - INF – XCCY précédent'!BA36</f>
        <v>0</v>
      </c>
      <c r="BC35" s="1">
        <f>+'IRS - INF – XCCY précédent'!BB36</f>
        <v>0</v>
      </c>
      <c r="BD35" s="1">
        <f>+'IRS - INF – XCCY précédent'!BC36</f>
        <v>0</v>
      </c>
      <c r="BE35" s="1">
        <f>+'IRS - INF – XCCY précédent'!BD36</f>
        <v>0</v>
      </c>
      <c r="BF35" s="1">
        <f>+'IRS - INF – XCCY précédent'!BE36</f>
        <v>0</v>
      </c>
      <c r="BG35" s="1">
        <f>+'IRS - INF – XCCY précédent'!BF36</f>
        <v>0</v>
      </c>
      <c r="BH35" s="1">
        <f>+'IRS - INF – XCCY précédent'!BG36</f>
        <v>0</v>
      </c>
      <c r="BI35" s="1">
        <f>+'IRS - INF – XCCY précédent'!BH36</f>
        <v>0</v>
      </c>
      <c r="BJ35" s="1">
        <f>+'IRS - INF – XCCY précédent'!BI36</f>
        <v>0</v>
      </c>
      <c r="BK35" s="1">
        <f>+'IRS - INF – XCCY précédent'!BJ36</f>
        <v>0</v>
      </c>
      <c r="BL35" s="1">
        <f>+'IRS - INF – XCCY précédent'!BK36</f>
        <v>0</v>
      </c>
      <c r="BM35" s="1">
        <f>+'IRS - INF – XCCY précédent'!BL36</f>
        <v>0</v>
      </c>
      <c r="BN35" s="1">
        <f>+'IRS - INF – XCCY précédent'!BM36</f>
        <v>0</v>
      </c>
      <c r="BO35" s="1">
        <f>+'IRS - INF – XCCY précédent'!BN36</f>
        <v>0</v>
      </c>
      <c r="BP35" s="1">
        <f>+'IRS - INF – XCCY précédent'!BO36</f>
        <v>0</v>
      </c>
      <c r="BQ35" s="1">
        <f>+'IRS - INF – XCCY précédent'!BP36</f>
        <v>0</v>
      </c>
      <c r="BR35" s="1">
        <f>+'IRS - INF – XCCY précédent'!BQ36</f>
        <v>0</v>
      </c>
      <c r="BS35" s="1">
        <f>+'IRS - INF – XCCY précédent'!BR36</f>
        <v>0</v>
      </c>
      <c r="BT35" s="1">
        <f>+'IRS - INF – XCCY précédent'!BS36</f>
        <v>0</v>
      </c>
      <c r="BU35" s="1">
        <f>+'IRS - INF – XCCY précédent'!BT36</f>
        <v>0</v>
      </c>
      <c r="BV35" s="1">
        <f>+'IRS - INF – XCCY précédent'!BU36</f>
        <v>0</v>
      </c>
      <c r="BW35" s="1">
        <f>+'IRS - INF – XCCY précédent'!BV36</f>
        <v>0</v>
      </c>
      <c r="BX35" s="1">
        <f>+'IRS - INF – XCCY précédent'!BW36</f>
        <v>0</v>
      </c>
      <c r="BY35" s="1">
        <f>+'IRS - INF – XCCY précédent'!BX36</f>
        <v>0</v>
      </c>
      <c r="BZ35" s="1">
        <f>+'IRS - INF – XCCY précédent'!BY36</f>
        <v>0</v>
      </c>
      <c r="CA35" s="1">
        <f>+'IRS - INF – XCCY précédent'!BZ36</f>
        <v>0</v>
      </c>
      <c r="CB35" s="1">
        <f>+'IRS - INF – XCCY précédent'!CA36</f>
        <v>0</v>
      </c>
      <c r="CC35" s="1">
        <f>+'IRS - INF – XCCY précédent'!CB36</f>
        <v>0</v>
      </c>
      <c r="CD35" s="1">
        <f>+'IRS - INF – XCCY précédent'!CC36</f>
        <v>0</v>
      </c>
      <c r="CE35" s="1">
        <f>+'IRS - INF – XCCY précédent'!CD36</f>
        <v>0</v>
      </c>
      <c r="CF35" s="1">
        <f>+'IRS - INF – XCCY précédent'!CE36</f>
        <v>0</v>
      </c>
      <c r="CG35" s="1">
        <f>+'IRS - INF – XCCY précédent'!CF36</f>
        <v>0</v>
      </c>
      <c r="CH35" s="1">
        <f>+'IRS - INF – XCCY précédent'!CG36</f>
        <v>0</v>
      </c>
      <c r="CI35" s="1">
        <f>+'IRS - INF – XCCY précédent'!CH36</f>
        <v>0</v>
      </c>
      <c r="CJ35" s="1">
        <f>+'IRS - INF – XCCY précédent'!CI36</f>
        <v>0</v>
      </c>
      <c r="CK35" s="1">
        <f>+'IRS - INF – XCCY précédent'!CJ36</f>
        <v>0</v>
      </c>
      <c r="CL35" s="1">
        <f>+'IRS - INF – XCCY précédent'!CK36</f>
        <v>0</v>
      </c>
      <c r="CM35" s="1">
        <f>+'IRS - INF – XCCY précédent'!CL36</f>
        <v>0</v>
      </c>
      <c r="CN35" s="1">
        <f>+'IRS - INF – XCCY précédent'!CM36</f>
        <v>0</v>
      </c>
      <c r="CO35" s="1">
        <f>+'IRS - INF – XCCY précédent'!CN36</f>
        <v>0</v>
      </c>
      <c r="CP35" s="1">
        <f>+'IRS - INF – XCCY précédent'!CO36</f>
        <v>0</v>
      </c>
      <c r="CQ35" s="1">
        <f>+'IRS - INF – XCCY précédent'!CP36</f>
        <v>0</v>
      </c>
      <c r="CR35" s="1">
        <f>+'IRS - INF – XCCY précédent'!CQ36</f>
        <v>0</v>
      </c>
      <c r="CS35" s="1">
        <f>+'IRS - INF – XCCY précédent'!CR36</f>
        <v>0</v>
      </c>
      <c r="CT35" s="1">
        <f>+'IRS - INF – XCCY précédent'!CS36</f>
        <v>0</v>
      </c>
      <c r="CU35" s="1">
        <f>+'IRS - INF – XCCY précédent'!CT36</f>
        <v>0</v>
      </c>
      <c r="CV35" s="1">
        <f>+'IRS - INF – XCCY précédent'!CU36</f>
        <v>0</v>
      </c>
      <c r="CW35" s="1">
        <f>+'IRS - INF – XCCY précédent'!CV36</f>
        <v>0</v>
      </c>
      <c r="CX35" s="1">
        <f>+'IRS - INF – XCCY précédent'!CW36</f>
        <v>0</v>
      </c>
      <c r="CY35" s="1">
        <f>+'IRS - INF – XCCY précédent'!CX36</f>
        <v>0</v>
      </c>
      <c r="CZ35" s="1">
        <f>+'IRS - INF – XCCY précédent'!CY36</f>
        <v>0</v>
      </c>
      <c r="DA35" s="1">
        <f>+'IRS - INF – XCCY précédent'!CZ36</f>
        <v>0</v>
      </c>
      <c r="DB35" s="1">
        <f>+'IRS - INF – XCCY précédent'!DA36</f>
        <v>0</v>
      </c>
      <c r="DC35" s="1">
        <f>+'IRS - INF – XCCY précédent'!DB36</f>
        <v>0</v>
      </c>
      <c r="DD35" s="1">
        <f>+'IRS - INF – XCCY précédent'!DC36</f>
        <v>0</v>
      </c>
      <c r="DE35" s="1">
        <f>+'IRS - INF – XCCY précédent'!DD36</f>
        <v>0</v>
      </c>
      <c r="DF35" s="1">
        <f>+'IRS - INF – XCCY précédent'!DE36</f>
        <v>0</v>
      </c>
    </row>
    <row r="36" spans="1:110" x14ac:dyDescent="0.2">
      <c r="A36" s="56" t="e">
        <f>+INDEX('analyse trimestrielle'!$A$8:$A$1048576,MATCH('IFT précédent'!B36,'analyse trimestrielle'!$A$8:$A$1048576,0))</f>
        <v>#N/A</v>
      </c>
      <c r="B36" s="1">
        <f>+'IRS - INF – XCCY précédent'!A37</f>
        <v>0</v>
      </c>
      <c r="C36" s="1">
        <f>+'IRS - INF – XCCY précédent'!B37</f>
        <v>0</v>
      </c>
      <c r="D36" s="1">
        <f>+'IRS - INF – XCCY précédent'!C37</f>
        <v>0</v>
      </c>
      <c r="E36" s="1">
        <f>+'IRS - INF – XCCY précédent'!D37</f>
        <v>0</v>
      </c>
      <c r="F36" s="1">
        <f>+'IRS - INF – XCCY précédent'!E37</f>
        <v>0</v>
      </c>
      <c r="G36" s="1">
        <f>+'IRS - INF – XCCY précédent'!F37</f>
        <v>0</v>
      </c>
      <c r="H36" s="1">
        <f>+'IRS - INF – XCCY précédent'!G37</f>
        <v>0</v>
      </c>
      <c r="I36" s="1">
        <f>+'IRS - INF – XCCY précédent'!H37</f>
        <v>0</v>
      </c>
      <c r="J36" s="1">
        <f>+'IRS - INF – XCCY précédent'!I37</f>
        <v>0</v>
      </c>
      <c r="K36" s="1">
        <f>+'IRS - INF – XCCY précédent'!J37</f>
        <v>0</v>
      </c>
      <c r="L36" s="1">
        <f>+'IRS - INF – XCCY précédent'!K37</f>
        <v>0</v>
      </c>
      <c r="M36" s="1">
        <f>+'IRS - INF – XCCY précédent'!L37</f>
        <v>0</v>
      </c>
      <c r="N36" s="1">
        <f>+'IRS - INF – XCCY précédent'!M37</f>
        <v>0</v>
      </c>
      <c r="O36" s="1">
        <f>+'IRS - INF – XCCY précédent'!N37</f>
        <v>0</v>
      </c>
      <c r="P36" s="1">
        <f>+'IRS - INF – XCCY précédent'!O37</f>
        <v>0</v>
      </c>
      <c r="Q36" s="1">
        <f>+'IRS - INF – XCCY précédent'!P37</f>
        <v>0</v>
      </c>
      <c r="R36" s="1">
        <f>+'IRS - INF – XCCY précédent'!Q37</f>
        <v>0</v>
      </c>
      <c r="S36" s="1">
        <f>+'IRS - INF – XCCY précédent'!R37</f>
        <v>0</v>
      </c>
      <c r="T36" s="1">
        <f>+'IRS - INF – XCCY précédent'!S37</f>
        <v>0</v>
      </c>
      <c r="U36" s="1">
        <f>+'IRS - INF – XCCY précédent'!T37</f>
        <v>0</v>
      </c>
      <c r="V36" s="1">
        <f>+'IRS - INF – XCCY précédent'!U37</f>
        <v>0</v>
      </c>
      <c r="W36" s="1">
        <f>+'IRS - INF – XCCY précédent'!V37</f>
        <v>0</v>
      </c>
      <c r="X36" s="1">
        <f>+'IRS - INF – XCCY précédent'!W37</f>
        <v>0</v>
      </c>
      <c r="Y36" s="1">
        <f>+'IRS - INF – XCCY précédent'!X37</f>
        <v>0</v>
      </c>
      <c r="Z36" s="1">
        <f>+'IRS - INF – XCCY précédent'!Y37</f>
        <v>0</v>
      </c>
      <c r="AA36" s="1">
        <f>+'IRS - INF – XCCY précédent'!Z37</f>
        <v>0</v>
      </c>
      <c r="AB36" s="1">
        <f>+'IRS - INF – XCCY précédent'!AA37</f>
        <v>0</v>
      </c>
      <c r="AC36" s="1">
        <f>+'IRS - INF – XCCY précédent'!AB37</f>
        <v>0</v>
      </c>
      <c r="AD36" s="1">
        <f>+'IRS - INF – XCCY précédent'!AC37</f>
        <v>0</v>
      </c>
      <c r="AE36" s="1">
        <f>+'IRS - INF – XCCY précédent'!AD37</f>
        <v>0</v>
      </c>
      <c r="AF36" s="1">
        <f>+'IRS - INF – XCCY précédent'!AE37</f>
        <v>0</v>
      </c>
      <c r="AG36" s="1">
        <f>+'IRS - INF – XCCY précédent'!AF37</f>
        <v>0</v>
      </c>
      <c r="AH36" s="1">
        <f>+'IRS - INF – XCCY précédent'!AG37</f>
        <v>0</v>
      </c>
      <c r="AI36" s="1">
        <f>+'IRS - INF – XCCY précédent'!AH37</f>
        <v>0</v>
      </c>
      <c r="AJ36" s="1">
        <f>+'IRS - INF – XCCY précédent'!AI37</f>
        <v>0</v>
      </c>
      <c r="AK36" s="1">
        <f>+'IRS - INF – XCCY précédent'!AJ37</f>
        <v>0</v>
      </c>
      <c r="AL36" s="1">
        <f>+'IRS - INF – XCCY précédent'!AK37</f>
        <v>0</v>
      </c>
      <c r="AM36" s="1">
        <f>+'IRS - INF – XCCY précédent'!AL37</f>
        <v>0</v>
      </c>
      <c r="AN36" s="1">
        <f>+'IRS - INF – XCCY précédent'!AM37</f>
        <v>0</v>
      </c>
      <c r="AO36" s="1">
        <f>+'IRS - INF – XCCY précédent'!AN37</f>
        <v>0</v>
      </c>
      <c r="AP36" s="1">
        <f>+'IRS - INF – XCCY précédent'!AO37</f>
        <v>0</v>
      </c>
      <c r="AQ36" s="1">
        <f>+'IRS - INF – XCCY précédent'!AP37</f>
        <v>0</v>
      </c>
      <c r="AR36" s="1">
        <f>+'IRS - INF – XCCY précédent'!AQ37</f>
        <v>0</v>
      </c>
      <c r="AS36" s="1">
        <f>+'IRS - INF – XCCY précédent'!AR37</f>
        <v>0</v>
      </c>
      <c r="AT36" s="1">
        <f>+'IRS - INF – XCCY précédent'!AS37</f>
        <v>0</v>
      </c>
      <c r="AU36" s="1">
        <f>+'IRS - INF – XCCY précédent'!AT37</f>
        <v>0</v>
      </c>
      <c r="AV36" s="1">
        <f>+'IRS - INF – XCCY précédent'!AU37</f>
        <v>0</v>
      </c>
      <c r="AW36" s="1">
        <f>+'IRS - INF – XCCY précédent'!AV37</f>
        <v>0</v>
      </c>
      <c r="AX36" s="1">
        <f>+'IRS - INF – XCCY précédent'!AW37</f>
        <v>0</v>
      </c>
      <c r="AY36" s="1">
        <f>+'IRS - INF – XCCY précédent'!AX37</f>
        <v>0</v>
      </c>
      <c r="AZ36" s="1">
        <f>+'IRS - INF – XCCY précédent'!AY37</f>
        <v>0</v>
      </c>
      <c r="BA36" s="1">
        <f>+'IRS - INF – XCCY précédent'!AZ37</f>
        <v>0</v>
      </c>
      <c r="BB36" s="1">
        <f>+'IRS - INF – XCCY précédent'!BA37</f>
        <v>0</v>
      </c>
      <c r="BC36" s="1">
        <f>+'IRS - INF – XCCY précédent'!BB37</f>
        <v>0</v>
      </c>
      <c r="BD36" s="1">
        <f>+'IRS - INF – XCCY précédent'!BC37</f>
        <v>0</v>
      </c>
      <c r="BE36" s="1">
        <f>+'IRS - INF – XCCY précédent'!BD37</f>
        <v>0</v>
      </c>
      <c r="BF36" s="1">
        <f>+'IRS - INF – XCCY précédent'!BE37</f>
        <v>0</v>
      </c>
      <c r="BG36" s="1">
        <f>+'IRS - INF – XCCY précédent'!BF37</f>
        <v>0</v>
      </c>
      <c r="BH36" s="1">
        <f>+'IRS - INF – XCCY précédent'!BG37</f>
        <v>0</v>
      </c>
      <c r="BI36" s="1">
        <f>+'IRS - INF – XCCY précédent'!BH37</f>
        <v>0</v>
      </c>
      <c r="BJ36" s="1">
        <f>+'IRS - INF – XCCY précédent'!BI37</f>
        <v>0</v>
      </c>
      <c r="BK36" s="1">
        <f>+'IRS - INF – XCCY précédent'!BJ37</f>
        <v>0</v>
      </c>
      <c r="BL36" s="1">
        <f>+'IRS - INF – XCCY précédent'!BK37</f>
        <v>0</v>
      </c>
      <c r="BM36" s="1">
        <f>+'IRS - INF – XCCY précédent'!BL37</f>
        <v>0</v>
      </c>
      <c r="BN36" s="1">
        <f>+'IRS - INF – XCCY précédent'!BM37</f>
        <v>0</v>
      </c>
      <c r="BO36" s="1">
        <f>+'IRS - INF – XCCY précédent'!BN37</f>
        <v>0</v>
      </c>
      <c r="BP36" s="1">
        <f>+'IRS - INF – XCCY précédent'!BO37</f>
        <v>0</v>
      </c>
      <c r="BQ36" s="1">
        <f>+'IRS - INF – XCCY précédent'!BP37</f>
        <v>0</v>
      </c>
      <c r="BR36" s="1">
        <f>+'IRS - INF – XCCY précédent'!BQ37</f>
        <v>0</v>
      </c>
      <c r="BS36" s="1">
        <f>+'IRS - INF – XCCY précédent'!BR37</f>
        <v>0</v>
      </c>
      <c r="BT36" s="1">
        <f>+'IRS - INF – XCCY précédent'!BS37</f>
        <v>0</v>
      </c>
      <c r="BU36" s="1">
        <f>+'IRS - INF – XCCY précédent'!BT37</f>
        <v>0</v>
      </c>
      <c r="BV36" s="1">
        <f>+'IRS - INF – XCCY précédent'!BU37</f>
        <v>0</v>
      </c>
      <c r="BW36" s="1">
        <f>+'IRS - INF – XCCY précédent'!BV37</f>
        <v>0</v>
      </c>
      <c r="BX36" s="1">
        <f>+'IRS - INF – XCCY précédent'!BW37</f>
        <v>0</v>
      </c>
      <c r="BY36" s="1">
        <f>+'IRS - INF – XCCY précédent'!BX37</f>
        <v>0</v>
      </c>
      <c r="BZ36" s="1">
        <f>+'IRS - INF – XCCY précédent'!BY37</f>
        <v>0</v>
      </c>
      <c r="CA36" s="1">
        <f>+'IRS - INF – XCCY précédent'!BZ37</f>
        <v>0</v>
      </c>
      <c r="CB36" s="1">
        <f>+'IRS - INF – XCCY précédent'!CA37</f>
        <v>0</v>
      </c>
      <c r="CC36" s="1">
        <f>+'IRS - INF – XCCY précédent'!CB37</f>
        <v>0</v>
      </c>
      <c r="CD36" s="1">
        <f>+'IRS - INF – XCCY précédent'!CC37</f>
        <v>0</v>
      </c>
      <c r="CE36" s="1">
        <f>+'IRS - INF – XCCY précédent'!CD37</f>
        <v>0</v>
      </c>
      <c r="CF36" s="1">
        <f>+'IRS - INF – XCCY précédent'!CE37</f>
        <v>0</v>
      </c>
      <c r="CG36" s="1">
        <f>+'IRS - INF – XCCY précédent'!CF37</f>
        <v>0</v>
      </c>
      <c r="CH36" s="1">
        <f>+'IRS - INF – XCCY précédent'!CG37</f>
        <v>0</v>
      </c>
      <c r="CI36" s="1">
        <f>+'IRS - INF – XCCY précédent'!CH37</f>
        <v>0</v>
      </c>
      <c r="CJ36" s="1">
        <f>+'IRS - INF – XCCY précédent'!CI37</f>
        <v>0</v>
      </c>
      <c r="CK36" s="1">
        <f>+'IRS - INF – XCCY précédent'!CJ37</f>
        <v>0</v>
      </c>
      <c r="CL36" s="1">
        <f>+'IRS - INF – XCCY précédent'!CK37</f>
        <v>0</v>
      </c>
      <c r="CM36" s="1">
        <f>+'IRS - INF – XCCY précédent'!CL37</f>
        <v>0</v>
      </c>
      <c r="CN36" s="1">
        <f>+'IRS - INF – XCCY précédent'!CM37</f>
        <v>0</v>
      </c>
      <c r="CO36" s="1">
        <f>+'IRS - INF – XCCY précédent'!CN37</f>
        <v>0</v>
      </c>
      <c r="CP36" s="1">
        <f>+'IRS - INF – XCCY précédent'!CO37</f>
        <v>0</v>
      </c>
      <c r="CQ36" s="1">
        <f>+'IRS - INF – XCCY précédent'!CP37</f>
        <v>0</v>
      </c>
      <c r="CR36" s="1">
        <f>+'IRS - INF – XCCY précédent'!CQ37</f>
        <v>0</v>
      </c>
      <c r="CS36" s="1">
        <f>+'IRS - INF – XCCY précédent'!CR37</f>
        <v>0</v>
      </c>
      <c r="CT36" s="1">
        <f>+'IRS - INF – XCCY précédent'!CS37</f>
        <v>0</v>
      </c>
      <c r="CU36" s="1">
        <f>+'IRS - INF – XCCY précédent'!CT37</f>
        <v>0</v>
      </c>
      <c r="CV36" s="1">
        <f>+'IRS - INF – XCCY précédent'!CU37</f>
        <v>0</v>
      </c>
      <c r="CW36" s="1">
        <f>+'IRS - INF – XCCY précédent'!CV37</f>
        <v>0</v>
      </c>
      <c r="CX36" s="1">
        <f>+'IRS - INF – XCCY précédent'!CW37</f>
        <v>0</v>
      </c>
      <c r="CY36" s="1">
        <f>+'IRS - INF – XCCY précédent'!CX37</f>
        <v>0</v>
      </c>
      <c r="CZ36" s="1">
        <f>+'IRS - INF – XCCY précédent'!CY37</f>
        <v>0</v>
      </c>
      <c r="DA36" s="1">
        <f>+'IRS - INF – XCCY précédent'!CZ37</f>
        <v>0</v>
      </c>
      <c r="DB36" s="1">
        <f>+'IRS - INF – XCCY précédent'!DA37</f>
        <v>0</v>
      </c>
      <c r="DC36" s="1">
        <f>+'IRS - INF – XCCY précédent'!DB37</f>
        <v>0</v>
      </c>
      <c r="DD36" s="1">
        <f>+'IRS - INF – XCCY précédent'!DC37</f>
        <v>0</v>
      </c>
      <c r="DE36" s="1">
        <f>+'IRS - INF – XCCY précédent'!DD37</f>
        <v>0</v>
      </c>
      <c r="DF36" s="1">
        <f>+'IRS - INF – XCCY précédent'!DE37</f>
        <v>0</v>
      </c>
    </row>
    <row r="37" spans="1:110" x14ac:dyDescent="0.2">
      <c r="A37" s="56" t="e">
        <f>+INDEX('analyse trimestrielle'!$A$8:$A$1048576,MATCH('IFT précédent'!B37,'analyse trimestrielle'!$A$8:$A$1048576,0))</f>
        <v>#N/A</v>
      </c>
      <c r="B37" s="1">
        <f>+'IRS - INF – XCCY précédent'!A38</f>
        <v>0</v>
      </c>
      <c r="C37" s="1">
        <f>+'IRS - INF – XCCY précédent'!B38</f>
        <v>0</v>
      </c>
      <c r="D37" s="1">
        <f>+'IRS - INF – XCCY précédent'!C38</f>
        <v>0</v>
      </c>
      <c r="E37" s="1">
        <f>+'IRS - INF – XCCY précédent'!D38</f>
        <v>0</v>
      </c>
      <c r="F37" s="1">
        <f>+'IRS - INF – XCCY précédent'!E38</f>
        <v>0</v>
      </c>
      <c r="G37" s="1">
        <f>+'IRS - INF – XCCY précédent'!F38</f>
        <v>0</v>
      </c>
      <c r="H37" s="1">
        <f>+'IRS - INF – XCCY précédent'!G38</f>
        <v>0</v>
      </c>
      <c r="I37" s="1">
        <f>+'IRS - INF – XCCY précédent'!H38</f>
        <v>0</v>
      </c>
      <c r="J37" s="1">
        <f>+'IRS - INF – XCCY précédent'!I38</f>
        <v>0</v>
      </c>
      <c r="K37" s="1">
        <f>+'IRS - INF – XCCY précédent'!J38</f>
        <v>0</v>
      </c>
      <c r="L37" s="1">
        <f>+'IRS - INF – XCCY précédent'!K38</f>
        <v>0</v>
      </c>
      <c r="M37" s="1">
        <f>+'IRS - INF – XCCY précédent'!L38</f>
        <v>0</v>
      </c>
      <c r="N37" s="1">
        <f>+'IRS - INF – XCCY précédent'!M38</f>
        <v>0</v>
      </c>
      <c r="O37" s="1">
        <f>+'IRS - INF – XCCY précédent'!N38</f>
        <v>0</v>
      </c>
      <c r="P37" s="1">
        <f>+'IRS - INF – XCCY précédent'!O38</f>
        <v>0</v>
      </c>
      <c r="Q37" s="1">
        <f>+'IRS - INF – XCCY précédent'!P38</f>
        <v>0</v>
      </c>
      <c r="R37" s="1">
        <f>+'IRS - INF – XCCY précédent'!Q38</f>
        <v>0</v>
      </c>
      <c r="S37" s="1">
        <f>+'IRS - INF – XCCY précédent'!R38</f>
        <v>0</v>
      </c>
      <c r="T37" s="1">
        <f>+'IRS - INF – XCCY précédent'!S38</f>
        <v>0</v>
      </c>
      <c r="U37" s="1">
        <f>+'IRS - INF – XCCY précédent'!T38</f>
        <v>0</v>
      </c>
      <c r="V37" s="1">
        <f>+'IRS - INF – XCCY précédent'!U38</f>
        <v>0</v>
      </c>
      <c r="W37" s="1">
        <f>+'IRS - INF – XCCY précédent'!V38</f>
        <v>0</v>
      </c>
      <c r="X37" s="1">
        <f>+'IRS - INF – XCCY précédent'!W38</f>
        <v>0</v>
      </c>
      <c r="Y37" s="1">
        <f>+'IRS - INF – XCCY précédent'!X38</f>
        <v>0</v>
      </c>
      <c r="Z37" s="1">
        <f>+'IRS - INF – XCCY précédent'!Y38</f>
        <v>0</v>
      </c>
      <c r="AA37" s="1">
        <f>+'IRS - INF – XCCY précédent'!Z38</f>
        <v>0</v>
      </c>
      <c r="AB37" s="1">
        <f>+'IRS - INF – XCCY précédent'!AA38</f>
        <v>0</v>
      </c>
      <c r="AC37" s="1">
        <f>+'IRS - INF – XCCY précédent'!AB38</f>
        <v>0</v>
      </c>
      <c r="AD37" s="1">
        <f>+'IRS - INF – XCCY précédent'!AC38</f>
        <v>0</v>
      </c>
      <c r="AE37" s="1">
        <f>+'IRS - INF – XCCY précédent'!AD38</f>
        <v>0</v>
      </c>
      <c r="AF37" s="1">
        <f>+'IRS - INF – XCCY précédent'!AE38</f>
        <v>0</v>
      </c>
      <c r="AG37" s="1">
        <f>+'IRS - INF – XCCY précédent'!AF38</f>
        <v>0</v>
      </c>
      <c r="AH37" s="1">
        <f>+'IRS - INF – XCCY précédent'!AG38</f>
        <v>0</v>
      </c>
      <c r="AI37" s="1">
        <f>+'IRS - INF – XCCY précédent'!AH38</f>
        <v>0</v>
      </c>
      <c r="AJ37" s="1">
        <f>+'IRS - INF – XCCY précédent'!AI38</f>
        <v>0</v>
      </c>
      <c r="AK37" s="1">
        <f>+'IRS - INF – XCCY précédent'!AJ38</f>
        <v>0</v>
      </c>
      <c r="AL37" s="1">
        <f>+'IRS - INF – XCCY précédent'!AK38</f>
        <v>0</v>
      </c>
      <c r="AM37" s="1">
        <f>+'IRS - INF – XCCY précédent'!AL38</f>
        <v>0</v>
      </c>
      <c r="AN37" s="1">
        <f>+'IRS - INF – XCCY précédent'!AM38</f>
        <v>0</v>
      </c>
      <c r="AO37" s="1">
        <f>+'IRS - INF – XCCY précédent'!AN38</f>
        <v>0</v>
      </c>
      <c r="AP37" s="1">
        <f>+'IRS - INF – XCCY précédent'!AO38</f>
        <v>0</v>
      </c>
      <c r="AQ37" s="1">
        <f>+'IRS - INF – XCCY précédent'!AP38</f>
        <v>0</v>
      </c>
      <c r="AR37" s="1">
        <f>+'IRS - INF – XCCY précédent'!AQ38</f>
        <v>0</v>
      </c>
      <c r="AS37" s="1">
        <f>+'IRS - INF – XCCY précédent'!AR38</f>
        <v>0</v>
      </c>
      <c r="AT37" s="1">
        <f>+'IRS - INF – XCCY précédent'!AS38</f>
        <v>0</v>
      </c>
      <c r="AU37" s="1">
        <f>+'IRS - INF – XCCY précédent'!AT38</f>
        <v>0</v>
      </c>
      <c r="AV37" s="1">
        <f>+'IRS - INF – XCCY précédent'!AU38</f>
        <v>0</v>
      </c>
      <c r="AW37" s="1">
        <f>+'IRS - INF – XCCY précédent'!AV38</f>
        <v>0</v>
      </c>
      <c r="AX37" s="1">
        <f>+'IRS - INF – XCCY précédent'!AW38</f>
        <v>0</v>
      </c>
      <c r="AY37" s="1">
        <f>+'IRS - INF – XCCY précédent'!AX38</f>
        <v>0</v>
      </c>
      <c r="AZ37" s="1">
        <f>+'IRS - INF – XCCY précédent'!AY38</f>
        <v>0</v>
      </c>
      <c r="BA37" s="1">
        <f>+'IRS - INF – XCCY précédent'!AZ38</f>
        <v>0</v>
      </c>
      <c r="BB37" s="1">
        <f>+'IRS - INF – XCCY précédent'!BA38</f>
        <v>0</v>
      </c>
      <c r="BC37" s="1">
        <f>+'IRS - INF – XCCY précédent'!BB38</f>
        <v>0</v>
      </c>
      <c r="BD37" s="1">
        <f>+'IRS - INF – XCCY précédent'!BC38</f>
        <v>0</v>
      </c>
      <c r="BE37" s="1">
        <f>+'IRS - INF – XCCY précédent'!BD38</f>
        <v>0</v>
      </c>
      <c r="BF37" s="1">
        <f>+'IRS - INF – XCCY précédent'!BE38</f>
        <v>0</v>
      </c>
      <c r="BG37" s="1">
        <f>+'IRS - INF – XCCY précédent'!BF38</f>
        <v>0</v>
      </c>
      <c r="BH37" s="1">
        <f>+'IRS - INF – XCCY précédent'!BG38</f>
        <v>0</v>
      </c>
      <c r="BI37" s="1">
        <f>+'IRS - INF – XCCY précédent'!BH38</f>
        <v>0</v>
      </c>
      <c r="BJ37" s="1">
        <f>+'IRS - INF – XCCY précédent'!BI38</f>
        <v>0</v>
      </c>
      <c r="BK37" s="1">
        <f>+'IRS - INF – XCCY précédent'!BJ38</f>
        <v>0</v>
      </c>
      <c r="BL37" s="1">
        <f>+'IRS - INF – XCCY précédent'!BK38</f>
        <v>0</v>
      </c>
      <c r="BM37" s="1">
        <f>+'IRS - INF – XCCY précédent'!BL38</f>
        <v>0</v>
      </c>
      <c r="BN37" s="1">
        <f>+'IRS - INF – XCCY précédent'!BM38</f>
        <v>0</v>
      </c>
      <c r="BO37" s="1">
        <f>+'IRS - INF – XCCY précédent'!BN38</f>
        <v>0</v>
      </c>
      <c r="BP37" s="1">
        <f>+'IRS - INF – XCCY précédent'!BO38</f>
        <v>0</v>
      </c>
      <c r="BQ37" s="1">
        <f>+'IRS - INF – XCCY précédent'!BP38</f>
        <v>0</v>
      </c>
      <c r="BR37" s="1">
        <f>+'IRS - INF – XCCY précédent'!BQ38</f>
        <v>0</v>
      </c>
      <c r="BS37" s="1">
        <f>+'IRS - INF – XCCY précédent'!BR38</f>
        <v>0</v>
      </c>
      <c r="BT37" s="1">
        <f>+'IRS - INF – XCCY précédent'!BS38</f>
        <v>0</v>
      </c>
      <c r="BU37" s="1">
        <f>+'IRS - INF – XCCY précédent'!BT38</f>
        <v>0</v>
      </c>
      <c r="BV37" s="1">
        <f>+'IRS - INF – XCCY précédent'!BU38</f>
        <v>0</v>
      </c>
      <c r="BW37" s="1">
        <f>+'IRS - INF – XCCY précédent'!BV38</f>
        <v>0</v>
      </c>
      <c r="BX37" s="1">
        <f>+'IRS - INF – XCCY précédent'!BW38</f>
        <v>0</v>
      </c>
      <c r="BY37" s="1">
        <f>+'IRS - INF – XCCY précédent'!BX38</f>
        <v>0</v>
      </c>
      <c r="BZ37" s="1">
        <f>+'IRS - INF – XCCY précédent'!BY38</f>
        <v>0</v>
      </c>
      <c r="CA37" s="1">
        <f>+'IRS - INF – XCCY précédent'!BZ38</f>
        <v>0</v>
      </c>
      <c r="CB37" s="1">
        <f>+'IRS - INF – XCCY précédent'!CA38</f>
        <v>0</v>
      </c>
      <c r="CC37" s="1">
        <f>+'IRS - INF – XCCY précédent'!CB38</f>
        <v>0</v>
      </c>
      <c r="CD37" s="1">
        <f>+'IRS - INF – XCCY précédent'!CC38</f>
        <v>0</v>
      </c>
      <c r="CE37" s="1">
        <f>+'IRS - INF – XCCY précédent'!CD38</f>
        <v>0</v>
      </c>
      <c r="CF37" s="1">
        <f>+'IRS - INF – XCCY précédent'!CE38</f>
        <v>0</v>
      </c>
      <c r="CG37" s="1">
        <f>+'IRS - INF – XCCY précédent'!CF38</f>
        <v>0</v>
      </c>
      <c r="CH37" s="1">
        <f>+'IRS - INF – XCCY précédent'!CG38</f>
        <v>0</v>
      </c>
      <c r="CI37" s="1">
        <f>+'IRS - INF – XCCY précédent'!CH38</f>
        <v>0</v>
      </c>
      <c r="CJ37" s="1">
        <f>+'IRS - INF – XCCY précédent'!CI38</f>
        <v>0</v>
      </c>
      <c r="CK37" s="1">
        <f>+'IRS - INF – XCCY précédent'!CJ38</f>
        <v>0</v>
      </c>
      <c r="CL37" s="1">
        <f>+'IRS - INF – XCCY précédent'!CK38</f>
        <v>0</v>
      </c>
      <c r="CM37" s="1">
        <f>+'IRS - INF – XCCY précédent'!CL38</f>
        <v>0</v>
      </c>
      <c r="CN37" s="1">
        <f>+'IRS - INF – XCCY précédent'!CM38</f>
        <v>0</v>
      </c>
      <c r="CO37" s="1">
        <f>+'IRS - INF – XCCY précédent'!CN38</f>
        <v>0</v>
      </c>
      <c r="CP37" s="1">
        <f>+'IRS - INF – XCCY précédent'!CO38</f>
        <v>0</v>
      </c>
      <c r="CQ37" s="1">
        <f>+'IRS - INF – XCCY précédent'!CP38</f>
        <v>0</v>
      </c>
      <c r="CR37" s="1">
        <f>+'IRS - INF – XCCY précédent'!CQ38</f>
        <v>0</v>
      </c>
      <c r="CS37" s="1">
        <f>+'IRS - INF – XCCY précédent'!CR38</f>
        <v>0</v>
      </c>
      <c r="CT37" s="1">
        <f>+'IRS - INF – XCCY précédent'!CS38</f>
        <v>0</v>
      </c>
      <c r="CU37" s="1">
        <f>+'IRS - INF – XCCY précédent'!CT38</f>
        <v>0</v>
      </c>
      <c r="CV37" s="1">
        <f>+'IRS - INF – XCCY précédent'!CU38</f>
        <v>0</v>
      </c>
      <c r="CW37" s="1">
        <f>+'IRS - INF – XCCY précédent'!CV38</f>
        <v>0</v>
      </c>
      <c r="CX37" s="1">
        <f>+'IRS - INF – XCCY précédent'!CW38</f>
        <v>0</v>
      </c>
      <c r="CY37" s="1">
        <f>+'IRS - INF – XCCY précédent'!CX38</f>
        <v>0</v>
      </c>
      <c r="CZ37" s="1">
        <f>+'IRS - INF – XCCY précédent'!CY38</f>
        <v>0</v>
      </c>
      <c r="DA37" s="1">
        <f>+'IRS - INF – XCCY précédent'!CZ38</f>
        <v>0</v>
      </c>
      <c r="DB37" s="1">
        <f>+'IRS - INF – XCCY précédent'!DA38</f>
        <v>0</v>
      </c>
      <c r="DC37" s="1">
        <f>+'IRS - INF – XCCY précédent'!DB38</f>
        <v>0</v>
      </c>
      <c r="DD37" s="1">
        <f>+'IRS - INF – XCCY précédent'!DC38</f>
        <v>0</v>
      </c>
      <c r="DE37" s="1">
        <f>+'IRS - INF – XCCY précédent'!DD38</f>
        <v>0</v>
      </c>
      <c r="DF37" s="1">
        <f>+'IRS - INF – XCCY précédent'!DE38</f>
        <v>0</v>
      </c>
    </row>
    <row r="38" spans="1:110" x14ac:dyDescent="0.2">
      <c r="A38" s="56" t="e">
        <f>+INDEX('analyse trimestrielle'!$A$8:$A$1048576,MATCH('IFT précédent'!B38,'analyse trimestrielle'!$A$8:$A$1048576,0))</f>
        <v>#N/A</v>
      </c>
      <c r="B38" s="1">
        <f>+'IRS - INF – XCCY précédent'!A39</f>
        <v>0</v>
      </c>
      <c r="C38" s="1">
        <f>+'IRS - INF – XCCY précédent'!B39</f>
        <v>0</v>
      </c>
      <c r="D38" s="1">
        <f>+'IRS - INF – XCCY précédent'!C39</f>
        <v>0</v>
      </c>
      <c r="E38" s="1">
        <f>+'IRS - INF – XCCY précédent'!D39</f>
        <v>0</v>
      </c>
      <c r="F38" s="1">
        <f>+'IRS - INF – XCCY précédent'!E39</f>
        <v>0</v>
      </c>
      <c r="G38" s="1">
        <f>+'IRS - INF – XCCY précédent'!F39</f>
        <v>0</v>
      </c>
      <c r="H38" s="1">
        <f>+'IRS - INF – XCCY précédent'!G39</f>
        <v>0</v>
      </c>
      <c r="I38" s="1">
        <f>+'IRS - INF – XCCY précédent'!H39</f>
        <v>0</v>
      </c>
      <c r="J38" s="1">
        <f>+'IRS - INF – XCCY précédent'!I39</f>
        <v>0</v>
      </c>
      <c r="K38" s="1">
        <f>+'IRS - INF – XCCY précédent'!J39</f>
        <v>0</v>
      </c>
      <c r="L38" s="1">
        <f>+'IRS - INF – XCCY précédent'!K39</f>
        <v>0</v>
      </c>
      <c r="M38" s="1">
        <f>+'IRS - INF – XCCY précédent'!L39</f>
        <v>0</v>
      </c>
      <c r="N38" s="1">
        <f>+'IRS - INF – XCCY précédent'!M39</f>
        <v>0</v>
      </c>
      <c r="O38" s="1">
        <f>+'IRS - INF – XCCY précédent'!N39</f>
        <v>0</v>
      </c>
      <c r="P38" s="1">
        <f>+'IRS - INF – XCCY précédent'!O39</f>
        <v>0</v>
      </c>
      <c r="Q38" s="1">
        <f>+'IRS - INF – XCCY précédent'!P39</f>
        <v>0</v>
      </c>
      <c r="R38" s="1">
        <f>+'IRS - INF – XCCY précédent'!Q39</f>
        <v>0</v>
      </c>
      <c r="S38" s="1">
        <f>+'IRS - INF – XCCY précédent'!R39</f>
        <v>0</v>
      </c>
      <c r="T38" s="1">
        <f>+'IRS - INF – XCCY précédent'!S39</f>
        <v>0</v>
      </c>
      <c r="U38" s="1">
        <f>+'IRS - INF – XCCY précédent'!T39</f>
        <v>0</v>
      </c>
      <c r="V38" s="1">
        <f>+'IRS - INF – XCCY précédent'!U39</f>
        <v>0</v>
      </c>
      <c r="W38" s="1">
        <f>+'IRS - INF – XCCY précédent'!V39</f>
        <v>0</v>
      </c>
      <c r="X38" s="1">
        <f>+'IRS - INF – XCCY précédent'!W39</f>
        <v>0</v>
      </c>
      <c r="Y38" s="1">
        <f>+'IRS - INF – XCCY précédent'!X39</f>
        <v>0</v>
      </c>
      <c r="Z38" s="1">
        <f>+'IRS - INF – XCCY précédent'!Y39</f>
        <v>0</v>
      </c>
      <c r="AA38" s="1">
        <f>+'IRS - INF – XCCY précédent'!Z39</f>
        <v>0</v>
      </c>
      <c r="AB38" s="1">
        <f>+'IRS - INF – XCCY précédent'!AA39</f>
        <v>0</v>
      </c>
      <c r="AC38" s="1">
        <f>+'IRS - INF – XCCY précédent'!AB39</f>
        <v>0</v>
      </c>
      <c r="AD38" s="1">
        <f>+'IRS - INF – XCCY précédent'!AC39</f>
        <v>0</v>
      </c>
      <c r="AE38" s="1">
        <f>+'IRS - INF – XCCY précédent'!AD39</f>
        <v>0</v>
      </c>
      <c r="AF38" s="1">
        <f>+'IRS - INF – XCCY précédent'!AE39</f>
        <v>0</v>
      </c>
      <c r="AG38" s="1">
        <f>+'IRS - INF – XCCY précédent'!AF39</f>
        <v>0</v>
      </c>
      <c r="AH38" s="1">
        <f>+'IRS - INF – XCCY précédent'!AG39</f>
        <v>0</v>
      </c>
      <c r="AI38" s="1">
        <f>+'IRS - INF – XCCY précédent'!AH39</f>
        <v>0</v>
      </c>
      <c r="AJ38" s="1">
        <f>+'IRS - INF – XCCY précédent'!AI39</f>
        <v>0</v>
      </c>
      <c r="AK38" s="1">
        <f>+'IRS - INF – XCCY précédent'!AJ39</f>
        <v>0</v>
      </c>
      <c r="AL38" s="1">
        <f>+'IRS - INF – XCCY précédent'!AK39</f>
        <v>0</v>
      </c>
      <c r="AM38" s="1">
        <f>+'IRS - INF – XCCY précédent'!AL39</f>
        <v>0</v>
      </c>
      <c r="AN38" s="1">
        <f>+'IRS - INF – XCCY précédent'!AM39</f>
        <v>0</v>
      </c>
      <c r="AO38" s="1">
        <f>+'IRS - INF – XCCY précédent'!AN39</f>
        <v>0</v>
      </c>
      <c r="AP38" s="1">
        <f>+'IRS - INF – XCCY précédent'!AO39</f>
        <v>0</v>
      </c>
      <c r="AQ38" s="1">
        <f>+'IRS - INF – XCCY précédent'!AP39</f>
        <v>0</v>
      </c>
      <c r="AR38" s="1">
        <f>+'IRS - INF – XCCY précédent'!AQ39</f>
        <v>0</v>
      </c>
      <c r="AS38" s="1">
        <f>+'IRS - INF – XCCY précédent'!AR39</f>
        <v>0</v>
      </c>
      <c r="AT38" s="1">
        <f>+'IRS - INF – XCCY précédent'!AS39</f>
        <v>0</v>
      </c>
      <c r="AU38" s="1">
        <f>+'IRS - INF – XCCY précédent'!AT39</f>
        <v>0</v>
      </c>
      <c r="AV38" s="1">
        <f>+'IRS - INF – XCCY précédent'!AU39</f>
        <v>0</v>
      </c>
      <c r="AW38" s="1">
        <f>+'IRS - INF – XCCY précédent'!AV39</f>
        <v>0</v>
      </c>
      <c r="AX38" s="1">
        <f>+'IRS - INF – XCCY précédent'!AW39</f>
        <v>0</v>
      </c>
      <c r="AY38" s="1">
        <f>+'IRS - INF – XCCY précédent'!AX39</f>
        <v>0</v>
      </c>
      <c r="AZ38" s="1">
        <f>+'IRS - INF – XCCY précédent'!AY39</f>
        <v>0</v>
      </c>
      <c r="BA38" s="1">
        <f>+'IRS - INF – XCCY précédent'!AZ39</f>
        <v>0</v>
      </c>
      <c r="BB38" s="1">
        <f>+'IRS - INF – XCCY précédent'!BA39</f>
        <v>0</v>
      </c>
      <c r="BC38" s="1">
        <f>+'IRS - INF – XCCY précédent'!BB39</f>
        <v>0</v>
      </c>
      <c r="BD38" s="1">
        <f>+'IRS - INF – XCCY précédent'!BC39</f>
        <v>0</v>
      </c>
      <c r="BE38" s="1">
        <f>+'IRS - INF – XCCY précédent'!BD39</f>
        <v>0</v>
      </c>
      <c r="BF38" s="1">
        <f>+'IRS - INF – XCCY précédent'!BE39</f>
        <v>0</v>
      </c>
      <c r="BG38" s="1">
        <f>+'IRS - INF – XCCY précédent'!BF39</f>
        <v>0</v>
      </c>
      <c r="BH38" s="1">
        <f>+'IRS - INF – XCCY précédent'!BG39</f>
        <v>0</v>
      </c>
      <c r="BI38" s="1">
        <f>+'IRS - INF – XCCY précédent'!BH39</f>
        <v>0</v>
      </c>
      <c r="BJ38" s="1">
        <f>+'IRS - INF – XCCY précédent'!BI39</f>
        <v>0</v>
      </c>
      <c r="BK38" s="1">
        <f>+'IRS - INF – XCCY précédent'!BJ39</f>
        <v>0</v>
      </c>
      <c r="BL38" s="1">
        <f>+'IRS - INF – XCCY précédent'!BK39</f>
        <v>0</v>
      </c>
      <c r="BM38" s="1">
        <f>+'IRS - INF – XCCY précédent'!BL39</f>
        <v>0</v>
      </c>
      <c r="BN38" s="1">
        <f>+'IRS - INF – XCCY précédent'!BM39</f>
        <v>0</v>
      </c>
      <c r="BO38" s="1">
        <f>+'IRS - INF – XCCY précédent'!BN39</f>
        <v>0</v>
      </c>
      <c r="BP38" s="1">
        <f>+'IRS - INF – XCCY précédent'!BO39</f>
        <v>0</v>
      </c>
      <c r="BQ38" s="1">
        <f>+'IRS - INF – XCCY précédent'!BP39</f>
        <v>0</v>
      </c>
      <c r="BR38" s="1">
        <f>+'IRS - INF – XCCY précédent'!BQ39</f>
        <v>0</v>
      </c>
      <c r="BS38" s="1">
        <f>+'IRS - INF – XCCY précédent'!BR39</f>
        <v>0</v>
      </c>
      <c r="BT38" s="1">
        <f>+'IRS - INF – XCCY précédent'!BS39</f>
        <v>0</v>
      </c>
      <c r="BU38" s="1">
        <f>+'IRS - INF – XCCY précédent'!BT39</f>
        <v>0</v>
      </c>
      <c r="BV38" s="1">
        <f>+'IRS - INF – XCCY précédent'!BU39</f>
        <v>0</v>
      </c>
      <c r="BW38" s="1">
        <f>+'IRS - INF – XCCY précédent'!BV39</f>
        <v>0</v>
      </c>
      <c r="BX38" s="1">
        <f>+'IRS - INF – XCCY précédent'!BW39</f>
        <v>0</v>
      </c>
      <c r="BY38" s="1">
        <f>+'IRS - INF – XCCY précédent'!BX39</f>
        <v>0</v>
      </c>
      <c r="BZ38" s="1">
        <f>+'IRS - INF – XCCY précédent'!BY39</f>
        <v>0</v>
      </c>
      <c r="CA38" s="1">
        <f>+'IRS - INF – XCCY précédent'!BZ39</f>
        <v>0</v>
      </c>
      <c r="CB38" s="1">
        <f>+'IRS - INF – XCCY précédent'!CA39</f>
        <v>0</v>
      </c>
      <c r="CC38" s="1">
        <f>+'IRS - INF – XCCY précédent'!CB39</f>
        <v>0</v>
      </c>
      <c r="CD38" s="1">
        <f>+'IRS - INF – XCCY précédent'!CC39</f>
        <v>0</v>
      </c>
      <c r="CE38" s="1">
        <f>+'IRS - INF – XCCY précédent'!CD39</f>
        <v>0</v>
      </c>
      <c r="CF38" s="1">
        <f>+'IRS - INF – XCCY précédent'!CE39</f>
        <v>0</v>
      </c>
      <c r="CG38" s="1">
        <f>+'IRS - INF – XCCY précédent'!CF39</f>
        <v>0</v>
      </c>
      <c r="CH38" s="1">
        <f>+'IRS - INF – XCCY précédent'!CG39</f>
        <v>0</v>
      </c>
      <c r="CI38" s="1">
        <f>+'IRS - INF – XCCY précédent'!CH39</f>
        <v>0</v>
      </c>
      <c r="CJ38" s="1">
        <f>+'IRS - INF – XCCY précédent'!CI39</f>
        <v>0</v>
      </c>
      <c r="CK38" s="1">
        <f>+'IRS - INF – XCCY précédent'!CJ39</f>
        <v>0</v>
      </c>
      <c r="CL38" s="1">
        <f>+'IRS - INF – XCCY précédent'!CK39</f>
        <v>0</v>
      </c>
      <c r="CM38" s="1">
        <f>+'IRS - INF – XCCY précédent'!CL39</f>
        <v>0</v>
      </c>
      <c r="CN38" s="1">
        <f>+'IRS - INF – XCCY précédent'!CM39</f>
        <v>0</v>
      </c>
      <c r="CO38" s="1">
        <f>+'IRS - INF – XCCY précédent'!CN39</f>
        <v>0</v>
      </c>
      <c r="CP38" s="1">
        <f>+'IRS - INF – XCCY précédent'!CO39</f>
        <v>0</v>
      </c>
      <c r="CQ38" s="1">
        <f>+'IRS - INF – XCCY précédent'!CP39</f>
        <v>0</v>
      </c>
      <c r="CR38" s="1">
        <f>+'IRS - INF – XCCY précédent'!CQ39</f>
        <v>0</v>
      </c>
      <c r="CS38" s="1">
        <f>+'IRS - INF – XCCY précédent'!CR39</f>
        <v>0</v>
      </c>
      <c r="CT38" s="1">
        <f>+'IRS - INF – XCCY précédent'!CS39</f>
        <v>0</v>
      </c>
      <c r="CU38" s="1">
        <f>+'IRS - INF – XCCY précédent'!CT39</f>
        <v>0</v>
      </c>
      <c r="CV38" s="1">
        <f>+'IRS - INF – XCCY précédent'!CU39</f>
        <v>0</v>
      </c>
      <c r="CW38" s="1">
        <f>+'IRS - INF – XCCY précédent'!CV39</f>
        <v>0</v>
      </c>
      <c r="CX38" s="1">
        <f>+'IRS - INF – XCCY précédent'!CW39</f>
        <v>0</v>
      </c>
      <c r="CY38" s="1">
        <f>+'IRS - INF – XCCY précédent'!CX39</f>
        <v>0</v>
      </c>
      <c r="CZ38" s="1">
        <f>+'IRS - INF – XCCY précédent'!CY39</f>
        <v>0</v>
      </c>
      <c r="DA38" s="1">
        <f>+'IRS - INF – XCCY précédent'!CZ39</f>
        <v>0</v>
      </c>
      <c r="DB38" s="1">
        <f>+'IRS - INF – XCCY précédent'!DA39</f>
        <v>0</v>
      </c>
      <c r="DC38" s="1">
        <f>+'IRS - INF – XCCY précédent'!DB39</f>
        <v>0</v>
      </c>
      <c r="DD38" s="1">
        <f>+'IRS - INF – XCCY précédent'!DC39</f>
        <v>0</v>
      </c>
      <c r="DE38" s="1">
        <f>+'IRS - INF – XCCY précédent'!DD39</f>
        <v>0</v>
      </c>
      <c r="DF38" s="1">
        <f>+'IRS - INF – XCCY précédent'!DE39</f>
        <v>0</v>
      </c>
    </row>
    <row r="39" spans="1:110" x14ac:dyDescent="0.2">
      <c r="A39" s="56" t="e">
        <f>+INDEX('analyse trimestrielle'!$A$8:$A$1048576,MATCH('IFT précédent'!B39,'analyse trimestrielle'!$A$8:$A$1048576,0))</f>
        <v>#N/A</v>
      </c>
      <c r="B39" s="1">
        <f>+'IRS - INF – XCCY précédent'!A40</f>
        <v>0</v>
      </c>
      <c r="C39" s="1">
        <f>+'IRS - INF – XCCY précédent'!B40</f>
        <v>0</v>
      </c>
      <c r="D39" s="1">
        <f>+'IRS - INF – XCCY précédent'!C40</f>
        <v>0</v>
      </c>
      <c r="E39" s="1">
        <f>+'IRS - INF – XCCY précédent'!D40</f>
        <v>0</v>
      </c>
      <c r="F39" s="1">
        <f>+'IRS - INF – XCCY précédent'!E40</f>
        <v>0</v>
      </c>
      <c r="G39" s="1">
        <f>+'IRS - INF – XCCY précédent'!F40</f>
        <v>0</v>
      </c>
      <c r="H39" s="1">
        <f>+'IRS - INF – XCCY précédent'!G40</f>
        <v>0</v>
      </c>
      <c r="I39" s="1">
        <f>+'IRS - INF – XCCY précédent'!H40</f>
        <v>0</v>
      </c>
      <c r="J39" s="1">
        <f>+'IRS - INF – XCCY précédent'!I40</f>
        <v>0</v>
      </c>
      <c r="K39" s="1">
        <f>+'IRS - INF – XCCY précédent'!J40</f>
        <v>0</v>
      </c>
      <c r="L39" s="1">
        <f>+'IRS - INF – XCCY précédent'!K40</f>
        <v>0</v>
      </c>
      <c r="M39" s="1">
        <f>+'IRS - INF – XCCY précédent'!L40</f>
        <v>0</v>
      </c>
      <c r="N39" s="1">
        <f>+'IRS - INF – XCCY précédent'!M40</f>
        <v>0</v>
      </c>
      <c r="O39" s="1">
        <f>+'IRS - INF – XCCY précédent'!N40</f>
        <v>0</v>
      </c>
      <c r="P39" s="1">
        <f>+'IRS - INF – XCCY précédent'!O40</f>
        <v>0</v>
      </c>
      <c r="Q39" s="1">
        <f>+'IRS - INF – XCCY précédent'!P40</f>
        <v>0</v>
      </c>
      <c r="R39" s="1">
        <f>+'IRS - INF – XCCY précédent'!Q40</f>
        <v>0</v>
      </c>
      <c r="S39" s="1">
        <f>+'IRS - INF – XCCY précédent'!R40</f>
        <v>0</v>
      </c>
      <c r="T39" s="1">
        <f>+'IRS - INF – XCCY précédent'!S40</f>
        <v>0</v>
      </c>
      <c r="U39" s="1">
        <f>+'IRS - INF – XCCY précédent'!T40</f>
        <v>0</v>
      </c>
      <c r="V39" s="1">
        <f>+'IRS - INF – XCCY précédent'!U40</f>
        <v>0</v>
      </c>
      <c r="W39" s="1">
        <f>+'IRS - INF – XCCY précédent'!V40</f>
        <v>0</v>
      </c>
      <c r="X39" s="1">
        <f>+'IRS - INF – XCCY précédent'!W40</f>
        <v>0</v>
      </c>
      <c r="Y39" s="1">
        <f>+'IRS - INF – XCCY précédent'!X40</f>
        <v>0</v>
      </c>
      <c r="Z39" s="1">
        <f>+'IRS - INF – XCCY précédent'!Y40</f>
        <v>0</v>
      </c>
      <c r="AA39" s="1">
        <f>+'IRS - INF – XCCY précédent'!Z40</f>
        <v>0</v>
      </c>
      <c r="AB39" s="1">
        <f>+'IRS - INF – XCCY précédent'!AA40</f>
        <v>0</v>
      </c>
      <c r="AC39" s="1">
        <f>+'IRS - INF – XCCY précédent'!AB40</f>
        <v>0</v>
      </c>
      <c r="AD39" s="1">
        <f>+'IRS - INF – XCCY précédent'!AC40</f>
        <v>0</v>
      </c>
      <c r="AE39" s="1">
        <f>+'IRS - INF – XCCY précédent'!AD40</f>
        <v>0</v>
      </c>
      <c r="AF39" s="1">
        <f>+'IRS - INF – XCCY précédent'!AE40</f>
        <v>0</v>
      </c>
      <c r="AG39" s="1">
        <f>+'IRS - INF – XCCY précédent'!AF40</f>
        <v>0</v>
      </c>
      <c r="AH39" s="1">
        <f>+'IRS - INF – XCCY précédent'!AG40</f>
        <v>0</v>
      </c>
      <c r="AI39" s="1">
        <f>+'IRS - INF – XCCY précédent'!AH40</f>
        <v>0</v>
      </c>
      <c r="AJ39" s="1">
        <f>+'IRS - INF – XCCY précédent'!AI40</f>
        <v>0</v>
      </c>
      <c r="AK39" s="1">
        <f>+'IRS - INF – XCCY précédent'!AJ40</f>
        <v>0</v>
      </c>
      <c r="AL39" s="1">
        <f>+'IRS - INF – XCCY précédent'!AK40</f>
        <v>0</v>
      </c>
      <c r="AM39" s="1">
        <f>+'IRS - INF – XCCY précédent'!AL40</f>
        <v>0</v>
      </c>
      <c r="AN39" s="1">
        <f>+'IRS - INF – XCCY précédent'!AM40</f>
        <v>0</v>
      </c>
      <c r="AO39" s="1">
        <f>+'IRS - INF – XCCY précédent'!AN40</f>
        <v>0</v>
      </c>
      <c r="AP39" s="1">
        <f>+'IRS - INF – XCCY précédent'!AO40</f>
        <v>0</v>
      </c>
      <c r="AQ39" s="1">
        <f>+'IRS - INF – XCCY précédent'!AP40</f>
        <v>0</v>
      </c>
      <c r="AR39" s="1">
        <f>+'IRS - INF – XCCY précédent'!AQ40</f>
        <v>0</v>
      </c>
      <c r="AS39" s="1">
        <f>+'IRS - INF – XCCY précédent'!AR40</f>
        <v>0</v>
      </c>
      <c r="AT39" s="1">
        <f>+'IRS - INF – XCCY précédent'!AS40</f>
        <v>0</v>
      </c>
      <c r="AU39" s="1">
        <f>+'IRS - INF – XCCY précédent'!AT40</f>
        <v>0</v>
      </c>
      <c r="AV39" s="1">
        <f>+'IRS - INF – XCCY précédent'!AU40</f>
        <v>0</v>
      </c>
      <c r="AW39" s="1">
        <f>+'IRS - INF – XCCY précédent'!AV40</f>
        <v>0</v>
      </c>
      <c r="AX39" s="1">
        <f>+'IRS - INF – XCCY précédent'!AW40</f>
        <v>0</v>
      </c>
      <c r="AY39" s="1">
        <f>+'IRS - INF – XCCY précédent'!AX40</f>
        <v>0</v>
      </c>
      <c r="AZ39" s="1">
        <f>+'IRS - INF – XCCY précédent'!AY40</f>
        <v>0</v>
      </c>
      <c r="BA39" s="1">
        <f>+'IRS - INF – XCCY précédent'!AZ40</f>
        <v>0</v>
      </c>
      <c r="BB39" s="1">
        <f>+'IRS - INF – XCCY précédent'!BA40</f>
        <v>0</v>
      </c>
      <c r="BC39" s="1">
        <f>+'IRS - INF – XCCY précédent'!BB40</f>
        <v>0</v>
      </c>
      <c r="BD39" s="1">
        <f>+'IRS - INF – XCCY précédent'!BC40</f>
        <v>0</v>
      </c>
      <c r="BE39" s="1">
        <f>+'IRS - INF – XCCY précédent'!BD40</f>
        <v>0</v>
      </c>
      <c r="BF39" s="1">
        <f>+'IRS - INF – XCCY précédent'!BE40</f>
        <v>0</v>
      </c>
      <c r="BG39" s="1">
        <f>+'IRS - INF – XCCY précédent'!BF40</f>
        <v>0</v>
      </c>
      <c r="BH39" s="1">
        <f>+'IRS - INF – XCCY précédent'!BG40</f>
        <v>0</v>
      </c>
      <c r="BI39" s="1">
        <f>+'IRS - INF – XCCY précédent'!BH40</f>
        <v>0</v>
      </c>
      <c r="BJ39" s="1">
        <f>+'IRS - INF – XCCY précédent'!BI40</f>
        <v>0</v>
      </c>
      <c r="BK39" s="1">
        <f>+'IRS - INF – XCCY précédent'!BJ40</f>
        <v>0</v>
      </c>
      <c r="BL39" s="1">
        <f>+'IRS - INF – XCCY précédent'!BK40</f>
        <v>0</v>
      </c>
      <c r="BM39" s="1">
        <f>+'IRS - INF – XCCY précédent'!BL40</f>
        <v>0</v>
      </c>
      <c r="BN39" s="1">
        <f>+'IRS - INF – XCCY précédent'!BM40</f>
        <v>0</v>
      </c>
      <c r="BO39" s="1">
        <f>+'IRS - INF – XCCY précédent'!BN40</f>
        <v>0</v>
      </c>
      <c r="BP39" s="1">
        <f>+'IRS - INF – XCCY précédent'!BO40</f>
        <v>0</v>
      </c>
      <c r="BQ39" s="1">
        <f>+'IRS - INF – XCCY précédent'!BP40</f>
        <v>0</v>
      </c>
      <c r="BR39" s="1">
        <f>+'IRS - INF – XCCY précédent'!BQ40</f>
        <v>0</v>
      </c>
      <c r="BS39" s="1">
        <f>+'IRS - INF – XCCY précédent'!BR40</f>
        <v>0</v>
      </c>
      <c r="BT39" s="1">
        <f>+'IRS - INF – XCCY précédent'!BS40</f>
        <v>0</v>
      </c>
      <c r="BU39" s="1">
        <f>+'IRS - INF – XCCY précédent'!BT40</f>
        <v>0</v>
      </c>
      <c r="BV39" s="1">
        <f>+'IRS - INF – XCCY précédent'!BU40</f>
        <v>0</v>
      </c>
      <c r="BW39" s="1">
        <f>+'IRS - INF – XCCY précédent'!BV40</f>
        <v>0</v>
      </c>
      <c r="BX39" s="1">
        <f>+'IRS - INF – XCCY précédent'!BW40</f>
        <v>0</v>
      </c>
      <c r="BY39" s="1">
        <f>+'IRS - INF – XCCY précédent'!BX40</f>
        <v>0</v>
      </c>
      <c r="BZ39" s="1">
        <f>+'IRS - INF – XCCY précédent'!BY40</f>
        <v>0</v>
      </c>
      <c r="CA39" s="1">
        <f>+'IRS - INF – XCCY précédent'!BZ40</f>
        <v>0</v>
      </c>
      <c r="CB39" s="1">
        <f>+'IRS - INF – XCCY précédent'!CA40</f>
        <v>0</v>
      </c>
      <c r="CC39" s="1">
        <f>+'IRS - INF – XCCY précédent'!CB40</f>
        <v>0</v>
      </c>
      <c r="CD39" s="1">
        <f>+'IRS - INF – XCCY précédent'!CC40</f>
        <v>0</v>
      </c>
      <c r="CE39" s="1">
        <f>+'IRS - INF – XCCY précédent'!CD40</f>
        <v>0</v>
      </c>
      <c r="CF39" s="1">
        <f>+'IRS - INF – XCCY précédent'!CE40</f>
        <v>0</v>
      </c>
      <c r="CG39" s="1">
        <f>+'IRS - INF – XCCY précédent'!CF40</f>
        <v>0</v>
      </c>
      <c r="CH39" s="1">
        <f>+'IRS - INF – XCCY précédent'!CG40</f>
        <v>0</v>
      </c>
      <c r="CI39" s="1">
        <f>+'IRS - INF – XCCY précédent'!CH40</f>
        <v>0</v>
      </c>
      <c r="CJ39" s="1">
        <f>+'IRS - INF – XCCY précédent'!CI40</f>
        <v>0</v>
      </c>
      <c r="CK39" s="1">
        <f>+'IRS - INF – XCCY précédent'!CJ40</f>
        <v>0</v>
      </c>
      <c r="CL39" s="1">
        <f>+'IRS - INF – XCCY précédent'!CK40</f>
        <v>0</v>
      </c>
      <c r="CM39" s="1">
        <f>+'IRS - INF – XCCY précédent'!CL40</f>
        <v>0</v>
      </c>
      <c r="CN39" s="1">
        <f>+'IRS - INF – XCCY précédent'!CM40</f>
        <v>0</v>
      </c>
      <c r="CO39" s="1">
        <f>+'IRS - INF – XCCY précédent'!CN40</f>
        <v>0</v>
      </c>
      <c r="CP39" s="1">
        <f>+'IRS - INF – XCCY précédent'!CO40</f>
        <v>0</v>
      </c>
      <c r="CQ39" s="1">
        <f>+'IRS - INF – XCCY précédent'!CP40</f>
        <v>0</v>
      </c>
      <c r="CR39" s="1">
        <f>+'IRS - INF – XCCY précédent'!CQ40</f>
        <v>0</v>
      </c>
      <c r="CS39" s="1">
        <f>+'IRS - INF – XCCY précédent'!CR40</f>
        <v>0</v>
      </c>
      <c r="CT39" s="1">
        <f>+'IRS - INF – XCCY précédent'!CS40</f>
        <v>0</v>
      </c>
      <c r="CU39" s="1">
        <f>+'IRS - INF – XCCY précédent'!CT40</f>
        <v>0</v>
      </c>
      <c r="CV39" s="1">
        <f>+'IRS - INF – XCCY précédent'!CU40</f>
        <v>0</v>
      </c>
      <c r="CW39" s="1">
        <f>+'IRS - INF – XCCY précédent'!CV40</f>
        <v>0</v>
      </c>
      <c r="CX39" s="1">
        <f>+'IRS - INF – XCCY précédent'!CW40</f>
        <v>0</v>
      </c>
      <c r="CY39" s="1">
        <f>+'IRS - INF – XCCY précédent'!CX40</f>
        <v>0</v>
      </c>
      <c r="CZ39" s="1">
        <f>+'IRS - INF – XCCY précédent'!CY40</f>
        <v>0</v>
      </c>
      <c r="DA39" s="1">
        <f>+'IRS - INF – XCCY précédent'!CZ40</f>
        <v>0</v>
      </c>
      <c r="DB39" s="1">
        <f>+'IRS - INF – XCCY précédent'!DA40</f>
        <v>0</v>
      </c>
      <c r="DC39" s="1">
        <f>+'IRS - INF – XCCY précédent'!DB40</f>
        <v>0</v>
      </c>
      <c r="DD39" s="1">
        <f>+'IRS - INF – XCCY précédent'!DC40</f>
        <v>0</v>
      </c>
      <c r="DE39" s="1">
        <f>+'IRS - INF – XCCY précédent'!DD40</f>
        <v>0</v>
      </c>
      <c r="DF39" s="1">
        <f>+'IRS - INF – XCCY précédent'!DE40</f>
        <v>0</v>
      </c>
    </row>
    <row r="40" spans="1:110" x14ac:dyDescent="0.2">
      <c r="A40" s="56" t="e">
        <f>+INDEX('analyse trimestrielle'!$A$8:$A$1048576,MATCH('IFT précédent'!B40,'analyse trimestrielle'!$A$8:$A$1048576,0))</f>
        <v>#N/A</v>
      </c>
      <c r="B40" s="1">
        <f>+'IRS - INF – XCCY précédent'!A41</f>
        <v>0</v>
      </c>
      <c r="C40" s="1">
        <f>+'IRS - INF – XCCY précédent'!B41</f>
        <v>0</v>
      </c>
      <c r="D40" s="1">
        <f>+'IRS - INF – XCCY précédent'!C41</f>
        <v>0</v>
      </c>
      <c r="E40" s="1">
        <f>+'IRS - INF – XCCY précédent'!D41</f>
        <v>0</v>
      </c>
      <c r="F40" s="1">
        <f>+'IRS - INF – XCCY précédent'!E41</f>
        <v>0</v>
      </c>
      <c r="G40" s="1">
        <f>+'IRS - INF – XCCY précédent'!F41</f>
        <v>0</v>
      </c>
      <c r="H40" s="1">
        <f>+'IRS - INF – XCCY précédent'!G41</f>
        <v>0</v>
      </c>
      <c r="I40" s="1">
        <f>+'IRS - INF – XCCY précédent'!H41</f>
        <v>0</v>
      </c>
      <c r="J40" s="1">
        <f>+'IRS - INF – XCCY précédent'!I41</f>
        <v>0</v>
      </c>
      <c r="K40" s="1">
        <f>+'IRS - INF – XCCY précédent'!J41</f>
        <v>0</v>
      </c>
      <c r="L40" s="1">
        <f>+'IRS - INF – XCCY précédent'!K41</f>
        <v>0</v>
      </c>
      <c r="M40" s="1">
        <f>+'IRS - INF – XCCY précédent'!L41</f>
        <v>0</v>
      </c>
      <c r="N40" s="1">
        <f>+'IRS - INF – XCCY précédent'!M41</f>
        <v>0</v>
      </c>
      <c r="O40" s="1">
        <f>+'IRS - INF – XCCY précédent'!N41</f>
        <v>0</v>
      </c>
      <c r="P40" s="1">
        <f>+'IRS - INF – XCCY précédent'!O41</f>
        <v>0</v>
      </c>
      <c r="Q40" s="1">
        <f>+'IRS - INF – XCCY précédent'!P41</f>
        <v>0</v>
      </c>
      <c r="R40" s="1">
        <f>+'IRS - INF – XCCY précédent'!Q41</f>
        <v>0</v>
      </c>
      <c r="S40" s="1">
        <f>+'IRS - INF – XCCY précédent'!R41</f>
        <v>0</v>
      </c>
      <c r="T40" s="1">
        <f>+'IRS - INF – XCCY précédent'!S41</f>
        <v>0</v>
      </c>
      <c r="U40" s="1">
        <f>+'IRS - INF – XCCY précédent'!T41</f>
        <v>0</v>
      </c>
      <c r="V40" s="1">
        <f>+'IRS - INF – XCCY précédent'!U41</f>
        <v>0</v>
      </c>
      <c r="W40" s="1">
        <f>+'IRS - INF – XCCY précédent'!V41</f>
        <v>0</v>
      </c>
      <c r="X40" s="1">
        <f>+'IRS - INF – XCCY précédent'!W41</f>
        <v>0</v>
      </c>
      <c r="Y40" s="1">
        <f>+'IRS - INF – XCCY précédent'!X41</f>
        <v>0</v>
      </c>
      <c r="Z40" s="1">
        <f>+'IRS - INF – XCCY précédent'!Y41</f>
        <v>0</v>
      </c>
      <c r="AA40" s="1">
        <f>+'IRS - INF – XCCY précédent'!Z41</f>
        <v>0</v>
      </c>
      <c r="AB40" s="1">
        <f>+'IRS - INF – XCCY précédent'!AA41</f>
        <v>0</v>
      </c>
      <c r="AC40" s="1">
        <f>+'IRS - INF – XCCY précédent'!AB41</f>
        <v>0</v>
      </c>
      <c r="AD40" s="1">
        <f>+'IRS - INF – XCCY précédent'!AC41</f>
        <v>0</v>
      </c>
      <c r="AE40" s="1">
        <f>+'IRS - INF – XCCY précédent'!AD41</f>
        <v>0</v>
      </c>
      <c r="AF40" s="1">
        <f>+'IRS - INF – XCCY précédent'!AE41</f>
        <v>0</v>
      </c>
      <c r="AG40" s="1">
        <f>+'IRS - INF – XCCY précédent'!AF41</f>
        <v>0</v>
      </c>
      <c r="AH40" s="1">
        <f>+'IRS - INF – XCCY précédent'!AG41</f>
        <v>0</v>
      </c>
      <c r="AI40" s="1">
        <f>+'IRS - INF – XCCY précédent'!AH41</f>
        <v>0</v>
      </c>
      <c r="AJ40" s="1">
        <f>+'IRS - INF – XCCY précédent'!AI41</f>
        <v>0</v>
      </c>
      <c r="AK40" s="1">
        <f>+'IRS - INF – XCCY précédent'!AJ41</f>
        <v>0</v>
      </c>
      <c r="AL40" s="1">
        <f>+'IRS - INF – XCCY précédent'!AK41</f>
        <v>0</v>
      </c>
      <c r="AM40" s="1">
        <f>+'IRS - INF – XCCY précédent'!AL41</f>
        <v>0</v>
      </c>
      <c r="AN40" s="1">
        <f>+'IRS - INF – XCCY précédent'!AM41</f>
        <v>0</v>
      </c>
      <c r="AO40" s="1">
        <f>+'IRS - INF – XCCY précédent'!AN41</f>
        <v>0</v>
      </c>
      <c r="AP40" s="1">
        <f>+'IRS - INF – XCCY précédent'!AO41</f>
        <v>0</v>
      </c>
      <c r="AQ40" s="1">
        <f>+'IRS - INF – XCCY précédent'!AP41</f>
        <v>0</v>
      </c>
      <c r="AR40" s="1">
        <f>+'IRS - INF – XCCY précédent'!AQ41</f>
        <v>0</v>
      </c>
      <c r="AS40" s="1">
        <f>+'IRS - INF – XCCY précédent'!AR41</f>
        <v>0</v>
      </c>
      <c r="AT40" s="1">
        <f>+'IRS - INF – XCCY précédent'!AS41</f>
        <v>0</v>
      </c>
      <c r="AU40" s="1">
        <f>+'IRS - INF – XCCY précédent'!AT41</f>
        <v>0</v>
      </c>
      <c r="AV40" s="1">
        <f>+'IRS - INF – XCCY précédent'!AU41</f>
        <v>0</v>
      </c>
      <c r="AW40" s="1">
        <f>+'IRS - INF – XCCY précédent'!AV41</f>
        <v>0</v>
      </c>
      <c r="AX40" s="1">
        <f>+'IRS - INF – XCCY précédent'!AW41</f>
        <v>0</v>
      </c>
      <c r="AY40" s="1">
        <f>+'IRS - INF – XCCY précédent'!AX41</f>
        <v>0</v>
      </c>
      <c r="AZ40" s="1">
        <f>+'IRS - INF – XCCY précédent'!AY41</f>
        <v>0</v>
      </c>
      <c r="BA40" s="1">
        <f>+'IRS - INF – XCCY précédent'!AZ41</f>
        <v>0</v>
      </c>
      <c r="BB40" s="1">
        <f>+'IRS - INF – XCCY précédent'!BA41</f>
        <v>0</v>
      </c>
      <c r="BC40" s="1">
        <f>+'IRS - INF – XCCY précédent'!BB41</f>
        <v>0</v>
      </c>
      <c r="BD40" s="1">
        <f>+'IRS - INF – XCCY précédent'!BC41</f>
        <v>0</v>
      </c>
      <c r="BE40" s="1">
        <f>+'IRS - INF – XCCY précédent'!BD41</f>
        <v>0</v>
      </c>
      <c r="BF40" s="1">
        <f>+'IRS - INF – XCCY précédent'!BE41</f>
        <v>0</v>
      </c>
      <c r="BG40" s="1">
        <f>+'IRS - INF – XCCY précédent'!BF41</f>
        <v>0</v>
      </c>
      <c r="BH40" s="1">
        <f>+'IRS - INF – XCCY précédent'!BG41</f>
        <v>0</v>
      </c>
      <c r="BI40" s="1">
        <f>+'IRS - INF – XCCY précédent'!BH41</f>
        <v>0</v>
      </c>
      <c r="BJ40" s="1">
        <f>+'IRS - INF – XCCY précédent'!BI41</f>
        <v>0</v>
      </c>
      <c r="BK40" s="1">
        <f>+'IRS - INF – XCCY précédent'!BJ41</f>
        <v>0</v>
      </c>
      <c r="BL40" s="1">
        <f>+'IRS - INF – XCCY précédent'!BK41</f>
        <v>0</v>
      </c>
      <c r="BM40" s="1">
        <f>+'IRS - INF – XCCY précédent'!BL41</f>
        <v>0</v>
      </c>
      <c r="BN40" s="1">
        <f>+'IRS - INF – XCCY précédent'!BM41</f>
        <v>0</v>
      </c>
      <c r="BO40" s="1">
        <f>+'IRS - INF – XCCY précédent'!BN41</f>
        <v>0</v>
      </c>
      <c r="BP40" s="1">
        <f>+'IRS - INF – XCCY précédent'!BO41</f>
        <v>0</v>
      </c>
      <c r="BQ40" s="1">
        <f>+'IRS - INF – XCCY précédent'!BP41</f>
        <v>0</v>
      </c>
      <c r="BR40" s="1">
        <f>+'IRS - INF – XCCY précédent'!BQ41</f>
        <v>0</v>
      </c>
      <c r="BS40" s="1">
        <f>+'IRS - INF – XCCY précédent'!BR41</f>
        <v>0</v>
      </c>
      <c r="BT40" s="1">
        <f>+'IRS - INF – XCCY précédent'!BS41</f>
        <v>0</v>
      </c>
      <c r="BU40" s="1">
        <f>+'IRS - INF – XCCY précédent'!BT41</f>
        <v>0</v>
      </c>
      <c r="BV40" s="1">
        <f>+'IRS - INF – XCCY précédent'!BU41</f>
        <v>0</v>
      </c>
      <c r="BW40" s="1">
        <f>+'IRS - INF – XCCY précédent'!BV41</f>
        <v>0</v>
      </c>
      <c r="BX40" s="1">
        <f>+'IRS - INF – XCCY précédent'!BW41</f>
        <v>0</v>
      </c>
      <c r="BY40" s="1">
        <f>+'IRS - INF – XCCY précédent'!BX41</f>
        <v>0</v>
      </c>
      <c r="BZ40" s="1">
        <f>+'IRS - INF – XCCY précédent'!BY41</f>
        <v>0</v>
      </c>
      <c r="CA40" s="1">
        <f>+'IRS - INF – XCCY précédent'!BZ41</f>
        <v>0</v>
      </c>
      <c r="CB40" s="1">
        <f>+'IRS - INF – XCCY précédent'!CA41</f>
        <v>0</v>
      </c>
      <c r="CC40" s="1">
        <f>+'IRS - INF – XCCY précédent'!CB41</f>
        <v>0</v>
      </c>
      <c r="CD40" s="1">
        <f>+'IRS - INF – XCCY précédent'!CC41</f>
        <v>0</v>
      </c>
      <c r="CE40" s="1">
        <f>+'IRS - INF – XCCY précédent'!CD41</f>
        <v>0</v>
      </c>
      <c r="CF40" s="1">
        <f>+'IRS - INF – XCCY précédent'!CE41</f>
        <v>0</v>
      </c>
      <c r="CG40" s="1">
        <f>+'IRS - INF – XCCY précédent'!CF41</f>
        <v>0</v>
      </c>
      <c r="CH40" s="1">
        <f>+'IRS - INF – XCCY précédent'!CG41</f>
        <v>0</v>
      </c>
      <c r="CI40" s="1">
        <f>+'IRS - INF – XCCY précédent'!CH41</f>
        <v>0</v>
      </c>
      <c r="CJ40" s="1">
        <f>+'IRS - INF – XCCY précédent'!CI41</f>
        <v>0</v>
      </c>
      <c r="CK40" s="1">
        <f>+'IRS - INF – XCCY précédent'!CJ41</f>
        <v>0</v>
      </c>
      <c r="CL40" s="1">
        <f>+'IRS - INF – XCCY précédent'!CK41</f>
        <v>0</v>
      </c>
      <c r="CM40" s="1">
        <f>+'IRS - INF – XCCY précédent'!CL41</f>
        <v>0</v>
      </c>
      <c r="CN40" s="1">
        <f>+'IRS - INF – XCCY précédent'!CM41</f>
        <v>0</v>
      </c>
      <c r="CO40" s="1">
        <f>+'IRS - INF – XCCY précédent'!CN41</f>
        <v>0</v>
      </c>
      <c r="CP40" s="1">
        <f>+'IRS - INF – XCCY précédent'!CO41</f>
        <v>0</v>
      </c>
      <c r="CQ40" s="1">
        <f>+'IRS - INF – XCCY précédent'!CP41</f>
        <v>0</v>
      </c>
      <c r="CR40" s="1">
        <f>+'IRS - INF – XCCY précédent'!CQ41</f>
        <v>0</v>
      </c>
      <c r="CS40" s="1">
        <f>+'IRS - INF – XCCY précédent'!CR41</f>
        <v>0</v>
      </c>
      <c r="CT40" s="1">
        <f>+'IRS - INF – XCCY précédent'!CS41</f>
        <v>0</v>
      </c>
      <c r="CU40" s="1">
        <f>+'IRS - INF – XCCY précédent'!CT41</f>
        <v>0</v>
      </c>
      <c r="CV40" s="1">
        <f>+'IRS - INF – XCCY précédent'!CU41</f>
        <v>0</v>
      </c>
      <c r="CW40" s="1">
        <f>+'IRS - INF – XCCY précédent'!CV41</f>
        <v>0</v>
      </c>
      <c r="CX40" s="1">
        <f>+'IRS - INF – XCCY précédent'!CW41</f>
        <v>0</v>
      </c>
      <c r="CY40" s="1">
        <f>+'IRS - INF – XCCY précédent'!CX41</f>
        <v>0</v>
      </c>
      <c r="CZ40" s="1">
        <f>+'IRS - INF – XCCY précédent'!CY41</f>
        <v>0</v>
      </c>
      <c r="DA40" s="1">
        <f>+'IRS - INF – XCCY précédent'!CZ41</f>
        <v>0</v>
      </c>
      <c r="DB40" s="1">
        <f>+'IRS - INF – XCCY précédent'!DA41</f>
        <v>0</v>
      </c>
      <c r="DC40" s="1">
        <f>+'IRS - INF – XCCY précédent'!DB41</f>
        <v>0</v>
      </c>
      <c r="DD40" s="1">
        <f>+'IRS - INF – XCCY précédent'!DC41</f>
        <v>0</v>
      </c>
      <c r="DE40" s="1">
        <f>+'IRS - INF – XCCY précédent'!DD41</f>
        <v>0</v>
      </c>
      <c r="DF40" s="1">
        <f>+'IRS - INF – XCCY précédent'!DE41</f>
        <v>0</v>
      </c>
    </row>
    <row r="41" spans="1:110" x14ac:dyDescent="0.2">
      <c r="A41" s="56" t="e">
        <f>+INDEX('analyse trimestrielle'!$A$8:$A$1048576,MATCH('IFT précédent'!B41,'analyse trimestrielle'!$A$8:$A$1048576,0))</f>
        <v>#N/A</v>
      </c>
      <c r="B41" s="1">
        <f>+'IRS - INF – XCCY précédent'!A42</f>
        <v>0</v>
      </c>
      <c r="C41" s="1">
        <f>+'IRS - INF – XCCY précédent'!B42</f>
        <v>0</v>
      </c>
      <c r="D41" s="1">
        <f>+'IRS - INF – XCCY précédent'!C42</f>
        <v>0</v>
      </c>
      <c r="E41" s="1">
        <f>+'IRS - INF – XCCY précédent'!D42</f>
        <v>0</v>
      </c>
      <c r="F41" s="1">
        <f>+'IRS - INF – XCCY précédent'!E42</f>
        <v>0</v>
      </c>
      <c r="G41" s="1">
        <f>+'IRS - INF – XCCY précédent'!F42</f>
        <v>0</v>
      </c>
      <c r="H41" s="1">
        <f>+'IRS - INF – XCCY précédent'!G42</f>
        <v>0</v>
      </c>
      <c r="I41" s="1">
        <f>+'IRS - INF – XCCY précédent'!H42</f>
        <v>0</v>
      </c>
      <c r="J41" s="1">
        <f>+'IRS - INF – XCCY précédent'!I42</f>
        <v>0</v>
      </c>
      <c r="K41" s="1">
        <f>+'IRS - INF – XCCY précédent'!J42</f>
        <v>0</v>
      </c>
      <c r="L41" s="1">
        <f>+'IRS - INF – XCCY précédent'!K42</f>
        <v>0</v>
      </c>
      <c r="M41" s="1">
        <f>+'IRS - INF – XCCY précédent'!L42</f>
        <v>0</v>
      </c>
      <c r="N41" s="1">
        <f>+'IRS - INF – XCCY précédent'!M42</f>
        <v>0</v>
      </c>
      <c r="O41" s="1">
        <f>+'IRS - INF – XCCY précédent'!N42</f>
        <v>0</v>
      </c>
      <c r="P41" s="1">
        <f>+'IRS - INF – XCCY précédent'!O42</f>
        <v>0</v>
      </c>
      <c r="Q41" s="1">
        <f>+'IRS - INF – XCCY précédent'!P42</f>
        <v>0</v>
      </c>
      <c r="R41" s="1">
        <f>+'IRS - INF – XCCY précédent'!Q42</f>
        <v>0</v>
      </c>
      <c r="S41" s="1">
        <f>+'IRS - INF – XCCY précédent'!R42</f>
        <v>0</v>
      </c>
      <c r="T41" s="1">
        <f>+'IRS - INF – XCCY précédent'!S42</f>
        <v>0</v>
      </c>
      <c r="U41" s="1">
        <f>+'IRS - INF – XCCY précédent'!T42</f>
        <v>0</v>
      </c>
      <c r="V41" s="1">
        <f>+'IRS - INF – XCCY précédent'!U42</f>
        <v>0</v>
      </c>
      <c r="W41" s="1">
        <f>+'IRS - INF – XCCY précédent'!V42</f>
        <v>0</v>
      </c>
      <c r="X41" s="1">
        <f>+'IRS - INF – XCCY précédent'!W42</f>
        <v>0</v>
      </c>
      <c r="Y41" s="1">
        <f>+'IRS - INF – XCCY précédent'!X42</f>
        <v>0</v>
      </c>
      <c r="Z41" s="1">
        <f>+'IRS - INF – XCCY précédent'!Y42</f>
        <v>0</v>
      </c>
      <c r="AA41" s="1">
        <f>+'IRS - INF – XCCY précédent'!Z42</f>
        <v>0</v>
      </c>
      <c r="AB41" s="1">
        <f>+'IRS - INF – XCCY précédent'!AA42</f>
        <v>0</v>
      </c>
      <c r="AC41" s="1">
        <f>+'IRS - INF – XCCY précédent'!AB42</f>
        <v>0</v>
      </c>
      <c r="AD41" s="1">
        <f>+'IRS - INF – XCCY précédent'!AC42</f>
        <v>0</v>
      </c>
      <c r="AE41" s="1">
        <f>+'IRS - INF – XCCY précédent'!AD42</f>
        <v>0</v>
      </c>
      <c r="AF41" s="1">
        <f>+'IRS - INF – XCCY précédent'!AE42</f>
        <v>0</v>
      </c>
      <c r="AG41" s="1">
        <f>+'IRS - INF – XCCY précédent'!AF42</f>
        <v>0</v>
      </c>
      <c r="AH41" s="1">
        <f>+'IRS - INF – XCCY précédent'!AG42</f>
        <v>0</v>
      </c>
      <c r="AI41" s="1">
        <f>+'IRS - INF – XCCY précédent'!AH42</f>
        <v>0</v>
      </c>
      <c r="AJ41" s="1">
        <f>+'IRS - INF – XCCY précédent'!AI42</f>
        <v>0</v>
      </c>
      <c r="AK41" s="1">
        <f>+'IRS - INF – XCCY précédent'!AJ42</f>
        <v>0</v>
      </c>
      <c r="AL41" s="1">
        <f>+'IRS - INF – XCCY précédent'!AK42</f>
        <v>0</v>
      </c>
      <c r="AM41" s="1">
        <f>+'IRS - INF – XCCY précédent'!AL42</f>
        <v>0</v>
      </c>
      <c r="AN41" s="1">
        <f>+'IRS - INF – XCCY précédent'!AM42</f>
        <v>0</v>
      </c>
      <c r="AO41" s="1">
        <f>+'IRS - INF – XCCY précédent'!AN42</f>
        <v>0</v>
      </c>
      <c r="AP41" s="1">
        <f>+'IRS - INF – XCCY précédent'!AO42</f>
        <v>0</v>
      </c>
      <c r="AQ41" s="1">
        <f>+'IRS - INF – XCCY précédent'!AP42</f>
        <v>0</v>
      </c>
      <c r="AR41" s="1">
        <f>+'IRS - INF – XCCY précédent'!AQ42</f>
        <v>0</v>
      </c>
      <c r="AS41" s="1">
        <f>+'IRS - INF – XCCY précédent'!AR42</f>
        <v>0</v>
      </c>
      <c r="AT41" s="1">
        <f>+'IRS - INF – XCCY précédent'!AS42</f>
        <v>0</v>
      </c>
      <c r="AU41" s="1">
        <f>+'IRS - INF – XCCY précédent'!AT42</f>
        <v>0</v>
      </c>
      <c r="AV41" s="1">
        <f>+'IRS - INF – XCCY précédent'!AU42</f>
        <v>0</v>
      </c>
      <c r="AW41" s="1">
        <f>+'IRS - INF – XCCY précédent'!AV42</f>
        <v>0</v>
      </c>
      <c r="AX41" s="1">
        <f>+'IRS - INF – XCCY précédent'!AW42</f>
        <v>0</v>
      </c>
      <c r="AY41" s="1">
        <f>+'IRS - INF – XCCY précédent'!AX42</f>
        <v>0</v>
      </c>
      <c r="AZ41" s="1">
        <f>+'IRS - INF – XCCY précédent'!AY42</f>
        <v>0</v>
      </c>
      <c r="BA41" s="1">
        <f>+'IRS - INF – XCCY précédent'!AZ42</f>
        <v>0</v>
      </c>
      <c r="BB41" s="1">
        <f>+'IRS - INF – XCCY précédent'!BA42</f>
        <v>0</v>
      </c>
      <c r="BC41" s="1">
        <f>+'IRS - INF – XCCY précédent'!BB42</f>
        <v>0</v>
      </c>
      <c r="BD41" s="1">
        <f>+'IRS - INF – XCCY précédent'!BC42</f>
        <v>0</v>
      </c>
      <c r="BE41" s="1">
        <f>+'IRS - INF – XCCY précédent'!BD42</f>
        <v>0</v>
      </c>
      <c r="BF41" s="1">
        <f>+'IRS - INF – XCCY précédent'!BE42</f>
        <v>0</v>
      </c>
      <c r="BG41" s="1">
        <f>+'IRS - INF – XCCY précédent'!BF42</f>
        <v>0</v>
      </c>
      <c r="BH41" s="1">
        <f>+'IRS - INF – XCCY précédent'!BG42</f>
        <v>0</v>
      </c>
      <c r="BI41" s="1">
        <f>+'IRS - INF – XCCY précédent'!BH42</f>
        <v>0</v>
      </c>
      <c r="BJ41" s="1">
        <f>+'IRS - INF – XCCY précédent'!BI42</f>
        <v>0</v>
      </c>
      <c r="BK41" s="1">
        <f>+'IRS - INF – XCCY précédent'!BJ42</f>
        <v>0</v>
      </c>
      <c r="BL41" s="1">
        <f>+'IRS - INF – XCCY précédent'!BK42</f>
        <v>0</v>
      </c>
      <c r="BM41" s="1">
        <f>+'IRS - INF – XCCY précédent'!BL42</f>
        <v>0</v>
      </c>
      <c r="BN41" s="1">
        <f>+'IRS - INF – XCCY précédent'!BM42</f>
        <v>0</v>
      </c>
      <c r="BO41" s="1">
        <f>+'IRS - INF – XCCY précédent'!BN42</f>
        <v>0</v>
      </c>
      <c r="BP41" s="1">
        <f>+'IRS - INF – XCCY précédent'!BO42</f>
        <v>0</v>
      </c>
      <c r="BQ41" s="1">
        <f>+'IRS - INF – XCCY précédent'!BP42</f>
        <v>0</v>
      </c>
      <c r="BR41" s="1">
        <f>+'IRS - INF – XCCY précédent'!BQ42</f>
        <v>0</v>
      </c>
      <c r="BS41" s="1">
        <f>+'IRS - INF – XCCY précédent'!BR42</f>
        <v>0</v>
      </c>
      <c r="BT41" s="1">
        <f>+'IRS - INF – XCCY précédent'!BS42</f>
        <v>0</v>
      </c>
      <c r="BU41" s="1">
        <f>+'IRS - INF – XCCY précédent'!BT42</f>
        <v>0</v>
      </c>
      <c r="BV41" s="1">
        <f>+'IRS - INF – XCCY précédent'!BU42</f>
        <v>0</v>
      </c>
      <c r="BW41" s="1">
        <f>+'IRS - INF – XCCY précédent'!BV42</f>
        <v>0</v>
      </c>
      <c r="BX41" s="1">
        <f>+'IRS - INF – XCCY précédent'!BW42</f>
        <v>0</v>
      </c>
      <c r="BY41" s="1">
        <f>+'IRS - INF – XCCY précédent'!BX42</f>
        <v>0</v>
      </c>
      <c r="BZ41" s="1">
        <f>+'IRS - INF – XCCY précédent'!BY42</f>
        <v>0</v>
      </c>
      <c r="CA41" s="1">
        <f>+'IRS - INF – XCCY précédent'!BZ42</f>
        <v>0</v>
      </c>
      <c r="CB41" s="1">
        <f>+'IRS - INF – XCCY précédent'!CA42</f>
        <v>0</v>
      </c>
      <c r="CC41" s="1">
        <f>+'IRS - INF – XCCY précédent'!CB42</f>
        <v>0</v>
      </c>
      <c r="CD41" s="1">
        <f>+'IRS - INF – XCCY précédent'!CC42</f>
        <v>0</v>
      </c>
      <c r="CE41" s="1">
        <f>+'IRS - INF – XCCY précédent'!CD42</f>
        <v>0</v>
      </c>
      <c r="CF41" s="1">
        <f>+'IRS - INF – XCCY précédent'!CE42</f>
        <v>0</v>
      </c>
      <c r="CG41" s="1">
        <f>+'IRS - INF – XCCY précédent'!CF42</f>
        <v>0</v>
      </c>
      <c r="CH41" s="1">
        <f>+'IRS - INF – XCCY précédent'!CG42</f>
        <v>0</v>
      </c>
      <c r="CI41" s="1">
        <f>+'IRS - INF – XCCY précédent'!CH42</f>
        <v>0</v>
      </c>
      <c r="CJ41" s="1">
        <f>+'IRS - INF – XCCY précédent'!CI42</f>
        <v>0</v>
      </c>
      <c r="CK41" s="1">
        <f>+'IRS - INF – XCCY précédent'!CJ42</f>
        <v>0</v>
      </c>
      <c r="CL41" s="1">
        <f>+'IRS - INF – XCCY précédent'!CK42</f>
        <v>0</v>
      </c>
      <c r="CM41" s="1">
        <f>+'IRS - INF – XCCY précédent'!CL42</f>
        <v>0</v>
      </c>
      <c r="CN41" s="1">
        <f>+'IRS - INF – XCCY précédent'!CM42</f>
        <v>0</v>
      </c>
      <c r="CO41" s="1">
        <f>+'IRS - INF – XCCY précédent'!CN42</f>
        <v>0</v>
      </c>
      <c r="CP41" s="1">
        <f>+'IRS - INF – XCCY précédent'!CO42</f>
        <v>0</v>
      </c>
      <c r="CQ41" s="1">
        <f>+'IRS - INF – XCCY précédent'!CP42</f>
        <v>0</v>
      </c>
      <c r="CR41" s="1">
        <f>+'IRS - INF – XCCY précédent'!CQ42</f>
        <v>0</v>
      </c>
      <c r="CS41" s="1">
        <f>+'IRS - INF – XCCY précédent'!CR42</f>
        <v>0</v>
      </c>
      <c r="CT41" s="1">
        <f>+'IRS - INF – XCCY précédent'!CS42</f>
        <v>0</v>
      </c>
      <c r="CU41" s="1">
        <f>+'IRS - INF – XCCY précédent'!CT42</f>
        <v>0</v>
      </c>
      <c r="CV41" s="1">
        <f>+'IRS - INF – XCCY précédent'!CU42</f>
        <v>0</v>
      </c>
      <c r="CW41" s="1">
        <f>+'IRS - INF – XCCY précédent'!CV42</f>
        <v>0</v>
      </c>
      <c r="CX41" s="1">
        <f>+'IRS - INF – XCCY précédent'!CW42</f>
        <v>0</v>
      </c>
      <c r="CY41" s="1">
        <f>+'IRS - INF – XCCY précédent'!CX42</f>
        <v>0</v>
      </c>
      <c r="CZ41" s="1">
        <f>+'IRS - INF – XCCY précédent'!CY42</f>
        <v>0</v>
      </c>
      <c r="DA41" s="1">
        <f>+'IRS - INF – XCCY précédent'!CZ42</f>
        <v>0</v>
      </c>
      <c r="DB41" s="1">
        <f>+'IRS - INF – XCCY précédent'!DA42</f>
        <v>0</v>
      </c>
      <c r="DC41" s="1">
        <f>+'IRS - INF – XCCY précédent'!DB42</f>
        <v>0</v>
      </c>
      <c r="DD41" s="1">
        <f>+'IRS - INF – XCCY précédent'!DC42</f>
        <v>0</v>
      </c>
      <c r="DE41" s="1">
        <f>+'IRS - INF – XCCY précédent'!DD42</f>
        <v>0</v>
      </c>
      <c r="DF41" s="1">
        <f>+'IRS - INF – XCCY précédent'!DE42</f>
        <v>0</v>
      </c>
    </row>
    <row r="42" spans="1:110" x14ac:dyDescent="0.2">
      <c r="A42" s="56" t="e">
        <f>+INDEX('analyse trimestrielle'!$A$8:$A$1048576,MATCH('IFT précédent'!B42,'analyse trimestrielle'!$A$8:$A$1048576,0))</f>
        <v>#N/A</v>
      </c>
      <c r="B42" s="1">
        <f>+'IRS - INF – XCCY précédent'!A43</f>
        <v>0</v>
      </c>
      <c r="C42" s="1">
        <f>+'IRS - INF – XCCY précédent'!B43</f>
        <v>0</v>
      </c>
      <c r="D42" s="1">
        <f>+'IRS - INF – XCCY précédent'!C43</f>
        <v>0</v>
      </c>
      <c r="E42" s="1">
        <f>+'IRS - INF – XCCY précédent'!D43</f>
        <v>0</v>
      </c>
      <c r="F42" s="1">
        <f>+'IRS - INF – XCCY précédent'!E43</f>
        <v>0</v>
      </c>
      <c r="G42" s="1">
        <f>+'IRS - INF – XCCY précédent'!F43</f>
        <v>0</v>
      </c>
      <c r="H42" s="1">
        <f>+'IRS - INF – XCCY précédent'!G43</f>
        <v>0</v>
      </c>
      <c r="I42" s="1">
        <f>+'IRS - INF – XCCY précédent'!H43</f>
        <v>0</v>
      </c>
      <c r="J42" s="1">
        <f>+'IRS - INF – XCCY précédent'!I43</f>
        <v>0</v>
      </c>
      <c r="K42" s="1">
        <f>+'IRS - INF – XCCY précédent'!J43</f>
        <v>0</v>
      </c>
      <c r="L42" s="1">
        <f>+'IRS - INF – XCCY précédent'!K43</f>
        <v>0</v>
      </c>
      <c r="M42" s="1">
        <f>+'IRS - INF – XCCY précédent'!L43</f>
        <v>0</v>
      </c>
      <c r="N42" s="1">
        <f>+'IRS - INF – XCCY précédent'!M43</f>
        <v>0</v>
      </c>
      <c r="O42" s="1">
        <f>+'IRS - INF – XCCY précédent'!N43</f>
        <v>0</v>
      </c>
      <c r="P42" s="1">
        <f>+'IRS - INF – XCCY précédent'!O43</f>
        <v>0</v>
      </c>
      <c r="Q42" s="1">
        <f>+'IRS - INF – XCCY précédent'!P43</f>
        <v>0</v>
      </c>
      <c r="R42" s="1">
        <f>+'IRS - INF – XCCY précédent'!Q43</f>
        <v>0</v>
      </c>
      <c r="S42" s="1">
        <f>+'IRS - INF – XCCY précédent'!R43</f>
        <v>0</v>
      </c>
      <c r="T42" s="1">
        <f>+'IRS - INF – XCCY précédent'!S43</f>
        <v>0</v>
      </c>
      <c r="U42" s="1">
        <f>+'IRS - INF – XCCY précédent'!T43</f>
        <v>0</v>
      </c>
      <c r="V42" s="1">
        <f>+'IRS - INF – XCCY précédent'!U43</f>
        <v>0</v>
      </c>
      <c r="W42" s="1">
        <f>+'IRS - INF – XCCY précédent'!V43</f>
        <v>0</v>
      </c>
      <c r="X42" s="1">
        <f>+'IRS - INF – XCCY précédent'!W43</f>
        <v>0</v>
      </c>
      <c r="Y42" s="1">
        <f>+'IRS - INF – XCCY précédent'!X43</f>
        <v>0</v>
      </c>
      <c r="Z42" s="1">
        <f>+'IRS - INF – XCCY précédent'!Y43</f>
        <v>0</v>
      </c>
      <c r="AA42" s="1">
        <f>+'IRS - INF – XCCY précédent'!Z43</f>
        <v>0</v>
      </c>
      <c r="AB42" s="1">
        <f>+'IRS - INF – XCCY précédent'!AA43</f>
        <v>0</v>
      </c>
      <c r="AC42" s="1">
        <f>+'IRS - INF – XCCY précédent'!AB43</f>
        <v>0</v>
      </c>
      <c r="AD42" s="1">
        <f>+'IRS - INF – XCCY précédent'!AC43</f>
        <v>0</v>
      </c>
      <c r="AE42" s="1">
        <f>+'IRS - INF – XCCY précédent'!AD43</f>
        <v>0</v>
      </c>
      <c r="AF42" s="1">
        <f>+'IRS - INF – XCCY précédent'!AE43</f>
        <v>0</v>
      </c>
      <c r="AG42" s="1">
        <f>+'IRS - INF – XCCY précédent'!AF43</f>
        <v>0</v>
      </c>
      <c r="AH42" s="1">
        <f>+'IRS - INF – XCCY précédent'!AG43</f>
        <v>0</v>
      </c>
      <c r="AI42" s="1">
        <f>+'IRS - INF – XCCY précédent'!AH43</f>
        <v>0</v>
      </c>
      <c r="AJ42" s="1">
        <f>+'IRS - INF – XCCY précédent'!AI43</f>
        <v>0</v>
      </c>
      <c r="AK42" s="1">
        <f>+'IRS - INF – XCCY précédent'!AJ43</f>
        <v>0</v>
      </c>
      <c r="AL42" s="1">
        <f>+'IRS - INF – XCCY précédent'!AK43</f>
        <v>0</v>
      </c>
      <c r="AM42" s="1">
        <f>+'IRS - INF – XCCY précédent'!AL43</f>
        <v>0</v>
      </c>
      <c r="AN42" s="1">
        <f>+'IRS - INF – XCCY précédent'!AM43</f>
        <v>0</v>
      </c>
      <c r="AO42" s="1">
        <f>+'IRS - INF – XCCY précédent'!AN43</f>
        <v>0</v>
      </c>
      <c r="AP42" s="1">
        <f>+'IRS - INF – XCCY précédent'!AO43</f>
        <v>0</v>
      </c>
      <c r="AQ42" s="1">
        <f>+'IRS - INF – XCCY précédent'!AP43</f>
        <v>0</v>
      </c>
      <c r="AR42" s="1">
        <f>+'IRS - INF – XCCY précédent'!AQ43</f>
        <v>0</v>
      </c>
      <c r="AS42" s="1">
        <f>+'IRS - INF – XCCY précédent'!AR43</f>
        <v>0</v>
      </c>
      <c r="AT42" s="1">
        <f>+'IRS - INF – XCCY précédent'!AS43</f>
        <v>0</v>
      </c>
      <c r="AU42" s="1">
        <f>+'IRS - INF – XCCY précédent'!AT43</f>
        <v>0</v>
      </c>
      <c r="AV42" s="1">
        <f>+'IRS - INF – XCCY précédent'!AU43</f>
        <v>0</v>
      </c>
      <c r="AW42" s="1">
        <f>+'IRS - INF – XCCY précédent'!AV43</f>
        <v>0</v>
      </c>
      <c r="AX42" s="1">
        <f>+'IRS - INF – XCCY précédent'!AW43</f>
        <v>0</v>
      </c>
      <c r="AY42" s="1">
        <f>+'IRS - INF – XCCY précédent'!AX43</f>
        <v>0</v>
      </c>
      <c r="AZ42" s="1">
        <f>+'IRS - INF – XCCY précédent'!AY43</f>
        <v>0</v>
      </c>
      <c r="BA42" s="1">
        <f>+'IRS - INF – XCCY précédent'!AZ43</f>
        <v>0</v>
      </c>
      <c r="BB42" s="1">
        <f>+'IRS - INF – XCCY précédent'!BA43</f>
        <v>0</v>
      </c>
      <c r="BC42" s="1">
        <f>+'IRS - INF – XCCY précédent'!BB43</f>
        <v>0</v>
      </c>
      <c r="BD42" s="1">
        <f>+'IRS - INF – XCCY précédent'!BC43</f>
        <v>0</v>
      </c>
      <c r="BE42" s="1">
        <f>+'IRS - INF – XCCY précédent'!BD43</f>
        <v>0</v>
      </c>
      <c r="BF42" s="1">
        <f>+'IRS - INF – XCCY précédent'!BE43</f>
        <v>0</v>
      </c>
      <c r="BG42" s="1">
        <f>+'IRS - INF – XCCY précédent'!BF43</f>
        <v>0</v>
      </c>
      <c r="BH42" s="1">
        <f>+'IRS - INF – XCCY précédent'!BG43</f>
        <v>0</v>
      </c>
      <c r="BI42" s="1">
        <f>+'IRS - INF – XCCY précédent'!BH43</f>
        <v>0</v>
      </c>
      <c r="BJ42" s="1">
        <f>+'IRS - INF – XCCY précédent'!BI43</f>
        <v>0</v>
      </c>
      <c r="BK42" s="1">
        <f>+'IRS - INF – XCCY précédent'!BJ43</f>
        <v>0</v>
      </c>
      <c r="BL42" s="1">
        <f>+'IRS - INF – XCCY précédent'!BK43</f>
        <v>0</v>
      </c>
      <c r="BM42" s="1">
        <f>+'IRS - INF – XCCY précédent'!BL43</f>
        <v>0</v>
      </c>
      <c r="BN42" s="1">
        <f>+'IRS - INF – XCCY précédent'!BM43</f>
        <v>0</v>
      </c>
      <c r="BO42" s="1">
        <f>+'IRS - INF – XCCY précédent'!BN43</f>
        <v>0</v>
      </c>
      <c r="BP42" s="1">
        <f>+'IRS - INF – XCCY précédent'!BO43</f>
        <v>0</v>
      </c>
      <c r="BQ42" s="1">
        <f>+'IRS - INF – XCCY précédent'!BP43</f>
        <v>0</v>
      </c>
      <c r="BR42" s="1">
        <f>+'IRS - INF – XCCY précédent'!BQ43</f>
        <v>0</v>
      </c>
      <c r="BS42" s="1">
        <f>+'IRS - INF – XCCY précédent'!BR43</f>
        <v>0</v>
      </c>
      <c r="BT42" s="1">
        <f>+'IRS - INF – XCCY précédent'!BS43</f>
        <v>0</v>
      </c>
      <c r="BU42" s="1">
        <f>+'IRS - INF – XCCY précédent'!BT43</f>
        <v>0</v>
      </c>
      <c r="BV42" s="1">
        <f>+'IRS - INF – XCCY précédent'!BU43</f>
        <v>0</v>
      </c>
      <c r="BW42" s="1">
        <f>+'IRS - INF – XCCY précédent'!BV43</f>
        <v>0</v>
      </c>
      <c r="BX42" s="1">
        <f>+'IRS - INF – XCCY précédent'!BW43</f>
        <v>0</v>
      </c>
      <c r="BY42" s="1">
        <f>+'IRS - INF – XCCY précédent'!BX43</f>
        <v>0</v>
      </c>
      <c r="BZ42" s="1">
        <f>+'IRS - INF – XCCY précédent'!BY43</f>
        <v>0</v>
      </c>
      <c r="CA42" s="1">
        <f>+'IRS - INF – XCCY précédent'!BZ43</f>
        <v>0</v>
      </c>
      <c r="CB42" s="1">
        <f>+'IRS - INF – XCCY précédent'!CA43</f>
        <v>0</v>
      </c>
      <c r="CC42" s="1">
        <f>+'IRS - INF – XCCY précédent'!CB43</f>
        <v>0</v>
      </c>
      <c r="CD42" s="1">
        <f>+'IRS - INF – XCCY précédent'!CC43</f>
        <v>0</v>
      </c>
      <c r="CE42" s="1">
        <f>+'IRS - INF – XCCY précédent'!CD43</f>
        <v>0</v>
      </c>
      <c r="CF42" s="1">
        <f>+'IRS - INF – XCCY précédent'!CE43</f>
        <v>0</v>
      </c>
      <c r="CG42" s="1">
        <f>+'IRS - INF – XCCY précédent'!CF43</f>
        <v>0</v>
      </c>
      <c r="CH42" s="1">
        <f>+'IRS - INF – XCCY précédent'!CG43</f>
        <v>0</v>
      </c>
      <c r="CI42" s="1">
        <f>+'IRS - INF – XCCY précédent'!CH43</f>
        <v>0</v>
      </c>
      <c r="CJ42" s="1">
        <f>+'IRS - INF – XCCY précédent'!CI43</f>
        <v>0</v>
      </c>
      <c r="CK42" s="1">
        <f>+'IRS - INF – XCCY précédent'!CJ43</f>
        <v>0</v>
      </c>
      <c r="CL42" s="1">
        <f>+'IRS - INF – XCCY précédent'!CK43</f>
        <v>0</v>
      </c>
      <c r="CM42" s="1">
        <f>+'IRS - INF – XCCY précédent'!CL43</f>
        <v>0</v>
      </c>
      <c r="CN42" s="1">
        <f>+'IRS - INF – XCCY précédent'!CM43</f>
        <v>0</v>
      </c>
      <c r="CO42" s="1">
        <f>+'IRS - INF – XCCY précédent'!CN43</f>
        <v>0</v>
      </c>
      <c r="CP42" s="1">
        <f>+'IRS - INF – XCCY précédent'!CO43</f>
        <v>0</v>
      </c>
      <c r="CQ42" s="1">
        <f>+'IRS - INF – XCCY précédent'!CP43</f>
        <v>0</v>
      </c>
      <c r="CR42" s="1">
        <f>+'IRS - INF – XCCY précédent'!CQ43</f>
        <v>0</v>
      </c>
      <c r="CS42" s="1">
        <f>+'IRS - INF – XCCY précédent'!CR43</f>
        <v>0</v>
      </c>
      <c r="CT42" s="1">
        <f>+'IRS - INF – XCCY précédent'!CS43</f>
        <v>0</v>
      </c>
      <c r="CU42" s="1">
        <f>+'IRS - INF – XCCY précédent'!CT43</f>
        <v>0</v>
      </c>
      <c r="CV42" s="1">
        <f>+'IRS - INF – XCCY précédent'!CU43</f>
        <v>0</v>
      </c>
      <c r="CW42" s="1">
        <f>+'IRS - INF – XCCY précédent'!CV43</f>
        <v>0</v>
      </c>
      <c r="CX42" s="1">
        <f>+'IRS - INF – XCCY précédent'!CW43</f>
        <v>0</v>
      </c>
      <c r="CY42" s="1">
        <f>+'IRS - INF – XCCY précédent'!CX43</f>
        <v>0</v>
      </c>
      <c r="CZ42" s="1">
        <f>+'IRS - INF – XCCY précédent'!CY43</f>
        <v>0</v>
      </c>
      <c r="DA42" s="1">
        <f>+'IRS - INF – XCCY précédent'!CZ43</f>
        <v>0</v>
      </c>
      <c r="DB42" s="1">
        <f>+'IRS - INF – XCCY précédent'!DA43</f>
        <v>0</v>
      </c>
      <c r="DC42" s="1">
        <f>+'IRS - INF – XCCY précédent'!DB43</f>
        <v>0</v>
      </c>
      <c r="DD42" s="1">
        <f>+'IRS - INF – XCCY précédent'!DC43</f>
        <v>0</v>
      </c>
      <c r="DE42" s="1">
        <f>+'IRS - INF – XCCY précédent'!DD43</f>
        <v>0</v>
      </c>
      <c r="DF42" s="1">
        <f>+'IRS - INF – XCCY précédent'!DE43</f>
        <v>0</v>
      </c>
    </row>
    <row r="43" spans="1:110" x14ac:dyDescent="0.2">
      <c r="A43" s="56" t="e">
        <f>+INDEX('analyse trimestrielle'!$A$8:$A$1048576,MATCH('IFT précédent'!B43,'analyse trimestrielle'!$A$8:$A$1048576,0))</f>
        <v>#N/A</v>
      </c>
      <c r="B43" s="1">
        <f>+'IRS - INF – XCCY précédent'!A44</f>
        <v>0</v>
      </c>
      <c r="C43" s="1">
        <f>+'IRS - INF – XCCY précédent'!B44</f>
        <v>0</v>
      </c>
      <c r="D43" s="1">
        <f>+'IRS - INF – XCCY précédent'!C44</f>
        <v>0</v>
      </c>
      <c r="E43" s="1">
        <f>+'IRS - INF – XCCY précédent'!D44</f>
        <v>0</v>
      </c>
      <c r="F43" s="1">
        <f>+'IRS - INF – XCCY précédent'!E44</f>
        <v>0</v>
      </c>
      <c r="G43" s="1">
        <f>+'IRS - INF – XCCY précédent'!F44</f>
        <v>0</v>
      </c>
      <c r="H43" s="1">
        <f>+'IRS - INF – XCCY précédent'!G44</f>
        <v>0</v>
      </c>
      <c r="I43" s="1">
        <f>+'IRS - INF – XCCY précédent'!H44</f>
        <v>0</v>
      </c>
      <c r="J43" s="1">
        <f>+'IRS - INF – XCCY précédent'!I44</f>
        <v>0</v>
      </c>
      <c r="K43" s="1">
        <f>+'IRS - INF – XCCY précédent'!J44</f>
        <v>0</v>
      </c>
      <c r="L43" s="1">
        <f>+'IRS - INF – XCCY précédent'!K44</f>
        <v>0</v>
      </c>
      <c r="M43" s="1">
        <f>+'IRS - INF – XCCY précédent'!L44</f>
        <v>0</v>
      </c>
      <c r="N43" s="1">
        <f>+'IRS - INF – XCCY précédent'!M44</f>
        <v>0</v>
      </c>
      <c r="O43" s="1">
        <f>+'IRS - INF – XCCY précédent'!N44</f>
        <v>0</v>
      </c>
      <c r="P43" s="1">
        <f>+'IRS - INF – XCCY précédent'!O44</f>
        <v>0</v>
      </c>
      <c r="Q43" s="1">
        <f>+'IRS - INF – XCCY précédent'!P44</f>
        <v>0</v>
      </c>
      <c r="R43" s="1">
        <f>+'IRS - INF – XCCY précédent'!Q44</f>
        <v>0</v>
      </c>
      <c r="S43" s="1">
        <f>+'IRS - INF – XCCY précédent'!R44</f>
        <v>0</v>
      </c>
      <c r="T43" s="1">
        <f>+'IRS - INF – XCCY précédent'!S44</f>
        <v>0</v>
      </c>
      <c r="U43" s="1">
        <f>+'IRS - INF – XCCY précédent'!T44</f>
        <v>0</v>
      </c>
      <c r="V43" s="1">
        <f>+'IRS - INF – XCCY précédent'!U44</f>
        <v>0</v>
      </c>
      <c r="W43" s="1">
        <f>+'IRS - INF – XCCY précédent'!V44</f>
        <v>0</v>
      </c>
      <c r="X43" s="1">
        <f>+'IRS - INF – XCCY précédent'!W44</f>
        <v>0</v>
      </c>
      <c r="Y43" s="1">
        <f>+'IRS - INF – XCCY précédent'!X44</f>
        <v>0</v>
      </c>
      <c r="Z43" s="1">
        <f>+'IRS - INF – XCCY précédent'!Y44</f>
        <v>0</v>
      </c>
      <c r="AA43" s="1">
        <f>+'IRS - INF – XCCY précédent'!Z44</f>
        <v>0</v>
      </c>
      <c r="AB43" s="1">
        <f>+'IRS - INF – XCCY précédent'!AA44</f>
        <v>0</v>
      </c>
      <c r="AC43" s="1">
        <f>+'IRS - INF – XCCY précédent'!AB44</f>
        <v>0</v>
      </c>
      <c r="AD43" s="1">
        <f>+'IRS - INF – XCCY précédent'!AC44</f>
        <v>0</v>
      </c>
      <c r="AE43" s="1">
        <f>+'IRS - INF – XCCY précédent'!AD44</f>
        <v>0</v>
      </c>
      <c r="AF43" s="1">
        <f>+'IRS - INF – XCCY précédent'!AE44</f>
        <v>0</v>
      </c>
      <c r="AG43" s="1">
        <f>+'IRS - INF – XCCY précédent'!AF44</f>
        <v>0</v>
      </c>
      <c r="AH43" s="1">
        <f>+'IRS - INF – XCCY précédent'!AG44</f>
        <v>0</v>
      </c>
      <c r="AI43" s="1">
        <f>+'IRS - INF – XCCY précédent'!AH44</f>
        <v>0</v>
      </c>
      <c r="AJ43" s="1">
        <f>+'IRS - INF – XCCY précédent'!AI44</f>
        <v>0</v>
      </c>
      <c r="AK43" s="1">
        <f>+'IRS - INF – XCCY précédent'!AJ44</f>
        <v>0</v>
      </c>
      <c r="AL43" s="1">
        <f>+'IRS - INF – XCCY précédent'!AK44</f>
        <v>0</v>
      </c>
      <c r="AM43" s="1">
        <f>+'IRS - INF – XCCY précédent'!AL44</f>
        <v>0</v>
      </c>
      <c r="AN43" s="1">
        <f>+'IRS - INF – XCCY précédent'!AM44</f>
        <v>0</v>
      </c>
      <c r="AO43" s="1">
        <f>+'IRS - INF – XCCY précédent'!AN44</f>
        <v>0</v>
      </c>
      <c r="AP43" s="1">
        <f>+'IRS - INF – XCCY précédent'!AO44</f>
        <v>0</v>
      </c>
      <c r="AQ43" s="1">
        <f>+'IRS - INF – XCCY précédent'!AP44</f>
        <v>0</v>
      </c>
      <c r="AR43" s="1">
        <f>+'IRS - INF – XCCY précédent'!AQ44</f>
        <v>0</v>
      </c>
      <c r="AS43" s="1">
        <f>+'IRS - INF – XCCY précédent'!AR44</f>
        <v>0</v>
      </c>
      <c r="AT43" s="1">
        <f>+'IRS - INF – XCCY précédent'!AS44</f>
        <v>0</v>
      </c>
      <c r="AU43" s="1">
        <f>+'IRS - INF – XCCY précédent'!AT44</f>
        <v>0</v>
      </c>
      <c r="AV43" s="1">
        <f>+'IRS - INF – XCCY précédent'!AU44</f>
        <v>0</v>
      </c>
      <c r="AW43" s="1">
        <f>+'IRS - INF – XCCY précédent'!AV44</f>
        <v>0</v>
      </c>
      <c r="AX43" s="1">
        <f>+'IRS - INF – XCCY précédent'!AW44</f>
        <v>0</v>
      </c>
      <c r="AY43" s="1">
        <f>+'IRS - INF – XCCY précédent'!AX44</f>
        <v>0</v>
      </c>
      <c r="AZ43" s="1">
        <f>+'IRS - INF – XCCY précédent'!AY44</f>
        <v>0</v>
      </c>
      <c r="BA43" s="1">
        <f>+'IRS - INF – XCCY précédent'!AZ44</f>
        <v>0</v>
      </c>
      <c r="BB43" s="1">
        <f>+'IRS - INF – XCCY précédent'!BA44</f>
        <v>0</v>
      </c>
      <c r="BC43" s="1">
        <f>+'IRS - INF – XCCY précédent'!BB44</f>
        <v>0</v>
      </c>
      <c r="BD43" s="1">
        <f>+'IRS - INF – XCCY précédent'!BC44</f>
        <v>0</v>
      </c>
      <c r="BE43" s="1">
        <f>+'IRS - INF – XCCY précédent'!BD44</f>
        <v>0</v>
      </c>
      <c r="BF43" s="1">
        <f>+'IRS - INF – XCCY précédent'!BE44</f>
        <v>0</v>
      </c>
      <c r="BG43" s="1">
        <f>+'IRS - INF – XCCY précédent'!BF44</f>
        <v>0</v>
      </c>
      <c r="BH43" s="1">
        <f>+'IRS - INF – XCCY précédent'!BG44</f>
        <v>0</v>
      </c>
      <c r="BI43" s="1">
        <f>+'IRS - INF – XCCY précédent'!BH44</f>
        <v>0</v>
      </c>
      <c r="BJ43" s="1">
        <f>+'IRS - INF – XCCY précédent'!BI44</f>
        <v>0</v>
      </c>
      <c r="BK43" s="1">
        <f>+'IRS - INF – XCCY précédent'!BJ44</f>
        <v>0</v>
      </c>
      <c r="BL43" s="1">
        <f>+'IRS - INF – XCCY précédent'!BK44</f>
        <v>0</v>
      </c>
      <c r="BM43" s="1">
        <f>+'IRS - INF – XCCY précédent'!BL44</f>
        <v>0</v>
      </c>
      <c r="BN43" s="1">
        <f>+'IRS - INF – XCCY précédent'!BM44</f>
        <v>0</v>
      </c>
      <c r="BO43" s="1">
        <f>+'IRS - INF – XCCY précédent'!BN44</f>
        <v>0</v>
      </c>
      <c r="BP43" s="1">
        <f>+'IRS - INF – XCCY précédent'!BO44</f>
        <v>0</v>
      </c>
      <c r="BQ43" s="1">
        <f>+'IRS - INF – XCCY précédent'!BP44</f>
        <v>0</v>
      </c>
      <c r="BR43" s="1">
        <f>+'IRS - INF – XCCY précédent'!BQ44</f>
        <v>0</v>
      </c>
      <c r="BS43" s="1">
        <f>+'IRS - INF – XCCY précédent'!BR44</f>
        <v>0</v>
      </c>
      <c r="BT43" s="1">
        <f>+'IRS - INF – XCCY précédent'!BS44</f>
        <v>0</v>
      </c>
      <c r="BU43" s="1">
        <f>+'IRS - INF – XCCY précédent'!BT44</f>
        <v>0</v>
      </c>
      <c r="BV43" s="1">
        <f>+'IRS - INF – XCCY précédent'!BU44</f>
        <v>0</v>
      </c>
      <c r="BW43" s="1">
        <f>+'IRS - INF – XCCY précédent'!BV44</f>
        <v>0</v>
      </c>
      <c r="BX43" s="1">
        <f>+'IRS - INF – XCCY précédent'!BW44</f>
        <v>0</v>
      </c>
      <c r="BY43" s="1">
        <f>+'IRS - INF – XCCY précédent'!BX44</f>
        <v>0</v>
      </c>
      <c r="BZ43" s="1">
        <f>+'IRS - INF – XCCY précédent'!BY44</f>
        <v>0</v>
      </c>
      <c r="CA43" s="1">
        <f>+'IRS - INF – XCCY précédent'!BZ44</f>
        <v>0</v>
      </c>
      <c r="CB43" s="1">
        <f>+'IRS - INF – XCCY précédent'!CA44</f>
        <v>0</v>
      </c>
      <c r="CC43" s="1">
        <f>+'IRS - INF – XCCY précédent'!CB44</f>
        <v>0</v>
      </c>
      <c r="CD43" s="1">
        <f>+'IRS - INF – XCCY précédent'!CC44</f>
        <v>0</v>
      </c>
      <c r="CE43" s="1">
        <f>+'IRS - INF – XCCY précédent'!CD44</f>
        <v>0</v>
      </c>
      <c r="CF43" s="1">
        <f>+'IRS - INF – XCCY précédent'!CE44</f>
        <v>0</v>
      </c>
      <c r="CG43" s="1">
        <f>+'IRS - INF – XCCY précédent'!CF44</f>
        <v>0</v>
      </c>
      <c r="CH43" s="1">
        <f>+'IRS - INF – XCCY précédent'!CG44</f>
        <v>0</v>
      </c>
      <c r="CI43" s="1">
        <f>+'IRS - INF – XCCY précédent'!CH44</f>
        <v>0</v>
      </c>
      <c r="CJ43" s="1">
        <f>+'IRS - INF – XCCY précédent'!CI44</f>
        <v>0</v>
      </c>
      <c r="CK43" s="1">
        <f>+'IRS - INF – XCCY précédent'!CJ44</f>
        <v>0</v>
      </c>
      <c r="CL43" s="1">
        <f>+'IRS - INF – XCCY précédent'!CK44</f>
        <v>0</v>
      </c>
      <c r="CM43" s="1">
        <f>+'IRS - INF – XCCY précédent'!CL44</f>
        <v>0</v>
      </c>
      <c r="CN43" s="1">
        <f>+'IRS - INF – XCCY précédent'!CM44</f>
        <v>0</v>
      </c>
      <c r="CO43" s="1">
        <f>+'IRS - INF – XCCY précédent'!CN44</f>
        <v>0</v>
      </c>
      <c r="CP43" s="1">
        <f>+'IRS - INF – XCCY précédent'!CO44</f>
        <v>0</v>
      </c>
      <c r="CQ43" s="1">
        <f>+'IRS - INF – XCCY précédent'!CP44</f>
        <v>0</v>
      </c>
      <c r="CR43" s="1">
        <f>+'IRS - INF – XCCY précédent'!CQ44</f>
        <v>0</v>
      </c>
      <c r="CS43" s="1">
        <f>+'IRS - INF – XCCY précédent'!CR44</f>
        <v>0</v>
      </c>
      <c r="CT43" s="1">
        <f>+'IRS - INF – XCCY précédent'!CS44</f>
        <v>0</v>
      </c>
      <c r="CU43" s="1">
        <f>+'IRS - INF – XCCY précédent'!CT44</f>
        <v>0</v>
      </c>
      <c r="CV43" s="1">
        <f>+'IRS - INF – XCCY précédent'!CU44</f>
        <v>0</v>
      </c>
      <c r="CW43" s="1">
        <f>+'IRS - INF – XCCY précédent'!CV44</f>
        <v>0</v>
      </c>
      <c r="CX43" s="1">
        <f>+'IRS - INF – XCCY précédent'!CW44</f>
        <v>0</v>
      </c>
      <c r="CY43" s="1">
        <f>+'IRS - INF – XCCY précédent'!CX44</f>
        <v>0</v>
      </c>
      <c r="CZ43" s="1">
        <f>+'IRS - INF – XCCY précédent'!CY44</f>
        <v>0</v>
      </c>
      <c r="DA43" s="1">
        <f>+'IRS - INF – XCCY précédent'!CZ44</f>
        <v>0</v>
      </c>
      <c r="DB43" s="1">
        <f>+'IRS - INF – XCCY précédent'!DA44</f>
        <v>0</v>
      </c>
      <c r="DC43" s="1">
        <f>+'IRS - INF – XCCY précédent'!DB44</f>
        <v>0</v>
      </c>
      <c r="DD43" s="1">
        <f>+'IRS - INF – XCCY précédent'!DC44</f>
        <v>0</v>
      </c>
      <c r="DE43" s="1">
        <f>+'IRS - INF – XCCY précédent'!DD44</f>
        <v>0</v>
      </c>
      <c r="DF43" s="1">
        <f>+'IRS - INF – XCCY précédent'!DE44</f>
        <v>0</v>
      </c>
    </row>
    <row r="44" spans="1:110" x14ac:dyDescent="0.2">
      <c r="B44" s="1">
        <f>+'IRS - INF – XCCY précédent'!A45</f>
        <v>0</v>
      </c>
      <c r="C44" s="1">
        <f>+'IRS - INF – XCCY précédent'!B45</f>
        <v>0</v>
      </c>
      <c r="D44" s="1">
        <f>+'IRS - INF – XCCY précédent'!C45</f>
        <v>0</v>
      </c>
      <c r="E44" s="1">
        <f>+'IRS - INF – XCCY précédent'!D45</f>
        <v>0</v>
      </c>
      <c r="F44" s="1">
        <f>+'IRS - INF – XCCY précédent'!E45</f>
        <v>0</v>
      </c>
      <c r="G44" s="1">
        <f>+'IRS - INF – XCCY précédent'!F45</f>
        <v>0</v>
      </c>
      <c r="H44" s="1">
        <f>+'IRS - INF – XCCY précédent'!G45</f>
        <v>0</v>
      </c>
      <c r="I44" s="1">
        <f>+'IRS - INF – XCCY précédent'!H45</f>
        <v>0</v>
      </c>
      <c r="J44" s="1">
        <f>+'IRS - INF – XCCY précédent'!I45</f>
        <v>0</v>
      </c>
      <c r="K44" s="1">
        <f>+'IRS - INF – XCCY précédent'!J45</f>
        <v>0</v>
      </c>
      <c r="L44" s="1">
        <f>+'IRS - INF – XCCY précédent'!K45</f>
        <v>0</v>
      </c>
      <c r="M44" s="1">
        <f>+'IRS - INF – XCCY précédent'!L45</f>
        <v>0</v>
      </c>
      <c r="N44" s="1">
        <f>+'IRS - INF – XCCY précédent'!M45</f>
        <v>0</v>
      </c>
      <c r="O44" s="1">
        <f>+'IRS - INF – XCCY précédent'!N45</f>
        <v>0</v>
      </c>
      <c r="P44" s="1">
        <f>+'IRS - INF – XCCY précédent'!O45</f>
        <v>0</v>
      </c>
      <c r="Q44" s="1">
        <f>+'IRS - INF – XCCY précédent'!P45</f>
        <v>0</v>
      </c>
      <c r="R44" s="1">
        <f>+'IRS - INF – XCCY précédent'!Q45</f>
        <v>0</v>
      </c>
      <c r="S44" s="1">
        <f>+'IRS - INF – XCCY précédent'!R45</f>
        <v>0</v>
      </c>
      <c r="T44" s="1">
        <f>+'IRS - INF – XCCY précédent'!S45</f>
        <v>0</v>
      </c>
      <c r="U44" s="1">
        <f>+'IRS - INF – XCCY précédent'!T45</f>
        <v>0</v>
      </c>
      <c r="V44" s="1">
        <f>+'IRS - INF – XCCY précédent'!U45</f>
        <v>0</v>
      </c>
      <c r="W44" s="1">
        <f>+'IRS - INF – XCCY précédent'!V45</f>
        <v>0</v>
      </c>
      <c r="X44" s="1">
        <f>+'IRS - INF – XCCY précédent'!W45</f>
        <v>0</v>
      </c>
      <c r="Y44" s="1">
        <f>+'IRS - INF – XCCY précédent'!X45</f>
        <v>0</v>
      </c>
      <c r="Z44" s="1">
        <f>+'IRS - INF – XCCY précédent'!Y45</f>
        <v>0</v>
      </c>
      <c r="AA44" s="1">
        <f>+'IRS - INF – XCCY précédent'!Z45</f>
        <v>0</v>
      </c>
      <c r="AB44" s="1">
        <f>+'IRS - INF – XCCY précédent'!AA45</f>
        <v>0</v>
      </c>
      <c r="AC44" s="1">
        <f>+'IRS - INF – XCCY précédent'!AB45</f>
        <v>0</v>
      </c>
      <c r="AD44" s="1">
        <f>+'IRS - INF – XCCY précédent'!AC45</f>
        <v>0</v>
      </c>
      <c r="AE44" s="1">
        <f>+'IRS - INF – XCCY précédent'!AD45</f>
        <v>0</v>
      </c>
      <c r="AF44" s="1">
        <f>+'IRS - INF – XCCY précédent'!AE45</f>
        <v>0</v>
      </c>
      <c r="AG44" s="1">
        <f>+'IRS - INF – XCCY précédent'!AF45</f>
        <v>0</v>
      </c>
      <c r="AH44" s="1">
        <f>+'IRS - INF – XCCY précédent'!AG45</f>
        <v>0</v>
      </c>
      <c r="AI44" s="1">
        <f>+'IRS - INF – XCCY précédent'!AH45</f>
        <v>0</v>
      </c>
      <c r="AJ44" s="1">
        <f>+'IRS - INF – XCCY précédent'!AI45</f>
        <v>0</v>
      </c>
      <c r="AK44" s="1">
        <f>+'IRS - INF – XCCY précédent'!AJ45</f>
        <v>0</v>
      </c>
      <c r="AL44" s="1">
        <f>+'IRS - INF – XCCY précédent'!AK45</f>
        <v>0</v>
      </c>
      <c r="AM44" s="1">
        <f>+'IRS - INF – XCCY précédent'!AL45</f>
        <v>0</v>
      </c>
      <c r="AN44" s="1">
        <f>+'IRS - INF – XCCY précédent'!AM45</f>
        <v>0</v>
      </c>
      <c r="AO44" s="1">
        <f>+'IRS - INF – XCCY précédent'!AN45</f>
        <v>0</v>
      </c>
      <c r="AP44" s="1">
        <f>+'IRS - INF – XCCY précédent'!AO45</f>
        <v>0</v>
      </c>
      <c r="AQ44" s="1">
        <f>+'IRS - INF – XCCY précédent'!AP45</f>
        <v>0</v>
      </c>
      <c r="AR44" s="1">
        <f>+'IRS - INF – XCCY précédent'!AQ45</f>
        <v>0</v>
      </c>
      <c r="AS44" s="1">
        <f>+'IRS - INF – XCCY précédent'!AR45</f>
        <v>0</v>
      </c>
      <c r="AT44" s="1">
        <f>+'IRS - INF – XCCY précédent'!AS45</f>
        <v>0</v>
      </c>
      <c r="AU44" s="1">
        <f>+'IRS - INF – XCCY précédent'!AT45</f>
        <v>0</v>
      </c>
      <c r="AV44" s="1">
        <f>+'IRS - INF – XCCY précédent'!AU45</f>
        <v>0</v>
      </c>
      <c r="AW44" s="1">
        <f>+'IRS - INF – XCCY précédent'!AV45</f>
        <v>0</v>
      </c>
      <c r="AX44" s="1">
        <f>+'IRS - INF – XCCY précédent'!AW45</f>
        <v>0</v>
      </c>
      <c r="AY44" s="1">
        <f>+'IRS - INF – XCCY précédent'!AX45</f>
        <v>0</v>
      </c>
      <c r="AZ44" s="1">
        <f>+'IRS - INF – XCCY précédent'!AY45</f>
        <v>0</v>
      </c>
      <c r="BA44" s="1">
        <f>+'IRS - INF – XCCY précédent'!AZ45</f>
        <v>0</v>
      </c>
      <c r="BB44" s="1">
        <f>+'IRS - INF – XCCY précédent'!BA45</f>
        <v>0</v>
      </c>
      <c r="BC44" s="1">
        <f>+'IRS - INF – XCCY précédent'!BB45</f>
        <v>0</v>
      </c>
      <c r="BD44" s="1">
        <f>+'IRS - INF – XCCY précédent'!BC45</f>
        <v>0</v>
      </c>
      <c r="BE44" s="1">
        <f>+'IRS - INF – XCCY précédent'!BD45</f>
        <v>0</v>
      </c>
      <c r="BF44" s="1">
        <f>+'IRS - INF – XCCY précédent'!BE45</f>
        <v>0</v>
      </c>
      <c r="BG44" s="1">
        <f>+'IRS - INF – XCCY précédent'!BF45</f>
        <v>0</v>
      </c>
      <c r="BH44" s="1">
        <f>+'IRS - INF – XCCY précédent'!BG45</f>
        <v>0</v>
      </c>
      <c r="BI44" s="1">
        <f>+'IRS - INF – XCCY précédent'!BH45</f>
        <v>0</v>
      </c>
      <c r="BJ44" s="1">
        <f>+'IRS - INF – XCCY précédent'!BI45</f>
        <v>0</v>
      </c>
      <c r="BK44" s="1">
        <f>+'IRS - INF – XCCY précédent'!BJ45</f>
        <v>0</v>
      </c>
      <c r="BL44" s="1">
        <f>+'IRS - INF – XCCY précédent'!BK45</f>
        <v>0</v>
      </c>
      <c r="BM44" s="1">
        <f>+'IRS - INF – XCCY précédent'!BL45</f>
        <v>0</v>
      </c>
      <c r="BN44" s="1">
        <f>+'IRS - INF – XCCY précédent'!BM45</f>
        <v>0</v>
      </c>
      <c r="BO44" s="1">
        <f>+'IRS - INF – XCCY précédent'!BN45</f>
        <v>0</v>
      </c>
      <c r="BP44" s="1">
        <f>+'IRS - INF – XCCY précédent'!BO45</f>
        <v>0</v>
      </c>
      <c r="BQ44" s="1">
        <f>+'IRS - INF – XCCY précédent'!BP45</f>
        <v>0</v>
      </c>
      <c r="BR44" s="1">
        <f>+'IRS - INF – XCCY précédent'!BQ45</f>
        <v>0</v>
      </c>
      <c r="BS44" s="1">
        <f>+'IRS - INF – XCCY précédent'!BR45</f>
        <v>0</v>
      </c>
      <c r="BT44" s="1">
        <f>+'IRS - INF – XCCY précédent'!BS45</f>
        <v>0</v>
      </c>
      <c r="BU44" s="1">
        <f>+'IRS - INF – XCCY précédent'!BT45</f>
        <v>0</v>
      </c>
      <c r="BV44" s="1">
        <f>+'IRS - INF – XCCY précédent'!BU45</f>
        <v>0</v>
      </c>
      <c r="BW44" s="1">
        <f>+'IRS - INF – XCCY précédent'!BV45</f>
        <v>0</v>
      </c>
      <c r="BX44" s="1">
        <f>+'IRS - INF – XCCY précédent'!BW45</f>
        <v>0</v>
      </c>
      <c r="BY44" s="1">
        <f>+'IRS - INF – XCCY précédent'!BX45</f>
        <v>0</v>
      </c>
      <c r="BZ44" s="1">
        <f>+'IRS - INF – XCCY précédent'!BY45</f>
        <v>0</v>
      </c>
      <c r="CA44" s="1">
        <f>+'IRS - INF – XCCY précédent'!BZ45</f>
        <v>0</v>
      </c>
      <c r="CB44" s="1">
        <f>+'IRS - INF – XCCY précédent'!CA45</f>
        <v>0</v>
      </c>
      <c r="CC44" s="1">
        <f>+'IRS - INF – XCCY précédent'!CB45</f>
        <v>0</v>
      </c>
      <c r="CD44" s="1">
        <f>+'IRS - INF – XCCY précédent'!CC45</f>
        <v>0</v>
      </c>
      <c r="CE44" s="1">
        <f>+'IRS - INF – XCCY précédent'!CD45</f>
        <v>0</v>
      </c>
      <c r="CF44" s="1">
        <f>+'IRS - INF – XCCY précédent'!CE45</f>
        <v>0</v>
      </c>
      <c r="CG44" s="1">
        <f>+'IRS - INF – XCCY précédent'!CF45</f>
        <v>0</v>
      </c>
      <c r="CH44" s="1">
        <f>+'IRS - INF – XCCY précédent'!CG45</f>
        <v>0</v>
      </c>
      <c r="CI44" s="1">
        <f>+'IRS - INF – XCCY précédent'!CH45</f>
        <v>0</v>
      </c>
      <c r="CJ44" s="1">
        <f>+'IRS - INF – XCCY précédent'!CI45</f>
        <v>0</v>
      </c>
      <c r="CK44" s="1">
        <f>+'IRS - INF – XCCY précédent'!CJ45</f>
        <v>0</v>
      </c>
      <c r="CL44" s="1">
        <f>+'IRS - INF – XCCY précédent'!CK45</f>
        <v>0</v>
      </c>
      <c r="CM44" s="1">
        <f>+'IRS - INF – XCCY précédent'!CL45</f>
        <v>0</v>
      </c>
      <c r="CN44" s="1">
        <f>+'IRS - INF – XCCY précédent'!CM45</f>
        <v>0</v>
      </c>
      <c r="CO44" s="1">
        <f>+'IRS - INF – XCCY précédent'!CN45</f>
        <v>0</v>
      </c>
      <c r="CP44" s="1">
        <f>+'IRS - INF – XCCY précédent'!CO45</f>
        <v>0</v>
      </c>
      <c r="CQ44" s="1">
        <f>+'IRS - INF – XCCY précédent'!CP45</f>
        <v>0</v>
      </c>
      <c r="CR44" s="1">
        <f>+'IRS - INF – XCCY précédent'!CQ45</f>
        <v>0</v>
      </c>
      <c r="CS44" s="1">
        <f>+'IRS - INF – XCCY précédent'!CR45</f>
        <v>0</v>
      </c>
      <c r="CT44" s="1">
        <f>+'IRS - INF – XCCY précédent'!CS45</f>
        <v>0</v>
      </c>
      <c r="CU44" s="1">
        <f>+'IRS - INF – XCCY précédent'!CT45</f>
        <v>0</v>
      </c>
      <c r="CV44" s="1">
        <f>+'IRS - INF – XCCY précédent'!CU45</f>
        <v>0</v>
      </c>
      <c r="CW44" s="1">
        <f>+'IRS - INF – XCCY précédent'!CV45</f>
        <v>0</v>
      </c>
      <c r="CX44" s="1">
        <f>+'IRS - INF – XCCY précédent'!CW45</f>
        <v>0</v>
      </c>
      <c r="CY44" s="1">
        <f>+'IRS - INF – XCCY précédent'!CX45</f>
        <v>0</v>
      </c>
      <c r="CZ44" s="1">
        <f>+'IRS - INF – XCCY précédent'!CY45</f>
        <v>0</v>
      </c>
      <c r="DA44" s="1">
        <f>+'IRS - INF – XCCY précédent'!CZ45</f>
        <v>0</v>
      </c>
      <c r="DB44" s="1">
        <f>+'IRS - INF – XCCY précédent'!DA45</f>
        <v>0</v>
      </c>
      <c r="DC44" s="1">
        <f>+'IRS - INF – XCCY précédent'!DB45</f>
        <v>0</v>
      </c>
      <c r="DD44" s="1">
        <f>+'IRS - INF – XCCY précédent'!DC45</f>
        <v>0</v>
      </c>
      <c r="DE44" s="1">
        <f>+'IRS - INF – XCCY précédent'!DD45</f>
        <v>0</v>
      </c>
      <c r="DF44" s="1">
        <f>+'IRS - INF – XCCY précédent'!DE45</f>
        <v>0</v>
      </c>
    </row>
    <row r="45" spans="1:110" x14ac:dyDescent="0.2">
      <c r="B45" s="1">
        <f>+'IRS - INF – XCCY précédent'!A46</f>
        <v>0</v>
      </c>
      <c r="C45" s="1">
        <f>+'IRS - INF – XCCY précédent'!B46</f>
        <v>0</v>
      </c>
      <c r="D45" s="1">
        <f>+'IRS - INF – XCCY précédent'!C46</f>
        <v>0</v>
      </c>
      <c r="E45" s="1">
        <f>+'IRS - INF – XCCY précédent'!D46</f>
        <v>0</v>
      </c>
      <c r="F45" s="1">
        <f>+'IRS - INF – XCCY précédent'!E46</f>
        <v>0</v>
      </c>
      <c r="G45" s="1">
        <f>+'IRS - INF – XCCY précédent'!F46</f>
        <v>0</v>
      </c>
      <c r="H45" s="1">
        <f>+'IRS - INF – XCCY précédent'!G46</f>
        <v>0</v>
      </c>
      <c r="I45" s="1">
        <f>+'IRS - INF – XCCY précédent'!H46</f>
        <v>0</v>
      </c>
      <c r="J45" s="1">
        <f>+'IRS - INF – XCCY précédent'!I46</f>
        <v>0</v>
      </c>
      <c r="K45" s="1">
        <f>+'IRS - INF – XCCY précédent'!J46</f>
        <v>0</v>
      </c>
      <c r="L45" s="1">
        <f>+'IRS - INF – XCCY précédent'!K46</f>
        <v>0</v>
      </c>
      <c r="M45" s="1">
        <f>+'IRS - INF – XCCY précédent'!L46</f>
        <v>0</v>
      </c>
      <c r="N45" s="1">
        <f>+'IRS - INF – XCCY précédent'!M46</f>
        <v>0</v>
      </c>
      <c r="O45" s="1">
        <f>+'IRS - INF – XCCY précédent'!N46</f>
        <v>0</v>
      </c>
      <c r="P45" s="1">
        <f>+'IRS - INF – XCCY précédent'!O46</f>
        <v>0</v>
      </c>
      <c r="Q45" s="1">
        <f>+'IRS - INF – XCCY précédent'!P46</f>
        <v>0</v>
      </c>
      <c r="R45" s="1">
        <f>+'IRS - INF – XCCY précédent'!Q46</f>
        <v>0</v>
      </c>
      <c r="S45" s="1">
        <f>+'IRS - INF – XCCY précédent'!R46</f>
        <v>0</v>
      </c>
      <c r="T45" s="1">
        <f>+'IRS - INF – XCCY précédent'!S46</f>
        <v>0</v>
      </c>
      <c r="U45" s="1">
        <f>+'IRS - INF – XCCY précédent'!T46</f>
        <v>0</v>
      </c>
      <c r="V45" s="1">
        <f>+'IRS - INF – XCCY précédent'!U46</f>
        <v>0</v>
      </c>
      <c r="W45" s="1">
        <f>+'IRS - INF – XCCY précédent'!V46</f>
        <v>0</v>
      </c>
      <c r="X45" s="1">
        <f>+'IRS - INF – XCCY précédent'!W46</f>
        <v>0</v>
      </c>
      <c r="Y45" s="1">
        <f>+'IRS - INF – XCCY précédent'!X46</f>
        <v>0</v>
      </c>
      <c r="Z45" s="1">
        <f>+'IRS - INF – XCCY précédent'!Y46</f>
        <v>0</v>
      </c>
      <c r="AA45" s="1">
        <f>+'IRS - INF – XCCY précédent'!Z46</f>
        <v>0</v>
      </c>
      <c r="AB45" s="1">
        <f>+'IRS - INF – XCCY précédent'!AA46</f>
        <v>0</v>
      </c>
      <c r="AC45" s="1">
        <f>+'IRS - INF – XCCY précédent'!AB46</f>
        <v>0</v>
      </c>
      <c r="AD45" s="1">
        <f>+'IRS - INF – XCCY précédent'!AC46</f>
        <v>0</v>
      </c>
      <c r="AE45" s="1">
        <f>+'IRS - INF – XCCY précédent'!AD46</f>
        <v>0</v>
      </c>
      <c r="AF45" s="1">
        <f>+'IRS - INF – XCCY précédent'!AE46</f>
        <v>0</v>
      </c>
      <c r="AG45" s="1">
        <f>+'IRS - INF – XCCY précédent'!AF46</f>
        <v>0</v>
      </c>
      <c r="AH45" s="1">
        <f>+'IRS - INF – XCCY précédent'!AG46</f>
        <v>0</v>
      </c>
      <c r="AI45" s="1">
        <f>+'IRS - INF – XCCY précédent'!AH46</f>
        <v>0</v>
      </c>
      <c r="AJ45" s="1">
        <f>+'IRS - INF – XCCY précédent'!AI46</f>
        <v>0</v>
      </c>
      <c r="AK45" s="1">
        <f>+'IRS - INF – XCCY précédent'!AJ46</f>
        <v>0</v>
      </c>
      <c r="AL45" s="1">
        <f>+'IRS - INF – XCCY précédent'!AK46</f>
        <v>0</v>
      </c>
      <c r="AM45" s="1">
        <f>+'IRS - INF – XCCY précédent'!AL46</f>
        <v>0</v>
      </c>
      <c r="AN45" s="1">
        <f>+'IRS - INF – XCCY précédent'!AM46</f>
        <v>0</v>
      </c>
      <c r="AO45" s="1">
        <f>+'IRS - INF – XCCY précédent'!AN46</f>
        <v>0</v>
      </c>
      <c r="AP45" s="1">
        <f>+'IRS - INF – XCCY précédent'!AO46</f>
        <v>0</v>
      </c>
      <c r="AQ45" s="1">
        <f>+'IRS - INF – XCCY précédent'!AP46</f>
        <v>0</v>
      </c>
      <c r="AR45" s="1">
        <f>+'IRS - INF – XCCY précédent'!AQ46</f>
        <v>0</v>
      </c>
      <c r="AS45" s="1">
        <f>+'IRS - INF – XCCY précédent'!AR46</f>
        <v>0</v>
      </c>
      <c r="AT45" s="1">
        <f>+'IRS - INF – XCCY précédent'!AS46</f>
        <v>0</v>
      </c>
      <c r="AU45" s="1">
        <f>+'IRS - INF – XCCY précédent'!AT46</f>
        <v>0</v>
      </c>
      <c r="AV45" s="1">
        <f>+'IRS - INF – XCCY précédent'!AU46</f>
        <v>0</v>
      </c>
      <c r="AW45" s="1">
        <f>+'IRS - INF – XCCY précédent'!AV46</f>
        <v>0</v>
      </c>
      <c r="AX45" s="1">
        <f>+'IRS - INF – XCCY précédent'!AW46</f>
        <v>0</v>
      </c>
      <c r="AY45" s="1">
        <f>+'IRS - INF – XCCY précédent'!AX46</f>
        <v>0</v>
      </c>
      <c r="AZ45" s="1">
        <f>+'IRS - INF – XCCY précédent'!AY46</f>
        <v>0</v>
      </c>
      <c r="BA45" s="1">
        <f>+'IRS - INF – XCCY précédent'!AZ46</f>
        <v>0</v>
      </c>
      <c r="BB45" s="1">
        <f>+'IRS - INF – XCCY précédent'!BA46</f>
        <v>0</v>
      </c>
      <c r="BC45" s="1">
        <f>+'IRS - INF – XCCY précédent'!BB46</f>
        <v>0</v>
      </c>
      <c r="BD45" s="1">
        <f>+'IRS - INF – XCCY précédent'!BC46</f>
        <v>0</v>
      </c>
      <c r="BE45" s="1">
        <f>+'IRS - INF – XCCY précédent'!BD46</f>
        <v>0</v>
      </c>
      <c r="BF45" s="1">
        <f>+'IRS - INF – XCCY précédent'!BE46</f>
        <v>0</v>
      </c>
      <c r="BG45" s="1">
        <f>+'IRS - INF – XCCY précédent'!BF46</f>
        <v>0</v>
      </c>
      <c r="BH45" s="1">
        <f>+'IRS - INF – XCCY précédent'!BG46</f>
        <v>0</v>
      </c>
      <c r="BI45" s="1">
        <f>+'IRS - INF – XCCY précédent'!BH46</f>
        <v>0</v>
      </c>
      <c r="BJ45" s="1">
        <f>+'IRS - INF – XCCY précédent'!BI46</f>
        <v>0</v>
      </c>
      <c r="BK45" s="1">
        <f>+'IRS - INF – XCCY précédent'!BJ46</f>
        <v>0</v>
      </c>
      <c r="BL45" s="1">
        <f>+'IRS - INF – XCCY précédent'!BK46</f>
        <v>0</v>
      </c>
      <c r="BM45" s="1">
        <f>+'IRS - INF – XCCY précédent'!BL46</f>
        <v>0</v>
      </c>
      <c r="BN45" s="1">
        <f>+'IRS - INF – XCCY précédent'!BM46</f>
        <v>0</v>
      </c>
      <c r="BO45" s="1">
        <f>+'IRS - INF – XCCY précédent'!BN46</f>
        <v>0</v>
      </c>
      <c r="BP45" s="1">
        <f>+'IRS - INF – XCCY précédent'!BO46</f>
        <v>0</v>
      </c>
      <c r="BQ45" s="1">
        <f>+'IRS - INF – XCCY précédent'!BP46</f>
        <v>0</v>
      </c>
      <c r="BR45" s="1">
        <f>+'IRS - INF – XCCY précédent'!BQ46</f>
        <v>0</v>
      </c>
      <c r="BS45" s="1">
        <f>+'IRS - INF – XCCY précédent'!BR46</f>
        <v>0</v>
      </c>
      <c r="BT45" s="1">
        <f>+'IRS - INF – XCCY précédent'!BS46</f>
        <v>0</v>
      </c>
      <c r="BU45" s="1">
        <f>+'IRS - INF – XCCY précédent'!BT46</f>
        <v>0</v>
      </c>
      <c r="BV45" s="1">
        <f>+'IRS - INF – XCCY précédent'!BU46</f>
        <v>0</v>
      </c>
      <c r="BW45" s="1">
        <f>+'IRS - INF – XCCY précédent'!BV46</f>
        <v>0</v>
      </c>
      <c r="BX45" s="1">
        <f>+'IRS - INF – XCCY précédent'!BW46</f>
        <v>0</v>
      </c>
      <c r="BY45" s="1">
        <f>+'IRS - INF – XCCY précédent'!BX46</f>
        <v>0</v>
      </c>
      <c r="BZ45" s="1">
        <f>+'IRS - INF – XCCY précédent'!BY46</f>
        <v>0</v>
      </c>
      <c r="CA45" s="1">
        <f>+'IRS - INF – XCCY précédent'!BZ46</f>
        <v>0</v>
      </c>
      <c r="CB45" s="1">
        <f>+'IRS - INF – XCCY précédent'!CA46</f>
        <v>0</v>
      </c>
      <c r="CC45" s="1">
        <f>+'IRS - INF – XCCY précédent'!CB46</f>
        <v>0</v>
      </c>
      <c r="CD45" s="1">
        <f>+'IRS - INF – XCCY précédent'!CC46</f>
        <v>0</v>
      </c>
      <c r="CE45" s="1">
        <f>+'IRS - INF – XCCY précédent'!CD46</f>
        <v>0</v>
      </c>
      <c r="CF45" s="1">
        <f>+'IRS - INF – XCCY précédent'!CE46</f>
        <v>0</v>
      </c>
      <c r="CG45" s="1">
        <f>+'IRS - INF – XCCY précédent'!CF46</f>
        <v>0</v>
      </c>
      <c r="CH45" s="1">
        <f>+'IRS - INF – XCCY précédent'!CG46</f>
        <v>0</v>
      </c>
      <c r="CI45" s="1">
        <f>+'IRS - INF – XCCY précédent'!CH46</f>
        <v>0</v>
      </c>
      <c r="CJ45" s="1">
        <f>+'IRS - INF – XCCY précédent'!CI46</f>
        <v>0</v>
      </c>
      <c r="CK45" s="1">
        <f>+'IRS - INF – XCCY précédent'!CJ46</f>
        <v>0</v>
      </c>
      <c r="CL45" s="1">
        <f>+'IRS - INF – XCCY précédent'!CK46</f>
        <v>0</v>
      </c>
      <c r="CM45" s="1">
        <f>+'IRS - INF – XCCY précédent'!CL46</f>
        <v>0</v>
      </c>
      <c r="CN45" s="1">
        <f>+'IRS - INF – XCCY précédent'!CM46</f>
        <v>0</v>
      </c>
      <c r="CO45" s="1">
        <f>+'IRS - INF – XCCY précédent'!CN46</f>
        <v>0</v>
      </c>
      <c r="CP45" s="1">
        <f>+'IRS - INF – XCCY précédent'!CO46</f>
        <v>0</v>
      </c>
      <c r="CQ45" s="1">
        <f>+'IRS - INF – XCCY précédent'!CP46</f>
        <v>0</v>
      </c>
      <c r="CR45" s="1">
        <f>+'IRS - INF – XCCY précédent'!CQ46</f>
        <v>0</v>
      </c>
      <c r="CS45" s="1">
        <f>+'IRS - INF – XCCY précédent'!CR46</f>
        <v>0</v>
      </c>
      <c r="CT45" s="1">
        <f>+'IRS - INF – XCCY précédent'!CS46</f>
        <v>0</v>
      </c>
      <c r="CU45" s="1">
        <f>+'IRS - INF – XCCY précédent'!CT46</f>
        <v>0</v>
      </c>
      <c r="CV45" s="1">
        <f>+'IRS - INF – XCCY précédent'!CU46</f>
        <v>0</v>
      </c>
      <c r="CW45" s="1">
        <f>+'IRS - INF – XCCY précédent'!CV46</f>
        <v>0</v>
      </c>
      <c r="CX45" s="1">
        <f>+'IRS - INF – XCCY précédent'!CW46</f>
        <v>0</v>
      </c>
      <c r="CY45" s="1">
        <f>+'IRS - INF – XCCY précédent'!CX46</f>
        <v>0</v>
      </c>
      <c r="CZ45" s="1">
        <f>+'IRS - INF – XCCY précédent'!CY46</f>
        <v>0</v>
      </c>
      <c r="DA45" s="1">
        <f>+'IRS - INF – XCCY précédent'!CZ46</f>
        <v>0</v>
      </c>
      <c r="DB45" s="1">
        <f>+'IRS - INF – XCCY précédent'!DA46</f>
        <v>0</v>
      </c>
      <c r="DC45" s="1">
        <f>+'IRS - INF – XCCY précédent'!DB46</f>
        <v>0</v>
      </c>
      <c r="DD45" s="1">
        <f>+'IRS - INF – XCCY précédent'!DC46</f>
        <v>0</v>
      </c>
      <c r="DE45" s="1">
        <f>+'IRS - INF – XCCY précédent'!DD46</f>
        <v>0</v>
      </c>
      <c r="DF45" s="1">
        <f>+'IRS - INF – XCCY précédent'!DE46</f>
        <v>0</v>
      </c>
    </row>
    <row r="46" spans="1:110" x14ac:dyDescent="0.2">
      <c r="B46" s="1">
        <f>+'IRS - INF – XCCY précédent'!A47</f>
        <v>0</v>
      </c>
      <c r="C46" s="1">
        <f>+'IRS - INF – XCCY précédent'!B47</f>
        <v>0</v>
      </c>
      <c r="D46" s="1">
        <f>+'IRS - INF – XCCY précédent'!C47</f>
        <v>0</v>
      </c>
      <c r="E46" s="1">
        <f>+'IRS - INF – XCCY précédent'!D47</f>
        <v>0</v>
      </c>
      <c r="F46" s="1">
        <f>+'IRS - INF – XCCY précédent'!E47</f>
        <v>0</v>
      </c>
      <c r="G46" s="1">
        <f>+'IRS - INF – XCCY précédent'!F47</f>
        <v>0</v>
      </c>
      <c r="H46" s="1">
        <f>+'IRS - INF – XCCY précédent'!G47</f>
        <v>0</v>
      </c>
      <c r="I46" s="1">
        <f>+'IRS - INF – XCCY précédent'!H47</f>
        <v>0</v>
      </c>
      <c r="J46" s="1">
        <f>+'IRS - INF – XCCY précédent'!I47</f>
        <v>0</v>
      </c>
      <c r="K46" s="1">
        <f>+'IRS - INF – XCCY précédent'!J47</f>
        <v>0</v>
      </c>
      <c r="L46" s="1">
        <f>+'IRS - INF – XCCY précédent'!K47</f>
        <v>0</v>
      </c>
      <c r="M46" s="1">
        <f>+'IRS - INF – XCCY précédent'!L47</f>
        <v>0</v>
      </c>
      <c r="N46" s="1">
        <f>+'IRS - INF – XCCY précédent'!M47</f>
        <v>0</v>
      </c>
      <c r="O46" s="1">
        <f>+'IRS - INF – XCCY précédent'!N47</f>
        <v>0</v>
      </c>
      <c r="P46" s="1">
        <f>+'IRS - INF – XCCY précédent'!O47</f>
        <v>0</v>
      </c>
      <c r="Q46" s="1">
        <f>+'IRS - INF – XCCY précédent'!P47</f>
        <v>0</v>
      </c>
      <c r="R46" s="1">
        <f>+'IRS - INF – XCCY précédent'!Q47</f>
        <v>0</v>
      </c>
      <c r="S46" s="1">
        <f>+'IRS - INF – XCCY précédent'!R47</f>
        <v>0</v>
      </c>
      <c r="T46" s="1">
        <f>+'IRS - INF – XCCY précédent'!S47</f>
        <v>0</v>
      </c>
      <c r="U46" s="1">
        <f>+'IRS - INF – XCCY précédent'!T47</f>
        <v>0</v>
      </c>
      <c r="V46" s="1">
        <f>+'IRS - INF – XCCY précédent'!U47</f>
        <v>0</v>
      </c>
      <c r="W46" s="1">
        <f>+'IRS - INF – XCCY précédent'!V47</f>
        <v>0</v>
      </c>
      <c r="X46" s="1">
        <f>+'IRS - INF – XCCY précédent'!W47</f>
        <v>0</v>
      </c>
      <c r="Y46" s="1">
        <f>+'IRS - INF – XCCY précédent'!X47</f>
        <v>0</v>
      </c>
      <c r="Z46" s="1">
        <f>+'IRS - INF – XCCY précédent'!Y47</f>
        <v>0</v>
      </c>
      <c r="AA46" s="1">
        <f>+'IRS - INF – XCCY précédent'!Z47</f>
        <v>0</v>
      </c>
      <c r="AB46" s="1">
        <f>+'IRS - INF – XCCY précédent'!AA47</f>
        <v>0</v>
      </c>
      <c r="AC46" s="1">
        <f>+'IRS - INF – XCCY précédent'!AB47</f>
        <v>0</v>
      </c>
      <c r="AD46" s="1">
        <f>+'IRS - INF – XCCY précédent'!AC47</f>
        <v>0</v>
      </c>
      <c r="AE46" s="1">
        <f>+'IRS - INF – XCCY précédent'!AD47</f>
        <v>0</v>
      </c>
      <c r="AF46" s="1">
        <f>+'IRS - INF – XCCY précédent'!AE47</f>
        <v>0</v>
      </c>
      <c r="AG46" s="1">
        <f>+'IRS - INF – XCCY précédent'!AF47</f>
        <v>0</v>
      </c>
      <c r="AH46" s="1">
        <f>+'IRS - INF – XCCY précédent'!AG47</f>
        <v>0</v>
      </c>
      <c r="AI46" s="1">
        <f>+'IRS - INF – XCCY précédent'!AH47</f>
        <v>0</v>
      </c>
      <c r="AJ46" s="1">
        <f>+'IRS - INF – XCCY précédent'!AI47</f>
        <v>0</v>
      </c>
      <c r="AK46" s="1">
        <f>+'IRS - INF – XCCY précédent'!AJ47</f>
        <v>0</v>
      </c>
      <c r="AL46" s="1">
        <f>+'IRS - INF – XCCY précédent'!AK47</f>
        <v>0</v>
      </c>
      <c r="AM46" s="1">
        <f>+'IRS - INF – XCCY précédent'!AL47</f>
        <v>0</v>
      </c>
      <c r="AN46" s="1">
        <f>+'IRS - INF – XCCY précédent'!AM47</f>
        <v>0</v>
      </c>
      <c r="AO46" s="1">
        <f>+'IRS - INF – XCCY précédent'!AN47</f>
        <v>0</v>
      </c>
      <c r="AP46" s="1">
        <f>+'IRS - INF – XCCY précédent'!AO47</f>
        <v>0</v>
      </c>
      <c r="AQ46" s="1">
        <f>+'IRS - INF – XCCY précédent'!AP47</f>
        <v>0</v>
      </c>
      <c r="AR46" s="1">
        <f>+'IRS - INF – XCCY précédent'!AQ47</f>
        <v>0</v>
      </c>
      <c r="AS46" s="1">
        <f>+'IRS - INF – XCCY précédent'!AR47</f>
        <v>0</v>
      </c>
      <c r="AT46" s="1">
        <f>+'IRS - INF – XCCY précédent'!AS47</f>
        <v>0</v>
      </c>
      <c r="AU46" s="1">
        <f>+'IRS - INF – XCCY précédent'!AT47</f>
        <v>0</v>
      </c>
      <c r="AV46" s="1">
        <f>+'IRS - INF – XCCY précédent'!AU47</f>
        <v>0</v>
      </c>
      <c r="AW46" s="1">
        <f>+'IRS - INF – XCCY précédent'!AV47</f>
        <v>0</v>
      </c>
      <c r="AX46" s="1">
        <f>+'IRS - INF – XCCY précédent'!AW47</f>
        <v>0</v>
      </c>
      <c r="AY46" s="1">
        <f>+'IRS - INF – XCCY précédent'!AX47</f>
        <v>0</v>
      </c>
      <c r="AZ46" s="1">
        <f>+'IRS - INF – XCCY précédent'!AY47</f>
        <v>0</v>
      </c>
      <c r="BA46" s="1">
        <f>+'IRS - INF – XCCY précédent'!AZ47</f>
        <v>0</v>
      </c>
      <c r="BB46" s="1">
        <f>+'IRS - INF – XCCY précédent'!BA47</f>
        <v>0</v>
      </c>
      <c r="BC46" s="1">
        <f>+'IRS - INF – XCCY précédent'!BB47</f>
        <v>0</v>
      </c>
      <c r="BD46" s="1">
        <f>+'IRS - INF – XCCY précédent'!BC47</f>
        <v>0</v>
      </c>
      <c r="BE46" s="1">
        <f>+'IRS - INF – XCCY précédent'!BD47</f>
        <v>0</v>
      </c>
      <c r="BF46" s="1">
        <f>+'IRS - INF – XCCY précédent'!BE47</f>
        <v>0</v>
      </c>
      <c r="BG46" s="1">
        <f>+'IRS - INF – XCCY précédent'!BF47</f>
        <v>0</v>
      </c>
      <c r="BH46" s="1">
        <f>+'IRS - INF – XCCY précédent'!BG47</f>
        <v>0</v>
      </c>
      <c r="BI46" s="1">
        <f>+'IRS - INF – XCCY précédent'!BH47</f>
        <v>0</v>
      </c>
      <c r="BJ46" s="1">
        <f>+'IRS - INF – XCCY précédent'!BI47</f>
        <v>0</v>
      </c>
      <c r="BK46" s="1">
        <f>+'IRS - INF – XCCY précédent'!BJ47</f>
        <v>0</v>
      </c>
      <c r="BL46" s="1">
        <f>+'IRS - INF – XCCY précédent'!BK47</f>
        <v>0</v>
      </c>
      <c r="BM46" s="1">
        <f>+'IRS - INF – XCCY précédent'!BL47</f>
        <v>0</v>
      </c>
      <c r="BN46" s="1">
        <f>+'IRS - INF – XCCY précédent'!BM47</f>
        <v>0</v>
      </c>
      <c r="BO46" s="1">
        <f>+'IRS - INF – XCCY précédent'!BN47</f>
        <v>0</v>
      </c>
      <c r="BP46" s="1">
        <f>+'IRS - INF – XCCY précédent'!BO47</f>
        <v>0</v>
      </c>
      <c r="BQ46" s="1">
        <f>+'IRS - INF – XCCY précédent'!BP47</f>
        <v>0</v>
      </c>
      <c r="BR46" s="1">
        <f>+'IRS - INF – XCCY précédent'!BQ47</f>
        <v>0</v>
      </c>
      <c r="BS46" s="1">
        <f>+'IRS - INF – XCCY précédent'!BR47</f>
        <v>0</v>
      </c>
      <c r="BT46" s="1">
        <f>+'IRS - INF – XCCY précédent'!BS47</f>
        <v>0</v>
      </c>
      <c r="BU46" s="1">
        <f>+'IRS - INF – XCCY précédent'!BT47</f>
        <v>0</v>
      </c>
      <c r="BV46" s="1">
        <f>+'IRS - INF – XCCY précédent'!BU47</f>
        <v>0</v>
      </c>
      <c r="BW46" s="1">
        <f>+'IRS - INF – XCCY précédent'!BV47</f>
        <v>0</v>
      </c>
      <c r="BX46" s="1">
        <f>+'IRS - INF – XCCY précédent'!BW47</f>
        <v>0</v>
      </c>
      <c r="BY46" s="1">
        <f>+'IRS - INF – XCCY précédent'!BX47</f>
        <v>0</v>
      </c>
      <c r="BZ46" s="1">
        <f>+'IRS - INF – XCCY précédent'!BY47</f>
        <v>0</v>
      </c>
      <c r="CA46" s="1">
        <f>+'IRS - INF – XCCY précédent'!BZ47</f>
        <v>0</v>
      </c>
      <c r="CB46" s="1">
        <f>+'IRS - INF – XCCY précédent'!CA47</f>
        <v>0</v>
      </c>
      <c r="CC46" s="1">
        <f>+'IRS - INF – XCCY précédent'!CB47</f>
        <v>0</v>
      </c>
      <c r="CD46" s="1">
        <f>+'IRS - INF – XCCY précédent'!CC47</f>
        <v>0</v>
      </c>
      <c r="CE46" s="1">
        <f>+'IRS - INF – XCCY précédent'!CD47</f>
        <v>0</v>
      </c>
      <c r="CF46" s="1">
        <f>+'IRS - INF – XCCY précédent'!CE47</f>
        <v>0</v>
      </c>
      <c r="CG46" s="1">
        <f>+'IRS - INF – XCCY précédent'!CF47</f>
        <v>0</v>
      </c>
      <c r="CH46" s="1">
        <f>+'IRS - INF – XCCY précédent'!CG47</f>
        <v>0</v>
      </c>
      <c r="CI46" s="1">
        <f>+'IRS - INF – XCCY précédent'!CH47</f>
        <v>0</v>
      </c>
      <c r="CJ46" s="1">
        <f>+'IRS - INF – XCCY précédent'!CI47</f>
        <v>0</v>
      </c>
      <c r="CK46" s="1">
        <f>+'IRS - INF – XCCY précédent'!CJ47</f>
        <v>0</v>
      </c>
      <c r="CL46" s="1">
        <f>+'IRS - INF – XCCY précédent'!CK47</f>
        <v>0</v>
      </c>
      <c r="CM46" s="1">
        <f>+'IRS - INF – XCCY précédent'!CL47</f>
        <v>0</v>
      </c>
      <c r="CN46" s="1">
        <f>+'IRS - INF – XCCY précédent'!CM47</f>
        <v>0</v>
      </c>
      <c r="CO46" s="1">
        <f>+'IRS - INF – XCCY précédent'!CN47</f>
        <v>0</v>
      </c>
      <c r="CP46" s="1">
        <f>+'IRS - INF – XCCY précédent'!CO47</f>
        <v>0</v>
      </c>
      <c r="CQ46" s="1">
        <f>+'IRS - INF – XCCY précédent'!CP47</f>
        <v>0</v>
      </c>
      <c r="CR46" s="1">
        <f>+'IRS - INF – XCCY précédent'!CQ47</f>
        <v>0</v>
      </c>
      <c r="CS46" s="1">
        <f>+'IRS - INF – XCCY précédent'!CR47</f>
        <v>0</v>
      </c>
      <c r="CT46" s="1">
        <f>+'IRS - INF – XCCY précédent'!CS47</f>
        <v>0</v>
      </c>
      <c r="CU46" s="1">
        <f>+'IRS - INF – XCCY précédent'!CT47</f>
        <v>0</v>
      </c>
      <c r="CV46" s="1">
        <f>+'IRS - INF – XCCY précédent'!CU47</f>
        <v>0</v>
      </c>
      <c r="CW46" s="1">
        <f>+'IRS - INF – XCCY précédent'!CV47</f>
        <v>0</v>
      </c>
      <c r="CX46" s="1">
        <f>+'IRS - INF – XCCY précédent'!CW47</f>
        <v>0</v>
      </c>
      <c r="CY46" s="1">
        <f>+'IRS - INF – XCCY précédent'!CX47</f>
        <v>0</v>
      </c>
      <c r="CZ46" s="1">
        <f>+'IRS - INF – XCCY précédent'!CY47</f>
        <v>0</v>
      </c>
      <c r="DA46" s="1">
        <f>+'IRS - INF – XCCY précédent'!CZ47</f>
        <v>0</v>
      </c>
      <c r="DB46" s="1">
        <f>+'IRS - INF – XCCY précédent'!DA47</f>
        <v>0</v>
      </c>
      <c r="DC46" s="1">
        <f>+'IRS - INF – XCCY précédent'!DB47</f>
        <v>0</v>
      </c>
      <c r="DD46" s="1">
        <f>+'IRS - INF – XCCY précédent'!DC47</f>
        <v>0</v>
      </c>
      <c r="DE46" s="1">
        <f>+'IRS - INF – XCCY précédent'!DD47</f>
        <v>0</v>
      </c>
      <c r="DF46" s="1">
        <f>+'IRS - INF – XCCY précédent'!DE47</f>
        <v>0</v>
      </c>
    </row>
    <row r="47" spans="1:110" x14ac:dyDescent="0.2">
      <c r="B47" s="1">
        <f>+'IRS - INF – XCCY précédent'!A48</f>
        <v>0</v>
      </c>
      <c r="C47" s="1">
        <f>+'IRS - INF – XCCY précédent'!B48</f>
        <v>0</v>
      </c>
      <c r="D47" s="1">
        <f>+'IRS - INF – XCCY précédent'!C48</f>
        <v>0</v>
      </c>
      <c r="E47" s="1">
        <f>+'IRS - INF – XCCY précédent'!D48</f>
        <v>0</v>
      </c>
      <c r="F47" s="1">
        <f>+'IRS - INF – XCCY précédent'!E48</f>
        <v>0</v>
      </c>
      <c r="G47" s="1">
        <f>+'IRS - INF – XCCY précédent'!F48</f>
        <v>0</v>
      </c>
      <c r="H47" s="1">
        <f>+'IRS - INF – XCCY précédent'!G48</f>
        <v>0</v>
      </c>
      <c r="I47" s="1">
        <f>+'IRS - INF – XCCY précédent'!H48</f>
        <v>0</v>
      </c>
      <c r="J47" s="1">
        <f>+'IRS - INF – XCCY précédent'!I48</f>
        <v>0</v>
      </c>
      <c r="K47" s="1">
        <f>+'IRS - INF – XCCY précédent'!J48</f>
        <v>0</v>
      </c>
      <c r="L47" s="1">
        <f>+'IRS - INF – XCCY précédent'!K48</f>
        <v>0</v>
      </c>
      <c r="M47" s="1">
        <f>+'IRS - INF – XCCY précédent'!L48</f>
        <v>0</v>
      </c>
      <c r="N47" s="1">
        <f>+'IRS - INF – XCCY précédent'!M48</f>
        <v>0</v>
      </c>
      <c r="O47" s="1">
        <f>+'IRS - INF – XCCY précédent'!N48</f>
        <v>0</v>
      </c>
      <c r="P47" s="1">
        <f>+'IRS - INF – XCCY précédent'!O48</f>
        <v>0</v>
      </c>
      <c r="Q47" s="1">
        <f>+'IRS - INF – XCCY précédent'!P48</f>
        <v>0</v>
      </c>
      <c r="R47" s="1">
        <f>+'IRS - INF – XCCY précédent'!Q48</f>
        <v>0</v>
      </c>
      <c r="S47" s="1">
        <f>+'IRS - INF – XCCY précédent'!R48</f>
        <v>0</v>
      </c>
      <c r="T47" s="1">
        <f>+'IRS - INF – XCCY précédent'!S48</f>
        <v>0</v>
      </c>
      <c r="U47" s="1">
        <f>+'IRS - INF – XCCY précédent'!T48</f>
        <v>0</v>
      </c>
      <c r="V47" s="1">
        <f>+'IRS - INF – XCCY précédent'!U48</f>
        <v>0</v>
      </c>
      <c r="W47" s="1">
        <f>+'IRS - INF – XCCY précédent'!V48</f>
        <v>0</v>
      </c>
      <c r="X47" s="1">
        <f>+'IRS - INF – XCCY précédent'!W48</f>
        <v>0</v>
      </c>
      <c r="Y47" s="1">
        <f>+'IRS - INF – XCCY précédent'!X48</f>
        <v>0</v>
      </c>
      <c r="Z47" s="1">
        <f>+'IRS - INF – XCCY précédent'!Y48</f>
        <v>0</v>
      </c>
      <c r="AA47" s="1">
        <f>+'IRS - INF – XCCY précédent'!Z48</f>
        <v>0</v>
      </c>
      <c r="AB47" s="1">
        <f>+'IRS - INF – XCCY précédent'!AA48</f>
        <v>0</v>
      </c>
      <c r="AC47" s="1">
        <f>+'IRS - INF – XCCY précédent'!AB48</f>
        <v>0</v>
      </c>
      <c r="AD47" s="1">
        <f>+'IRS - INF – XCCY précédent'!AC48</f>
        <v>0</v>
      </c>
      <c r="AE47" s="1">
        <f>+'IRS - INF – XCCY précédent'!AD48</f>
        <v>0</v>
      </c>
      <c r="AF47" s="1">
        <f>+'IRS - INF – XCCY précédent'!AE48</f>
        <v>0</v>
      </c>
      <c r="AG47" s="1">
        <f>+'IRS - INF – XCCY précédent'!AF48</f>
        <v>0</v>
      </c>
      <c r="AH47" s="1">
        <f>+'IRS - INF – XCCY précédent'!AG48</f>
        <v>0</v>
      </c>
      <c r="AI47" s="1">
        <f>+'IRS - INF – XCCY précédent'!AH48</f>
        <v>0</v>
      </c>
      <c r="AJ47" s="1">
        <f>+'IRS - INF – XCCY précédent'!AI48</f>
        <v>0</v>
      </c>
      <c r="AK47" s="1">
        <f>+'IRS - INF – XCCY précédent'!AJ48</f>
        <v>0</v>
      </c>
      <c r="AL47" s="1">
        <f>+'IRS - INF – XCCY précédent'!AK48</f>
        <v>0</v>
      </c>
      <c r="AM47" s="1">
        <f>+'IRS - INF – XCCY précédent'!AL48</f>
        <v>0</v>
      </c>
      <c r="AN47" s="1">
        <f>+'IRS - INF – XCCY précédent'!AM48</f>
        <v>0</v>
      </c>
      <c r="AO47" s="1">
        <f>+'IRS - INF – XCCY précédent'!AN48</f>
        <v>0</v>
      </c>
      <c r="AP47" s="1">
        <f>+'IRS - INF – XCCY précédent'!AO48</f>
        <v>0</v>
      </c>
      <c r="AQ47" s="1">
        <f>+'IRS - INF – XCCY précédent'!AP48</f>
        <v>0</v>
      </c>
      <c r="AR47" s="1">
        <f>+'IRS - INF – XCCY précédent'!AQ48</f>
        <v>0</v>
      </c>
      <c r="AS47" s="1">
        <f>+'IRS - INF – XCCY précédent'!AR48</f>
        <v>0</v>
      </c>
      <c r="AT47" s="1">
        <f>+'IRS - INF – XCCY précédent'!AS48</f>
        <v>0</v>
      </c>
      <c r="AU47" s="1">
        <f>+'IRS - INF – XCCY précédent'!AT48</f>
        <v>0</v>
      </c>
      <c r="AV47" s="1">
        <f>+'IRS - INF – XCCY précédent'!AU48</f>
        <v>0</v>
      </c>
      <c r="AW47" s="1">
        <f>+'IRS - INF – XCCY précédent'!AV48</f>
        <v>0</v>
      </c>
      <c r="AX47" s="1">
        <f>+'IRS - INF – XCCY précédent'!AW48</f>
        <v>0</v>
      </c>
      <c r="AY47" s="1">
        <f>+'IRS - INF – XCCY précédent'!AX48</f>
        <v>0</v>
      </c>
      <c r="AZ47" s="1">
        <f>+'IRS - INF – XCCY précédent'!AY48</f>
        <v>0</v>
      </c>
      <c r="BA47" s="1">
        <f>+'IRS - INF – XCCY précédent'!AZ48</f>
        <v>0</v>
      </c>
      <c r="BB47" s="1">
        <f>+'IRS - INF – XCCY précédent'!BA48</f>
        <v>0</v>
      </c>
      <c r="BC47" s="1">
        <f>+'IRS - INF – XCCY précédent'!BB48</f>
        <v>0</v>
      </c>
      <c r="BD47" s="1">
        <f>+'IRS - INF – XCCY précédent'!BC48</f>
        <v>0</v>
      </c>
      <c r="BE47" s="1">
        <f>+'IRS - INF – XCCY précédent'!BD48</f>
        <v>0</v>
      </c>
      <c r="BF47" s="1">
        <f>+'IRS - INF – XCCY précédent'!BE48</f>
        <v>0</v>
      </c>
      <c r="BG47" s="1">
        <f>+'IRS - INF – XCCY précédent'!BF48</f>
        <v>0</v>
      </c>
      <c r="BH47" s="1">
        <f>+'IRS - INF – XCCY précédent'!BG48</f>
        <v>0</v>
      </c>
      <c r="BI47" s="1">
        <f>+'IRS - INF – XCCY précédent'!BH48</f>
        <v>0</v>
      </c>
      <c r="BJ47" s="1">
        <f>+'IRS - INF – XCCY précédent'!BI48</f>
        <v>0</v>
      </c>
      <c r="BK47" s="1">
        <f>+'IRS - INF – XCCY précédent'!BJ48</f>
        <v>0</v>
      </c>
      <c r="BL47" s="1">
        <f>+'IRS - INF – XCCY précédent'!BK48</f>
        <v>0</v>
      </c>
      <c r="BM47" s="1">
        <f>+'IRS - INF – XCCY précédent'!BL48</f>
        <v>0</v>
      </c>
      <c r="BN47" s="1">
        <f>+'IRS - INF – XCCY précédent'!BM48</f>
        <v>0</v>
      </c>
      <c r="BO47" s="1">
        <f>+'IRS - INF – XCCY précédent'!BN48</f>
        <v>0</v>
      </c>
      <c r="BP47" s="1">
        <f>+'IRS - INF – XCCY précédent'!BO48</f>
        <v>0</v>
      </c>
      <c r="BQ47" s="1">
        <f>+'IRS - INF – XCCY précédent'!BP48</f>
        <v>0</v>
      </c>
      <c r="BR47" s="1">
        <f>+'IRS - INF – XCCY précédent'!BQ48</f>
        <v>0</v>
      </c>
      <c r="BS47" s="1">
        <f>+'IRS - INF – XCCY précédent'!BR48</f>
        <v>0</v>
      </c>
      <c r="BT47" s="1">
        <f>+'IRS - INF – XCCY précédent'!BS48</f>
        <v>0</v>
      </c>
      <c r="BU47" s="1">
        <f>+'IRS - INF – XCCY précédent'!BT48</f>
        <v>0</v>
      </c>
      <c r="BV47" s="1">
        <f>+'IRS - INF – XCCY précédent'!BU48</f>
        <v>0</v>
      </c>
      <c r="BW47" s="1">
        <f>+'IRS - INF – XCCY précédent'!BV48</f>
        <v>0</v>
      </c>
      <c r="BX47" s="1">
        <f>+'IRS - INF – XCCY précédent'!BW48</f>
        <v>0</v>
      </c>
      <c r="BY47" s="1">
        <f>+'IRS - INF – XCCY précédent'!BX48</f>
        <v>0</v>
      </c>
      <c r="BZ47" s="1">
        <f>+'IRS - INF – XCCY précédent'!BY48</f>
        <v>0</v>
      </c>
      <c r="CA47" s="1">
        <f>+'IRS - INF – XCCY précédent'!BZ48</f>
        <v>0</v>
      </c>
      <c r="CB47" s="1">
        <f>+'IRS - INF – XCCY précédent'!CA48</f>
        <v>0</v>
      </c>
      <c r="CC47" s="1">
        <f>+'IRS - INF – XCCY précédent'!CB48</f>
        <v>0</v>
      </c>
      <c r="CD47" s="1">
        <f>+'IRS - INF – XCCY précédent'!CC48</f>
        <v>0</v>
      </c>
      <c r="CE47" s="1">
        <f>+'IRS - INF – XCCY précédent'!CD48</f>
        <v>0</v>
      </c>
      <c r="CF47" s="1">
        <f>+'IRS - INF – XCCY précédent'!CE48</f>
        <v>0</v>
      </c>
      <c r="CG47" s="1">
        <f>+'IRS - INF – XCCY précédent'!CF48</f>
        <v>0</v>
      </c>
      <c r="CH47" s="1">
        <f>+'IRS - INF – XCCY précédent'!CG48</f>
        <v>0</v>
      </c>
      <c r="CI47" s="1">
        <f>+'IRS - INF – XCCY précédent'!CH48</f>
        <v>0</v>
      </c>
      <c r="CJ47" s="1">
        <f>+'IRS - INF – XCCY précédent'!CI48</f>
        <v>0</v>
      </c>
      <c r="CK47" s="1">
        <f>+'IRS - INF – XCCY précédent'!CJ48</f>
        <v>0</v>
      </c>
      <c r="CL47" s="1">
        <f>+'IRS - INF – XCCY précédent'!CK48</f>
        <v>0</v>
      </c>
      <c r="CM47" s="1">
        <f>+'IRS - INF – XCCY précédent'!CL48</f>
        <v>0</v>
      </c>
      <c r="CN47" s="1">
        <f>+'IRS - INF – XCCY précédent'!CM48</f>
        <v>0</v>
      </c>
      <c r="CO47" s="1">
        <f>+'IRS - INF – XCCY précédent'!CN48</f>
        <v>0</v>
      </c>
      <c r="CP47" s="1">
        <f>+'IRS - INF – XCCY précédent'!CO48</f>
        <v>0</v>
      </c>
      <c r="CQ47" s="1">
        <f>+'IRS - INF – XCCY précédent'!CP48</f>
        <v>0</v>
      </c>
      <c r="CR47" s="1">
        <f>+'IRS - INF – XCCY précédent'!CQ48</f>
        <v>0</v>
      </c>
      <c r="CS47" s="1">
        <f>+'IRS - INF – XCCY précédent'!CR48</f>
        <v>0</v>
      </c>
      <c r="CT47" s="1">
        <f>+'IRS - INF – XCCY précédent'!CS48</f>
        <v>0</v>
      </c>
      <c r="CU47" s="1">
        <f>+'IRS - INF – XCCY précédent'!CT48</f>
        <v>0</v>
      </c>
      <c r="CV47" s="1">
        <f>+'IRS - INF – XCCY précédent'!CU48</f>
        <v>0</v>
      </c>
      <c r="CW47" s="1">
        <f>+'IRS - INF – XCCY précédent'!CV48</f>
        <v>0</v>
      </c>
      <c r="CX47" s="1">
        <f>+'IRS - INF – XCCY précédent'!CW48</f>
        <v>0</v>
      </c>
      <c r="CY47" s="1">
        <f>+'IRS - INF – XCCY précédent'!CX48</f>
        <v>0</v>
      </c>
      <c r="CZ47" s="1">
        <f>+'IRS - INF – XCCY précédent'!CY48</f>
        <v>0</v>
      </c>
      <c r="DA47" s="1">
        <f>+'IRS - INF – XCCY précédent'!CZ48</f>
        <v>0</v>
      </c>
      <c r="DB47" s="1">
        <f>+'IRS - INF – XCCY précédent'!DA48</f>
        <v>0</v>
      </c>
      <c r="DC47" s="1">
        <f>+'IRS - INF – XCCY précédent'!DB48</f>
        <v>0</v>
      </c>
      <c r="DD47" s="1">
        <f>+'IRS - INF – XCCY précédent'!DC48</f>
        <v>0</v>
      </c>
      <c r="DE47" s="1">
        <f>+'IRS - INF – XCCY précédent'!DD48</f>
        <v>0</v>
      </c>
      <c r="DF47" s="1">
        <f>+'IRS - INF – XCCY précédent'!DE48</f>
        <v>0</v>
      </c>
    </row>
  </sheetData>
  <autoFilter ref="A2:CI82" xr:uid="{00000000-0009-0000-0000-00000A000000}"/>
  <mergeCells count="8">
    <mergeCell ref="BS5:BS6"/>
    <mergeCell ref="CA5:CA6"/>
    <mergeCell ref="G5:G6"/>
    <mergeCell ref="W5:W6"/>
    <mergeCell ref="AN5:AN6"/>
    <mergeCell ref="AW5:AW6"/>
    <mergeCell ref="BD5:BD6"/>
    <mergeCell ref="BK5:BK6"/>
  </mergeCells>
  <pageMargins left="0.78740157499999996" right="0.78740157499999996" top="0.984251969" bottom="0.984251969" header="0.5" footer="0.5"/>
  <pageSetup paperSize="9"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F59D5-B43E-4876-B6AA-0E0A0032D29C}">
  <sheetPr codeName="Feuil3"/>
  <dimension ref="A1:E106"/>
  <sheetViews>
    <sheetView workbookViewId="0">
      <selection activeCell="D18" sqref="D18"/>
    </sheetView>
  </sheetViews>
  <sheetFormatPr baseColWidth="10" defaultRowHeight="12.75" x14ac:dyDescent="0.2"/>
  <cols>
    <col min="2" max="2" width="13.7109375" bestFit="1" customWidth="1"/>
    <col min="4" max="4" width="12.85546875" bestFit="1" customWidth="1"/>
  </cols>
  <sheetData>
    <row r="1" spans="1:5" x14ac:dyDescent="0.2">
      <c r="A1" t="s">
        <v>444</v>
      </c>
      <c r="B1" t="s">
        <v>445</v>
      </c>
      <c r="C1" t="s">
        <v>446</v>
      </c>
      <c r="D1" t="s">
        <v>443</v>
      </c>
    </row>
    <row r="2" spans="1:5" x14ac:dyDescent="0.2">
      <c r="A2" s="99"/>
      <c r="B2" s="99"/>
      <c r="C2" s="91"/>
      <c r="D2" s="43" t="s">
        <v>327</v>
      </c>
      <c r="E2" s="43" t="s">
        <v>319</v>
      </c>
    </row>
    <row r="3" spans="1:5" ht="24" x14ac:dyDescent="0.2">
      <c r="A3" s="100" t="s">
        <v>57</v>
      </c>
      <c r="B3" s="100" t="s">
        <v>314</v>
      </c>
      <c r="C3" s="97" t="s">
        <v>4</v>
      </c>
      <c r="D3" s="36" t="s">
        <v>437</v>
      </c>
      <c r="E3" s="36" t="s">
        <v>436</v>
      </c>
    </row>
    <row r="4" spans="1:5" x14ac:dyDescent="0.2">
      <c r="A4" s="1" t="str">
        <f>'IRS - INF – XCCY'!A7</f>
        <v>SWAP_258</v>
      </c>
      <c r="B4" s="1" t="str">
        <f>'IRS - INF – XCCY'!B7</f>
        <v>Real Rate Swap</v>
      </c>
      <c r="C4" s="1">
        <f>'IRS - INF – XCCY'!F7</f>
        <v>0</v>
      </c>
      <c r="D4" s="48" t="e">
        <f>'IRS - INF – XCCY'!#REF!</f>
        <v>#REF!</v>
      </c>
      <c r="E4" s="110">
        <f>IFERROR(VLOOKUP(A4,Triopti!A:E,4,0),0)</f>
        <v>-3547451.0453499998</v>
      </c>
    </row>
    <row r="5" spans="1:5" x14ac:dyDescent="0.2">
      <c r="A5" s="1" t="str">
        <f>'IRS - INF – XCCY'!A8</f>
        <v>SWAP_253</v>
      </c>
      <c r="B5" s="1" t="str">
        <f>'IRS - INF – XCCY'!B8</f>
        <v>Real Rate Swap</v>
      </c>
      <c r="C5" s="1">
        <f>'IRS - INF – XCCY'!F8</f>
        <v>0</v>
      </c>
      <c r="D5" s="48" t="e">
        <f>'IRS - INF – XCCY'!#REF!</f>
        <v>#REF!</v>
      </c>
      <c r="E5" s="110">
        <f>IFERROR(VLOOKUP(A5,Triopti!A:E,4,0),0)</f>
        <v>-1971424.9786939998</v>
      </c>
    </row>
    <row r="6" spans="1:5" x14ac:dyDescent="0.2">
      <c r="A6" s="1" t="str">
        <f>'IRS - INF – XCCY'!A9</f>
        <v>SWAP_240</v>
      </c>
      <c r="B6" s="1" t="str">
        <f>'IRS - INF – XCCY'!B9</f>
        <v>Real Rate Swap</v>
      </c>
      <c r="C6" s="1">
        <f>'IRS - INF – XCCY'!F9</f>
        <v>0</v>
      </c>
      <c r="D6" s="48" t="e">
        <f>'IRS - INF – XCCY'!#REF!</f>
        <v>#REF!</v>
      </c>
      <c r="E6" s="110">
        <f>IFERROR(VLOOKUP(A6,Triopti!A:E,4,0),0)</f>
        <v>-11379259.09</v>
      </c>
    </row>
    <row r="7" spans="1:5" x14ac:dyDescent="0.2">
      <c r="A7" s="1" t="str">
        <f>'IRS - INF – XCCY'!A10</f>
        <v>SWAP_262</v>
      </c>
      <c r="B7" s="1" t="str">
        <f>'IRS - INF – XCCY'!B10</f>
        <v>Real Rate Swap</v>
      </c>
      <c r="C7" s="1">
        <f>'IRS - INF – XCCY'!F10</f>
        <v>0</v>
      </c>
      <c r="D7" s="48" t="e">
        <f>'IRS - INF – XCCY'!#REF!</f>
        <v>#REF!</v>
      </c>
      <c r="E7" s="110">
        <f>IFERROR(VLOOKUP(A7,Triopti!A:E,4,0),0)</f>
        <v>-3659680.74</v>
      </c>
    </row>
    <row r="8" spans="1:5" x14ac:dyDescent="0.2">
      <c r="A8" s="1" t="str">
        <f>'IRS - INF – XCCY'!A11</f>
        <v>SWAP_254</v>
      </c>
      <c r="B8" s="1" t="str">
        <f>'IRS - INF – XCCY'!B11</f>
        <v>Real Rate Swap</v>
      </c>
      <c r="C8" s="1">
        <f>'IRS - INF – XCCY'!F11</f>
        <v>0</v>
      </c>
      <c r="D8" s="48" t="e">
        <f>'IRS - INF – XCCY'!#REF!</f>
        <v>#REF!</v>
      </c>
      <c r="E8" s="110">
        <f>IFERROR(VLOOKUP(A8,Triopti!A:E,4,0),0)</f>
        <v>-7055338.8399999999</v>
      </c>
    </row>
    <row r="9" spans="1:5" x14ac:dyDescent="0.2">
      <c r="A9" s="1" t="str">
        <f>'IRS - INF – XCCY'!A12</f>
        <v>SWAP_257</v>
      </c>
      <c r="B9" s="1" t="str">
        <f>'IRS - INF – XCCY'!B12</f>
        <v>Real Rate Swap</v>
      </c>
      <c r="C9" s="1">
        <f>'IRS - INF – XCCY'!F12</f>
        <v>0</v>
      </c>
      <c r="D9" s="48" t="e">
        <f>'IRS - INF – XCCY'!#REF!</f>
        <v>#REF!</v>
      </c>
      <c r="E9" s="110">
        <f>IFERROR(VLOOKUP(A9,Triopti!A:E,4,0),0)</f>
        <v>-5451457.0899999999</v>
      </c>
    </row>
    <row r="10" spans="1:5" x14ac:dyDescent="0.2">
      <c r="A10" s="1" t="str">
        <f>'IRS - INF – XCCY'!A13</f>
        <v>SWAP_235</v>
      </c>
      <c r="B10" s="1" t="str">
        <f>'IRS - INF – XCCY'!B13</f>
        <v>Real Rate Swap</v>
      </c>
      <c r="C10" s="1">
        <f>'IRS - INF – XCCY'!F13</f>
        <v>0</v>
      </c>
      <c r="D10" s="48" t="e">
        <f>'IRS - INF – XCCY'!#REF!</f>
        <v>#REF!</v>
      </c>
      <c r="E10" s="110">
        <f>IFERROR(VLOOKUP(A10,Triopti!A:E,4,0),0)</f>
        <v>-25700771.426013</v>
      </c>
    </row>
    <row r="11" spans="1:5" x14ac:dyDescent="0.2">
      <c r="A11" s="1" t="str">
        <f>'IRS - INF – XCCY'!A14</f>
        <v>SWAP_149</v>
      </c>
      <c r="B11" s="1" t="str">
        <f>'IRS - INF – XCCY'!B14</f>
        <v>Real Rate Swap</v>
      </c>
      <c r="C11" s="1">
        <f>'IRS - INF – XCCY'!F14</f>
        <v>0</v>
      </c>
      <c r="D11" s="48" t="e">
        <f>'IRS - INF – XCCY'!#REF!</f>
        <v>#REF!</v>
      </c>
      <c r="E11" s="110">
        <f>IFERROR(VLOOKUP(A11,Triopti!A:E,4,0),0)</f>
        <v>-13511966.157534</v>
      </c>
    </row>
    <row r="12" spans="1:5" x14ac:dyDescent="0.2">
      <c r="A12" s="1" t="str">
        <f>'IRS - INF – XCCY'!A15</f>
        <v>SWAP_255</v>
      </c>
      <c r="B12" s="1" t="str">
        <f>'IRS - INF – XCCY'!B15</f>
        <v>Real Rate Swap</v>
      </c>
      <c r="C12" s="1">
        <f>'IRS - INF – XCCY'!F15</f>
        <v>0</v>
      </c>
      <c r="D12" s="48" t="e">
        <f>'IRS - INF – XCCY'!#REF!</f>
        <v>#REF!</v>
      </c>
      <c r="E12" s="110">
        <f>IFERROR(VLOOKUP(A12,Triopti!A:E,4,0),0)</f>
        <v>-3531330</v>
      </c>
    </row>
    <row r="13" spans="1:5" x14ac:dyDescent="0.2">
      <c r="A13" s="1" t="str">
        <f>'IRS - INF – XCCY'!A16</f>
        <v>SWAP_234</v>
      </c>
      <c r="B13" s="1" t="str">
        <f>'IRS - INF – XCCY'!B16</f>
        <v>Real Rate Swap</v>
      </c>
      <c r="C13" s="1">
        <f>'IRS - INF – XCCY'!F16</f>
        <v>0</v>
      </c>
      <c r="D13" s="48" t="e">
        <f>'IRS - INF – XCCY'!#REF!</f>
        <v>#REF!</v>
      </c>
      <c r="E13" s="110">
        <f>IFERROR(VLOOKUP(A13,Triopti!A:E,4,0),0)</f>
        <v>-16006135.998788001</v>
      </c>
    </row>
    <row r="14" spans="1:5" x14ac:dyDescent="0.2">
      <c r="A14" s="1" t="str">
        <f>'IRS - INF – XCCY'!A17</f>
        <v>SWAP_148</v>
      </c>
      <c r="B14" s="1" t="str">
        <f>'IRS - INF – XCCY'!B17</f>
        <v>Real Rate Swap</v>
      </c>
      <c r="C14" s="1">
        <f>'IRS - INF – XCCY'!F17</f>
        <v>0</v>
      </c>
      <c r="D14" s="48" t="e">
        <f>'IRS - INF – XCCY'!#REF!</f>
        <v>#REF!</v>
      </c>
      <c r="E14" s="110">
        <f>IFERROR(VLOOKUP(A14,Triopti!A:E,4,0),0)</f>
        <v>-13703543.4977</v>
      </c>
    </row>
    <row r="15" spans="1:5" x14ac:dyDescent="0.2">
      <c r="A15" s="1" t="str">
        <f>'IRS - INF – XCCY'!A18</f>
        <v>SWAP_303</v>
      </c>
      <c r="B15" s="1" t="str">
        <f>'IRS - INF – XCCY'!B18</f>
        <v>CMS Swap</v>
      </c>
      <c r="C15" s="1">
        <f>'IRS - INF – XCCY'!F18</f>
        <v>0</v>
      </c>
      <c r="D15" s="48" t="e">
        <f>'IRS - INF – XCCY'!#REF!</f>
        <v>#REF!</v>
      </c>
      <c r="E15" s="110">
        <f>IFERROR(VLOOKUP(A15,Triopti!A:E,4,0),0)</f>
        <v>-16910400.890000001</v>
      </c>
    </row>
    <row r="16" spans="1:5" x14ac:dyDescent="0.2">
      <c r="A16" s="1" t="str">
        <f>'IRS - INF – XCCY'!A19</f>
        <v>SWAP_304</v>
      </c>
      <c r="B16" s="1" t="str">
        <f>'IRS - INF – XCCY'!B19</f>
        <v>CMS Swap</v>
      </c>
      <c r="C16" s="1">
        <f>'IRS - INF – XCCY'!F19</f>
        <v>0</v>
      </c>
      <c r="D16" s="48" t="e">
        <f>'IRS - INF – XCCY'!#REF!</f>
        <v>#REF!</v>
      </c>
      <c r="E16" s="110">
        <f>IFERROR(VLOOKUP(A16,Triopti!A:E,4,0),0)</f>
        <v>-3869409.05</v>
      </c>
    </row>
    <row r="17" spans="1:5" x14ac:dyDescent="0.2">
      <c r="A17" s="1" t="str">
        <f>'IRS - INF – XCCY'!A20</f>
        <v>SWAP_319</v>
      </c>
      <c r="B17" s="1" t="str">
        <f>'IRS - INF – XCCY'!B20</f>
        <v>CMS Swap</v>
      </c>
      <c r="C17" s="1">
        <f>'IRS - INF – XCCY'!F20</f>
        <v>0</v>
      </c>
      <c r="D17" s="48" t="e">
        <f>'IRS - INF – XCCY'!#REF!</f>
        <v>#REF!</v>
      </c>
      <c r="E17" s="110">
        <f>IFERROR(VLOOKUP(A17,Triopti!A:E,4,0),0)</f>
        <v>-10590403.51</v>
      </c>
    </row>
    <row r="18" spans="1:5" x14ac:dyDescent="0.2">
      <c r="A18" s="1" t="str">
        <f>'IRS - INF – XCCY'!A21</f>
        <v>SWAP_320</v>
      </c>
      <c r="B18" s="1" t="str">
        <f>'IRS - INF – XCCY'!B21</f>
        <v>CMS Swap</v>
      </c>
      <c r="C18" s="1">
        <f>'IRS - INF – XCCY'!F21</f>
        <v>0</v>
      </c>
      <c r="D18" s="48" t="e">
        <f>'IRS - INF – XCCY'!#REF!</f>
        <v>#REF!</v>
      </c>
      <c r="E18" s="110">
        <f>IFERROR(VLOOKUP(A18,Triopti!A:E,4,0),0)</f>
        <v>-186746.67</v>
      </c>
    </row>
    <row r="19" spans="1:5" x14ac:dyDescent="0.2">
      <c r="A19" s="1" t="str">
        <f>'IRS - INF – XCCY'!A22</f>
        <v>SWAP_324</v>
      </c>
      <c r="B19" s="1" t="str">
        <f>'IRS - INF – XCCY'!B22</f>
        <v>CMS Swap</v>
      </c>
      <c r="C19" s="1">
        <f>'IRS - INF – XCCY'!F22</f>
        <v>0</v>
      </c>
      <c r="D19" s="48" t="e">
        <f>'IRS - INF – XCCY'!#REF!</f>
        <v>#REF!</v>
      </c>
      <c r="E19" s="110">
        <f>IFERROR(VLOOKUP(A19,Triopti!A:E,4,0),0)</f>
        <v>-6693654.1749999998</v>
      </c>
    </row>
    <row r="20" spans="1:5" x14ac:dyDescent="0.2">
      <c r="A20" s="1" t="str">
        <f>'IRS - INF – XCCY'!A23</f>
        <v>SWAP_341</v>
      </c>
      <c r="B20" s="1" t="str">
        <f>'IRS - INF – XCCY'!B23</f>
        <v>CMS Swap</v>
      </c>
      <c r="C20" s="1">
        <f>'IRS - INF – XCCY'!F23</f>
        <v>0</v>
      </c>
      <c r="D20" s="48" t="e">
        <f>'IRS - INF – XCCY'!#REF!</f>
        <v>#REF!</v>
      </c>
      <c r="E20" s="110">
        <f>IFERROR(VLOOKUP(A20,Triopti!A:E,4,0),0)</f>
        <v>-184849.35769999999</v>
      </c>
    </row>
    <row r="21" spans="1:5" x14ac:dyDescent="0.2">
      <c r="A21" s="1" t="str">
        <f>'IRS - INF – XCCY'!A24</f>
        <v>SWAP_342</v>
      </c>
      <c r="B21" s="1" t="str">
        <f>'IRS - INF – XCCY'!B24</f>
        <v>CMS Swap</v>
      </c>
      <c r="C21" s="1">
        <f>'IRS - INF – XCCY'!F24</f>
        <v>0</v>
      </c>
      <c r="D21" s="48" t="e">
        <f>'IRS - INF – XCCY'!#REF!</f>
        <v>#REF!</v>
      </c>
      <c r="E21" s="110">
        <f>IFERROR(VLOOKUP(A21,Triopti!A:E,4,0),0)</f>
        <v>-123292.31050000001</v>
      </c>
    </row>
    <row r="22" spans="1:5" x14ac:dyDescent="0.2">
      <c r="A22" s="1" t="e">
        <f>'IRS - INF – XCCY'!#REF!</f>
        <v>#REF!</v>
      </c>
      <c r="B22" s="1" t="e">
        <f>'IRS - INF – XCCY'!#REF!</f>
        <v>#REF!</v>
      </c>
      <c r="C22" s="1" t="e">
        <f>'IRS - INF – XCCY'!#REF!</f>
        <v>#REF!</v>
      </c>
      <c r="D22" s="48" t="e">
        <f>'IRS - INF – XCCY'!#REF!</f>
        <v>#REF!</v>
      </c>
      <c r="E22" s="110">
        <f>IFERROR(VLOOKUP(A22,Triopti!A:E,4,0),0)</f>
        <v>0</v>
      </c>
    </row>
    <row r="23" spans="1:5" x14ac:dyDescent="0.2">
      <c r="A23" s="1" t="e">
        <f>'IRS - INF – XCCY'!#REF!</f>
        <v>#REF!</v>
      </c>
      <c r="B23" s="1" t="e">
        <f>'IRS - INF – XCCY'!#REF!</f>
        <v>#REF!</v>
      </c>
      <c r="C23" s="1" t="e">
        <f>'IRS - INF – XCCY'!#REF!</f>
        <v>#REF!</v>
      </c>
      <c r="D23" s="48" t="e">
        <f>'IRS - INF – XCCY'!#REF!</f>
        <v>#REF!</v>
      </c>
      <c r="E23" s="110">
        <f>IFERROR(VLOOKUP(A23,Triopti!A:E,4,0),0)</f>
        <v>0</v>
      </c>
    </row>
    <row r="24" spans="1:5" x14ac:dyDescent="0.2">
      <c r="A24" s="1" t="e">
        <f>'IRS - INF – XCCY'!#REF!</f>
        <v>#REF!</v>
      </c>
      <c r="B24" s="1" t="e">
        <f>'IRS - INF – XCCY'!#REF!</f>
        <v>#REF!</v>
      </c>
      <c r="C24" s="1" t="e">
        <f>'IRS - INF – XCCY'!#REF!</f>
        <v>#REF!</v>
      </c>
      <c r="D24" s="48" t="e">
        <f>'IRS - INF – XCCY'!#REF!</f>
        <v>#REF!</v>
      </c>
      <c r="E24" s="110">
        <f>IFERROR(VLOOKUP(A24,Triopti!A:E,4,0),0)</f>
        <v>0</v>
      </c>
    </row>
    <row r="25" spans="1:5" x14ac:dyDescent="0.2">
      <c r="A25" s="1" t="e">
        <f>'IRS - INF – XCCY'!#REF!</f>
        <v>#REF!</v>
      </c>
      <c r="B25" s="1" t="e">
        <f>'IRS - INF – XCCY'!#REF!</f>
        <v>#REF!</v>
      </c>
      <c r="C25" s="1" t="e">
        <f>'IRS - INF – XCCY'!#REF!</f>
        <v>#REF!</v>
      </c>
      <c r="D25" s="48" t="e">
        <f>'IRS - INF – XCCY'!#REF!</f>
        <v>#REF!</v>
      </c>
      <c r="E25" s="110">
        <f>IFERROR(VLOOKUP(A25,Triopti!A:E,4,0),0)</f>
        <v>0</v>
      </c>
    </row>
    <row r="26" spans="1:5" x14ac:dyDescent="0.2">
      <c r="A26" s="1" t="e">
        <f>'IRS - INF – XCCY'!#REF!</f>
        <v>#REF!</v>
      </c>
      <c r="B26" s="1" t="e">
        <f>'IRS - INF – XCCY'!#REF!</f>
        <v>#REF!</v>
      </c>
      <c r="C26" s="1" t="e">
        <f>'IRS - INF – XCCY'!#REF!</f>
        <v>#REF!</v>
      </c>
      <c r="D26" s="48" t="e">
        <f>'IRS - INF – XCCY'!#REF!</f>
        <v>#REF!</v>
      </c>
      <c r="E26" s="110">
        <f>IFERROR(VLOOKUP(A26,Triopti!A:E,4,0),0)</f>
        <v>0</v>
      </c>
    </row>
    <row r="27" spans="1:5" x14ac:dyDescent="0.2">
      <c r="A27" s="1" t="e">
        <f>'IRS - INF – XCCY'!#REF!</f>
        <v>#REF!</v>
      </c>
      <c r="B27" s="1" t="e">
        <f>'IRS - INF – XCCY'!#REF!</f>
        <v>#REF!</v>
      </c>
      <c r="C27" s="1" t="e">
        <f>'IRS - INF – XCCY'!#REF!</f>
        <v>#REF!</v>
      </c>
      <c r="D27" s="48" t="e">
        <f>'IRS - INF – XCCY'!#REF!</f>
        <v>#REF!</v>
      </c>
      <c r="E27" s="110">
        <f>IFERROR(VLOOKUP(A27,Triopti!A:E,4,0),0)</f>
        <v>0</v>
      </c>
    </row>
    <row r="28" spans="1:5" x14ac:dyDescent="0.2">
      <c r="A28" s="1" t="e">
        <f>'IRS - INF – XCCY'!#REF!</f>
        <v>#REF!</v>
      </c>
      <c r="B28" s="1" t="e">
        <f>'IRS - INF – XCCY'!#REF!</f>
        <v>#REF!</v>
      </c>
      <c r="C28" s="1" t="e">
        <f>'IRS - INF – XCCY'!#REF!</f>
        <v>#REF!</v>
      </c>
      <c r="D28" s="48" t="e">
        <f>'IRS - INF – XCCY'!#REF!</f>
        <v>#REF!</v>
      </c>
      <c r="E28" s="110">
        <f>IFERROR(VLOOKUP(A28,Triopti!A:E,4,0),0)</f>
        <v>0</v>
      </c>
    </row>
    <row r="29" spans="1:5" x14ac:dyDescent="0.2">
      <c r="A29" s="1" t="e">
        <f>'IRS - INF – XCCY'!#REF!</f>
        <v>#REF!</v>
      </c>
      <c r="B29" s="1" t="e">
        <f>'IRS - INF – XCCY'!#REF!</f>
        <v>#REF!</v>
      </c>
      <c r="C29" s="1" t="e">
        <f>'IRS - INF – XCCY'!#REF!</f>
        <v>#REF!</v>
      </c>
      <c r="D29" s="48" t="e">
        <f>'IRS - INF – XCCY'!#REF!</f>
        <v>#REF!</v>
      </c>
      <c r="E29" s="110">
        <f>IFERROR(VLOOKUP(A29,Triopti!A:E,4,0),0)</f>
        <v>0</v>
      </c>
    </row>
    <row r="30" spans="1:5" x14ac:dyDescent="0.2">
      <c r="A30" s="1" t="e">
        <f>'IRS - INF – XCCY'!#REF!</f>
        <v>#REF!</v>
      </c>
      <c r="B30" s="1" t="e">
        <f>'IRS - INF – XCCY'!#REF!</f>
        <v>#REF!</v>
      </c>
      <c r="C30" s="1" t="e">
        <f>'IRS - INF – XCCY'!#REF!</f>
        <v>#REF!</v>
      </c>
      <c r="D30" s="48" t="e">
        <f>'IRS - INF – XCCY'!#REF!</f>
        <v>#REF!</v>
      </c>
      <c r="E30" s="110">
        <f>IFERROR(VLOOKUP(A30,Triopti!A:E,4,0),0)</f>
        <v>0</v>
      </c>
    </row>
    <row r="31" spans="1:5" x14ac:dyDescent="0.2">
      <c r="A31" s="1" t="e">
        <f>'IRS - INF – XCCY'!#REF!</f>
        <v>#REF!</v>
      </c>
      <c r="B31" s="1" t="e">
        <f>'IRS - INF – XCCY'!#REF!</f>
        <v>#REF!</v>
      </c>
      <c r="C31" s="1" t="e">
        <f>'IRS - INF – XCCY'!#REF!</f>
        <v>#REF!</v>
      </c>
      <c r="D31" s="48" t="e">
        <f>'IRS - INF – XCCY'!#REF!</f>
        <v>#REF!</v>
      </c>
      <c r="E31" s="110">
        <f>IFERROR(VLOOKUP(A31,Triopti!A:E,4,0),0)</f>
        <v>0</v>
      </c>
    </row>
    <row r="32" spans="1:5" x14ac:dyDescent="0.2">
      <c r="A32" s="1" t="e">
        <f>'IRS - INF – XCCY'!#REF!</f>
        <v>#REF!</v>
      </c>
      <c r="B32" s="1" t="e">
        <f>'IRS - INF – XCCY'!#REF!</f>
        <v>#REF!</v>
      </c>
      <c r="C32" s="1" t="e">
        <f>'IRS - INF – XCCY'!#REF!</f>
        <v>#REF!</v>
      </c>
      <c r="D32" s="48" t="e">
        <f>'IRS - INF – XCCY'!#REF!</f>
        <v>#REF!</v>
      </c>
      <c r="E32" s="110">
        <f>IFERROR(VLOOKUP(A32,Triopti!A:E,4,0),0)</f>
        <v>0</v>
      </c>
    </row>
    <row r="33" spans="1:5" x14ac:dyDescent="0.2">
      <c r="A33" s="1" t="e">
        <f>'IRS - INF – XCCY'!#REF!</f>
        <v>#REF!</v>
      </c>
      <c r="B33" s="1" t="e">
        <f>'IRS - INF – XCCY'!#REF!</f>
        <v>#REF!</v>
      </c>
      <c r="C33" s="1" t="e">
        <f>'IRS - INF – XCCY'!#REF!</f>
        <v>#REF!</v>
      </c>
      <c r="D33" s="48" t="e">
        <f>'IRS - INF – XCCY'!#REF!</f>
        <v>#REF!</v>
      </c>
      <c r="E33" s="110">
        <f>IFERROR(VLOOKUP(A33,Triopti!A:E,4,0),0)</f>
        <v>0</v>
      </c>
    </row>
    <row r="34" spans="1:5" x14ac:dyDescent="0.2">
      <c r="A34" s="1" t="e">
        <f>'IRS - INF – XCCY'!#REF!</f>
        <v>#REF!</v>
      </c>
      <c r="B34" s="1" t="e">
        <f>'IRS - INF – XCCY'!#REF!</f>
        <v>#REF!</v>
      </c>
      <c r="C34" s="1" t="e">
        <f>'IRS - INF – XCCY'!#REF!</f>
        <v>#REF!</v>
      </c>
      <c r="D34" s="48" t="e">
        <f>'IRS - INF – XCCY'!#REF!</f>
        <v>#REF!</v>
      </c>
      <c r="E34" s="110">
        <f>IFERROR(VLOOKUP(A34,Triopti!A:E,4,0),0)</f>
        <v>0</v>
      </c>
    </row>
    <row r="35" spans="1:5" x14ac:dyDescent="0.2">
      <c r="A35" s="1" t="e">
        <f>'IRS - INF – XCCY'!#REF!</f>
        <v>#REF!</v>
      </c>
      <c r="B35" s="1" t="e">
        <f>'IRS - INF – XCCY'!#REF!</f>
        <v>#REF!</v>
      </c>
      <c r="C35" s="1" t="e">
        <f>'IRS - INF – XCCY'!#REF!</f>
        <v>#REF!</v>
      </c>
      <c r="D35" s="48" t="e">
        <f>'IRS - INF – XCCY'!#REF!</f>
        <v>#REF!</v>
      </c>
      <c r="E35" s="110">
        <f>IFERROR(VLOOKUP(A35,Triopti!A:E,4,0),0)</f>
        <v>0</v>
      </c>
    </row>
    <row r="36" spans="1:5" x14ac:dyDescent="0.2">
      <c r="A36" s="1" t="e">
        <f>'IRS - INF – XCCY'!#REF!</f>
        <v>#REF!</v>
      </c>
      <c r="B36" s="1" t="e">
        <f>'IRS - INF – XCCY'!#REF!</f>
        <v>#REF!</v>
      </c>
      <c r="C36" s="1" t="e">
        <f>'IRS - INF – XCCY'!#REF!</f>
        <v>#REF!</v>
      </c>
      <c r="D36" s="48" t="e">
        <f>'IRS - INF – XCCY'!#REF!</f>
        <v>#REF!</v>
      </c>
      <c r="E36" s="110">
        <f>IFERROR(VLOOKUP(A36,Triopti!A:E,4,0),0)</f>
        <v>0</v>
      </c>
    </row>
    <row r="37" spans="1:5" x14ac:dyDescent="0.2">
      <c r="A37" s="1" t="e">
        <f>'IRS - INF – XCCY'!#REF!</f>
        <v>#REF!</v>
      </c>
      <c r="B37" s="1" t="e">
        <f>'IRS - INF – XCCY'!#REF!</f>
        <v>#REF!</v>
      </c>
      <c r="C37" s="1" t="e">
        <f>'IRS - INF – XCCY'!#REF!</f>
        <v>#REF!</v>
      </c>
      <c r="D37" s="48" t="e">
        <f>'IRS - INF – XCCY'!#REF!</f>
        <v>#REF!</v>
      </c>
      <c r="E37" s="110">
        <f>IFERROR(VLOOKUP(A37,Triopti!A:E,4,0),0)</f>
        <v>0</v>
      </c>
    </row>
    <row r="38" spans="1:5" x14ac:dyDescent="0.2">
      <c r="A38" s="1" t="e">
        <f>'IRS - INF – XCCY'!#REF!</f>
        <v>#REF!</v>
      </c>
      <c r="B38" s="1" t="e">
        <f>'IRS - INF – XCCY'!#REF!</f>
        <v>#REF!</v>
      </c>
      <c r="C38" s="1" t="e">
        <f>'IRS - INF – XCCY'!#REF!</f>
        <v>#REF!</v>
      </c>
      <c r="D38" s="48" t="e">
        <f>'IRS - INF – XCCY'!#REF!</f>
        <v>#REF!</v>
      </c>
      <c r="E38" s="110">
        <f>IFERROR(VLOOKUP(A38,Triopti!A:E,4,0),0)</f>
        <v>0</v>
      </c>
    </row>
    <row r="39" spans="1:5" x14ac:dyDescent="0.2">
      <c r="A39" s="1" t="e">
        <f>'IRS - INF – XCCY'!#REF!</f>
        <v>#REF!</v>
      </c>
      <c r="B39" s="1" t="e">
        <f>'IRS - INF – XCCY'!#REF!</f>
        <v>#REF!</v>
      </c>
      <c r="C39" s="1" t="e">
        <f>'IRS - INF – XCCY'!#REF!</f>
        <v>#REF!</v>
      </c>
      <c r="D39" s="48" t="e">
        <f>'IRS - INF – XCCY'!#REF!</f>
        <v>#REF!</v>
      </c>
      <c r="E39" s="110">
        <f>IFERROR(VLOOKUP(A39,Triopti!A:E,4,0),0)</f>
        <v>0</v>
      </c>
    </row>
    <row r="40" spans="1:5" x14ac:dyDescent="0.2">
      <c r="A40" s="1" t="e">
        <f>'IRS - INF – XCCY'!#REF!</f>
        <v>#REF!</v>
      </c>
      <c r="B40" s="1" t="e">
        <f>'IRS - INF – XCCY'!#REF!</f>
        <v>#REF!</v>
      </c>
      <c r="C40" s="1" t="e">
        <f>'IRS - INF – XCCY'!#REF!</f>
        <v>#REF!</v>
      </c>
      <c r="D40" s="48" t="e">
        <f>'IRS - INF – XCCY'!#REF!</f>
        <v>#REF!</v>
      </c>
      <c r="E40" s="110">
        <f>IFERROR(VLOOKUP(A40,Triopti!A:E,4,0),0)</f>
        <v>0</v>
      </c>
    </row>
    <row r="41" spans="1:5" x14ac:dyDescent="0.2">
      <c r="A41" s="1" t="e">
        <f>'IRS - INF – XCCY'!#REF!</f>
        <v>#REF!</v>
      </c>
      <c r="B41" s="1" t="e">
        <f>'IRS - INF – XCCY'!#REF!</f>
        <v>#REF!</v>
      </c>
      <c r="C41" s="1" t="e">
        <f>'IRS - INF – XCCY'!#REF!</f>
        <v>#REF!</v>
      </c>
      <c r="D41" s="48" t="e">
        <f>'IRS - INF – XCCY'!#REF!</f>
        <v>#REF!</v>
      </c>
      <c r="E41" s="110">
        <f>IFERROR(VLOOKUP(A41,Triopti!A:E,4,0),0)</f>
        <v>0</v>
      </c>
    </row>
    <row r="42" spans="1:5" x14ac:dyDescent="0.2">
      <c r="A42" s="1" t="e">
        <f>'IRS - INF – XCCY'!#REF!</f>
        <v>#REF!</v>
      </c>
      <c r="B42" s="1" t="e">
        <f>'IRS - INF – XCCY'!#REF!</f>
        <v>#REF!</v>
      </c>
      <c r="C42" s="1" t="e">
        <f>'IRS - INF – XCCY'!#REF!</f>
        <v>#REF!</v>
      </c>
      <c r="D42" s="48" t="e">
        <f>'IRS - INF – XCCY'!#REF!</f>
        <v>#REF!</v>
      </c>
      <c r="E42" s="110">
        <f>IFERROR(VLOOKUP(A42,Triopti!A:E,4,0),0)</f>
        <v>0</v>
      </c>
    </row>
    <row r="43" spans="1:5" x14ac:dyDescent="0.2">
      <c r="A43" s="1" t="e">
        <f>'IRS - INF – XCCY'!#REF!</f>
        <v>#REF!</v>
      </c>
      <c r="B43" s="1" t="e">
        <f>'IRS - INF – XCCY'!#REF!</f>
        <v>#REF!</v>
      </c>
      <c r="C43" s="1" t="e">
        <f>'IRS - INF – XCCY'!#REF!</f>
        <v>#REF!</v>
      </c>
      <c r="D43" s="48" t="e">
        <f>'IRS - INF – XCCY'!#REF!</f>
        <v>#REF!</v>
      </c>
      <c r="E43" s="110">
        <f>IFERROR(VLOOKUP(A43,Triopti!A:E,4,0),0)</f>
        <v>0</v>
      </c>
    </row>
    <row r="44" spans="1:5" x14ac:dyDescent="0.2">
      <c r="A44" s="1" t="e">
        <f>'IRS - INF – XCCY'!#REF!</f>
        <v>#REF!</v>
      </c>
      <c r="B44" s="1" t="e">
        <f>'IRS - INF – XCCY'!#REF!</f>
        <v>#REF!</v>
      </c>
      <c r="C44" s="1" t="e">
        <f>'IRS - INF – XCCY'!#REF!</f>
        <v>#REF!</v>
      </c>
      <c r="D44" s="48" t="e">
        <f>'IRS - INF – XCCY'!#REF!</f>
        <v>#REF!</v>
      </c>
      <c r="E44" s="110">
        <f>IFERROR(VLOOKUP(A44,Triopti!A:E,4,0),0)</f>
        <v>0</v>
      </c>
    </row>
    <row r="45" spans="1:5" x14ac:dyDescent="0.2">
      <c r="A45" s="1" t="e">
        <f>'IRS - INF – XCCY'!#REF!</f>
        <v>#REF!</v>
      </c>
      <c r="B45" s="1" t="e">
        <f>'IRS - INF – XCCY'!#REF!</f>
        <v>#REF!</v>
      </c>
      <c r="C45" s="1" t="e">
        <f>'IRS - INF – XCCY'!#REF!</f>
        <v>#REF!</v>
      </c>
      <c r="D45" s="48" t="e">
        <f>'IRS - INF – XCCY'!#REF!</f>
        <v>#REF!</v>
      </c>
      <c r="E45" s="110">
        <f>IFERROR(VLOOKUP(A45,Triopti!A:E,4,0),0)</f>
        <v>0</v>
      </c>
    </row>
    <row r="46" spans="1:5" x14ac:dyDescent="0.2">
      <c r="A46" s="1" t="e">
        <f>'IRS - INF – XCCY'!#REF!</f>
        <v>#REF!</v>
      </c>
      <c r="B46" s="1" t="e">
        <f>'IRS - INF – XCCY'!#REF!</f>
        <v>#REF!</v>
      </c>
      <c r="C46" s="1" t="e">
        <f>'IRS - INF – XCCY'!#REF!</f>
        <v>#REF!</v>
      </c>
      <c r="D46" s="48" t="e">
        <f>'IRS - INF – XCCY'!#REF!</f>
        <v>#REF!</v>
      </c>
      <c r="E46" s="110">
        <f>IFERROR(VLOOKUP(A46,Triopti!A:E,4,0),0)</f>
        <v>0</v>
      </c>
    </row>
    <row r="47" spans="1:5" x14ac:dyDescent="0.2">
      <c r="A47" s="1" t="e">
        <f>'IRS - INF – XCCY'!#REF!</f>
        <v>#REF!</v>
      </c>
      <c r="B47" s="1" t="e">
        <f>'IRS - INF – XCCY'!#REF!</f>
        <v>#REF!</v>
      </c>
      <c r="C47" s="1" t="e">
        <f>'IRS - INF – XCCY'!#REF!</f>
        <v>#REF!</v>
      </c>
      <c r="D47" s="48" t="e">
        <f>'IRS - INF – XCCY'!#REF!</f>
        <v>#REF!</v>
      </c>
      <c r="E47" s="110">
        <f>IFERROR(VLOOKUP(A47,Triopti!A:E,4,0),0)</f>
        <v>0</v>
      </c>
    </row>
    <row r="48" spans="1:5" x14ac:dyDescent="0.2">
      <c r="A48" s="1" t="e">
        <f>'IRS - INF – XCCY'!#REF!</f>
        <v>#REF!</v>
      </c>
      <c r="B48" s="1" t="e">
        <f>'IRS - INF – XCCY'!#REF!</f>
        <v>#REF!</v>
      </c>
      <c r="C48" s="1" t="e">
        <f>'IRS - INF – XCCY'!#REF!</f>
        <v>#REF!</v>
      </c>
      <c r="D48" s="48" t="e">
        <f>'IRS - INF – XCCY'!#REF!</f>
        <v>#REF!</v>
      </c>
      <c r="E48" s="110">
        <f>IFERROR(VLOOKUP(A48,Triopti!A:E,4,0),0)</f>
        <v>0</v>
      </c>
    </row>
    <row r="49" spans="1:5" x14ac:dyDescent="0.2">
      <c r="A49" s="1" t="e">
        <f>'IRS - INF – XCCY'!#REF!</f>
        <v>#REF!</v>
      </c>
      <c r="B49" s="1" t="e">
        <f>'IRS - INF – XCCY'!#REF!</f>
        <v>#REF!</v>
      </c>
      <c r="C49" s="1" t="e">
        <f>'IRS - INF – XCCY'!#REF!</f>
        <v>#REF!</v>
      </c>
      <c r="D49" s="48" t="e">
        <f>'IRS - INF – XCCY'!#REF!</f>
        <v>#REF!</v>
      </c>
      <c r="E49" s="110">
        <f>IFERROR(VLOOKUP(A49,Triopti!A:E,4,0),0)</f>
        <v>0</v>
      </c>
    </row>
    <row r="50" spans="1:5" x14ac:dyDescent="0.2">
      <c r="A50" s="1" t="e">
        <f>'IRS - INF – XCCY'!#REF!</f>
        <v>#REF!</v>
      </c>
      <c r="B50" s="1" t="e">
        <f>'IRS - INF – XCCY'!#REF!</f>
        <v>#REF!</v>
      </c>
      <c r="C50" s="1" t="e">
        <f>'IRS - INF – XCCY'!#REF!</f>
        <v>#REF!</v>
      </c>
      <c r="D50" s="48" t="e">
        <f>'IRS - INF – XCCY'!#REF!</f>
        <v>#REF!</v>
      </c>
      <c r="E50" s="110">
        <f>IFERROR(VLOOKUP(A50,Triopti!A:E,4,0),0)</f>
        <v>0</v>
      </c>
    </row>
    <row r="51" spans="1:5" x14ac:dyDescent="0.2">
      <c r="A51" s="1" t="e">
        <f>'IRS - INF – XCCY'!#REF!</f>
        <v>#REF!</v>
      </c>
      <c r="B51" s="1" t="e">
        <f>'IRS - INF – XCCY'!#REF!</f>
        <v>#REF!</v>
      </c>
      <c r="C51" s="1" t="e">
        <f>'IRS - INF – XCCY'!#REF!</f>
        <v>#REF!</v>
      </c>
      <c r="D51" s="48" t="e">
        <f>'IRS - INF – XCCY'!#REF!</f>
        <v>#REF!</v>
      </c>
      <c r="E51" s="110">
        <f>IFERROR(VLOOKUP(A51,Triopti!A:E,4,0),0)</f>
        <v>0</v>
      </c>
    </row>
    <row r="52" spans="1:5" x14ac:dyDescent="0.2">
      <c r="A52" s="1" t="e">
        <f>'IRS - INF – XCCY'!#REF!</f>
        <v>#REF!</v>
      </c>
      <c r="B52" s="1" t="e">
        <f>'IRS - INF – XCCY'!#REF!</f>
        <v>#REF!</v>
      </c>
      <c r="C52" s="1" t="e">
        <f>'IRS - INF – XCCY'!#REF!</f>
        <v>#REF!</v>
      </c>
      <c r="D52" s="48" t="e">
        <f>'IRS - INF – XCCY'!#REF!</f>
        <v>#REF!</v>
      </c>
      <c r="E52" s="110">
        <f>IFERROR(VLOOKUP(A52,Triopti!A:E,4,0),0)</f>
        <v>0</v>
      </c>
    </row>
    <row r="53" spans="1:5" x14ac:dyDescent="0.2">
      <c r="A53" s="1" t="e">
        <f>'IRS - INF – XCCY'!#REF!</f>
        <v>#REF!</v>
      </c>
      <c r="B53" s="1" t="e">
        <f>'IRS - INF – XCCY'!#REF!</f>
        <v>#REF!</v>
      </c>
      <c r="C53" s="1" t="e">
        <f>'IRS - INF – XCCY'!#REF!</f>
        <v>#REF!</v>
      </c>
      <c r="D53" s="48" t="e">
        <f>'IRS - INF – XCCY'!#REF!</f>
        <v>#REF!</v>
      </c>
      <c r="E53" s="110">
        <f>IFERROR(VLOOKUP(A53,Triopti!A:E,4,0),0)</f>
        <v>0</v>
      </c>
    </row>
    <row r="54" spans="1:5" x14ac:dyDescent="0.2">
      <c r="A54" s="1" t="e">
        <f>'IRS - INF – XCCY'!#REF!</f>
        <v>#REF!</v>
      </c>
      <c r="B54" s="1" t="e">
        <f>'IRS - INF – XCCY'!#REF!</f>
        <v>#REF!</v>
      </c>
      <c r="C54" s="1" t="e">
        <f>'IRS - INF – XCCY'!#REF!</f>
        <v>#REF!</v>
      </c>
      <c r="D54" s="48" t="e">
        <f>'IRS - INF – XCCY'!#REF!</f>
        <v>#REF!</v>
      </c>
      <c r="E54" s="110">
        <f>IFERROR(VLOOKUP(A54,Triopti!A:E,4,0),0)</f>
        <v>0</v>
      </c>
    </row>
    <row r="55" spans="1:5" x14ac:dyDescent="0.2">
      <c r="A55" s="1" t="e">
        <f>'IRS - INF – XCCY'!#REF!</f>
        <v>#REF!</v>
      </c>
      <c r="B55" s="1" t="e">
        <f>'IRS - INF – XCCY'!#REF!</f>
        <v>#REF!</v>
      </c>
      <c r="C55" s="1" t="e">
        <f>'IRS - INF – XCCY'!#REF!</f>
        <v>#REF!</v>
      </c>
      <c r="D55" s="48" t="e">
        <f>'IRS - INF – XCCY'!#REF!</f>
        <v>#REF!</v>
      </c>
      <c r="E55" s="110">
        <f>IFERROR(VLOOKUP(A55,Triopti!A:E,4,0),0)</f>
        <v>0</v>
      </c>
    </row>
    <row r="56" spans="1:5" x14ac:dyDescent="0.2">
      <c r="A56" s="1" t="e">
        <f>'IRS - INF – XCCY'!#REF!</f>
        <v>#REF!</v>
      </c>
      <c r="B56" s="1" t="e">
        <f>'IRS - INF – XCCY'!#REF!</f>
        <v>#REF!</v>
      </c>
      <c r="C56" s="1" t="e">
        <f>'IRS - INF – XCCY'!#REF!</f>
        <v>#REF!</v>
      </c>
      <c r="D56" s="48" t="e">
        <f>'IRS - INF – XCCY'!#REF!</f>
        <v>#REF!</v>
      </c>
      <c r="E56" s="110">
        <f>IFERROR(VLOOKUP(A56,Triopti!A:E,4,0),0)</f>
        <v>0</v>
      </c>
    </row>
    <row r="57" spans="1:5" x14ac:dyDescent="0.2">
      <c r="A57" s="1" t="e">
        <f>'IRS - INF – XCCY'!#REF!</f>
        <v>#REF!</v>
      </c>
      <c r="B57" s="1" t="e">
        <f>'IRS - INF – XCCY'!#REF!</f>
        <v>#REF!</v>
      </c>
      <c r="C57" s="1" t="e">
        <f>'IRS - INF – XCCY'!#REF!</f>
        <v>#REF!</v>
      </c>
      <c r="D57" s="48" t="e">
        <f>'IRS - INF – XCCY'!#REF!</f>
        <v>#REF!</v>
      </c>
      <c r="E57" s="110">
        <f>IFERROR(VLOOKUP(A57,Triopti!A:E,4,0),0)</f>
        <v>0</v>
      </c>
    </row>
    <row r="58" spans="1:5" x14ac:dyDescent="0.2">
      <c r="A58" s="1" t="e">
        <f>'IRS - INF – XCCY'!#REF!</f>
        <v>#REF!</v>
      </c>
      <c r="B58" s="1" t="e">
        <f>'IRS - INF – XCCY'!#REF!</f>
        <v>#REF!</v>
      </c>
      <c r="C58" s="1" t="e">
        <f>'IRS - INF – XCCY'!#REF!</f>
        <v>#REF!</v>
      </c>
      <c r="D58" s="48" t="e">
        <f>'IRS - INF – XCCY'!#REF!</f>
        <v>#REF!</v>
      </c>
      <c r="E58" s="110">
        <f>IFERROR(VLOOKUP(A58,Triopti!A:E,4,0),0)</f>
        <v>0</v>
      </c>
    </row>
    <row r="59" spans="1:5" x14ac:dyDescent="0.2">
      <c r="A59" s="1" t="e">
        <f>'IRS - INF – XCCY'!#REF!</f>
        <v>#REF!</v>
      </c>
      <c r="B59" s="1" t="e">
        <f>'IRS - INF – XCCY'!#REF!</f>
        <v>#REF!</v>
      </c>
      <c r="C59" s="1" t="e">
        <f>'IRS - INF – XCCY'!#REF!</f>
        <v>#REF!</v>
      </c>
      <c r="D59" s="48" t="e">
        <f>'IRS - INF – XCCY'!#REF!</f>
        <v>#REF!</v>
      </c>
      <c r="E59" s="110">
        <f>IFERROR(VLOOKUP(A59,Triopti!A:E,4,0),0)</f>
        <v>0</v>
      </c>
    </row>
    <row r="60" spans="1:5" x14ac:dyDescent="0.2">
      <c r="A60" s="1" t="e">
        <f>'IRS - INF – XCCY'!#REF!</f>
        <v>#REF!</v>
      </c>
      <c r="B60" s="1" t="e">
        <f>'IRS - INF – XCCY'!#REF!</f>
        <v>#REF!</v>
      </c>
      <c r="C60" s="1" t="e">
        <f>'IRS - INF – XCCY'!#REF!</f>
        <v>#REF!</v>
      </c>
      <c r="D60" s="48" t="e">
        <f>'IRS - INF – XCCY'!#REF!</f>
        <v>#REF!</v>
      </c>
      <c r="E60" s="110">
        <f>IFERROR(VLOOKUP(A60,Triopti!A:E,4,0),0)</f>
        <v>0</v>
      </c>
    </row>
    <row r="61" spans="1:5" x14ac:dyDescent="0.2">
      <c r="A61" s="1" t="e">
        <f>'IRS - INF – XCCY'!#REF!</f>
        <v>#REF!</v>
      </c>
      <c r="B61" s="1" t="e">
        <f>'IRS - INF – XCCY'!#REF!</f>
        <v>#REF!</v>
      </c>
      <c r="C61" s="1" t="e">
        <f>'IRS - INF – XCCY'!#REF!</f>
        <v>#REF!</v>
      </c>
      <c r="D61" s="48" t="e">
        <f>'IRS - INF – XCCY'!#REF!</f>
        <v>#REF!</v>
      </c>
      <c r="E61" s="110">
        <f>IFERROR(VLOOKUP(A61,Triopti!A:E,4,0),0)</f>
        <v>0</v>
      </c>
    </row>
    <row r="62" spans="1:5" x14ac:dyDescent="0.2">
      <c r="A62" s="1" t="e">
        <f>'IRS - INF – XCCY'!#REF!</f>
        <v>#REF!</v>
      </c>
      <c r="B62" s="1" t="e">
        <f>'IRS - INF – XCCY'!#REF!</f>
        <v>#REF!</v>
      </c>
      <c r="C62" s="1" t="e">
        <f>'IRS - INF – XCCY'!#REF!</f>
        <v>#REF!</v>
      </c>
      <c r="D62" s="48" t="e">
        <f>'IRS - INF – XCCY'!#REF!</f>
        <v>#REF!</v>
      </c>
      <c r="E62" s="110">
        <f>IFERROR(VLOOKUP(A62,Triopti!A:E,4,0),0)</f>
        <v>0</v>
      </c>
    </row>
    <row r="63" spans="1:5" x14ac:dyDescent="0.2">
      <c r="A63" s="1" t="e">
        <f>'IRS - INF – XCCY'!#REF!</f>
        <v>#REF!</v>
      </c>
      <c r="B63" s="1" t="e">
        <f>'IRS - INF – XCCY'!#REF!</f>
        <v>#REF!</v>
      </c>
      <c r="C63" s="1" t="e">
        <f>'IRS - INF – XCCY'!#REF!</f>
        <v>#REF!</v>
      </c>
      <c r="D63" s="48" t="e">
        <f>'IRS - INF – XCCY'!#REF!</f>
        <v>#REF!</v>
      </c>
      <c r="E63" s="110">
        <f>IFERROR(VLOOKUP(A63,Triopti!A:E,4,0),0)</f>
        <v>0</v>
      </c>
    </row>
    <row r="64" spans="1:5" x14ac:dyDescent="0.2">
      <c r="A64" s="1" t="e">
        <f>'IRS - INF – XCCY'!#REF!</f>
        <v>#REF!</v>
      </c>
      <c r="B64" s="1" t="e">
        <f>'IRS - INF – XCCY'!#REF!</f>
        <v>#REF!</v>
      </c>
      <c r="C64" s="1" t="e">
        <f>'IRS - INF – XCCY'!#REF!</f>
        <v>#REF!</v>
      </c>
      <c r="D64" s="48" t="e">
        <f>'IRS - INF – XCCY'!#REF!</f>
        <v>#REF!</v>
      </c>
      <c r="E64" s="110">
        <f>IFERROR(VLOOKUP(A64,Triopti!A:E,4,0),0)</f>
        <v>0</v>
      </c>
    </row>
    <row r="65" spans="1:5" x14ac:dyDescent="0.2">
      <c r="A65" s="1" t="e">
        <f>'IRS - INF – XCCY'!#REF!</f>
        <v>#REF!</v>
      </c>
      <c r="B65" s="1" t="e">
        <f>'IRS - INF – XCCY'!#REF!</f>
        <v>#REF!</v>
      </c>
      <c r="C65" s="1" t="e">
        <f>'IRS - INF – XCCY'!#REF!</f>
        <v>#REF!</v>
      </c>
      <c r="D65" s="48" t="e">
        <f>'IRS - INF – XCCY'!#REF!</f>
        <v>#REF!</v>
      </c>
      <c r="E65" s="110">
        <f>IFERROR(VLOOKUP(A65,Triopti!A:E,4,0),0)</f>
        <v>0</v>
      </c>
    </row>
    <row r="66" spans="1:5" x14ac:dyDescent="0.2">
      <c r="A66" s="1" t="e">
        <f>'IRS - INF – XCCY'!#REF!</f>
        <v>#REF!</v>
      </c>
      <c r="B66" s="1" t="e">
        <f>'IRS - INF – XCCY'!#REF!</f>
        <v>#REF!</v>
      </c>
      <c r="C66" s="1" t="e">
        <f>'IRS - INF – XCCY'!#REF!</f>
        <v>#REF!</v>
      </c>
      <c r="D66" s="48" t="e">
        <f>'IRS - INF – XCCY'!#REF!</f>
        <v>#REF!</v>
      </c>
      <c r="E66" s="110">
        <f>IFERROR(VLOOKUP(A66,Triopti!A:E,4,0),0)</f>
        <v>0</v>
      </c>
    </row>
    <row r="67" spans="1:5" x14ac:dyDescent="0.2">
      <c r="A67" s="1" t="e">
        <f>'IRS - INF – XCCY'!#REF!</f>
        <v>#REF!</v>
      </c>
      <c r="B67" s="1" t="e">
        <f>'IRS - INF – XCCY'!#REF!</f>
        <v>#REF!</v>
      </c>
      <c r="C67" s="1" t="e">
        <f>'IRS - INF – XCCY'!#REF!</f>
        <v>#REF!</v>
      </c>
      <c r="D67" s="48" t="e">
        <f>'IRS - INF – XCCY'!#REF!</f>
        <v>#REF!</v>
      </c>
      <c r="E67" s="110">
        <f>IFERROR(VLOOKUP(A67,Triopti!A:E,4,0),0)</f>
        <v>0</v>
      </c>
    </row>
    <row r="68" spans="1:5" x14ac:dyDescent="0.2">
      <c r="A68" s="1" t="e">
        <f>'IRS - INF – XCCY'!#REF!</f>
        <v>#REF!</v>
      </c>
      <c r="B68" s="1" t="e">
        <f>'IRS - INF – XCCY'!#REF!</f>
        <v>#REF!</v>
      </c>
      <c r="C68" s="1" t="e">
        <f>'IRS - INF – XCCY'!#REF!</f>
        <v>#REF!</v>
      </c>
      <c r="D68" s="48" t="e">
        <f>'IRS - INF – XCCY'!#REF!</f>
        <v>#REF!</v>
      </c>
      <c r="E68" s="110">
        <f>IFERROR(VLOOKUP(A68,Triopti!A:E,4,0),0)</f>
        <v>0</v>
      </c>
    </row>
    <row r="69" spans="1:5" x14ac:dyDescent="0.2">
      <c r="A69" s="1" t="e">
        <f>'IRS - INF – XCCY'!#REF!</f>
        <v>#REF!</v>
      </c>
      <c r="B69" s="1" t="e">
        <f>'IRS - INF – XCCY'!#REF!</f>
        <v>#REF!</v>
      </c>
      <c r="C69" s="1" t="e">
        <f>'IRS - INF – XCCY'!#REF!</f>
        <v>#REF!</v>
      </c>
      <c r="D69" s="48" t="e">
        <f>'IRS - INF – XCCY'!#REF!</f>
        <v>#REF!</v>
      </c>
      <c r="E69" s="110">
        <f>IFERROR(VLOOKUP(A69,Triopti!A:E,4,0),0)</f>
        <v>0</v>
      </c>
    </row>
    <row r="70" spans="1:5" x14ac:dyDescent="0.2">
      <c r="A70" s="1" t="e">
        <f>'IRS - INF – XCCY'!#REF!</f>
        <v>#REF!</v>
      </c>
      <c r="B70" s="1" t="e">
        <f>'IRS - INF – XCCY'!#REF!</f>
        <v>#REF!</v>
      </c>
      <c r="C70" s="1" t="e">
        <f>'IRS - INF – XCCY'!#REF!</f>
        <v>#REF!</v>
      </c>
      <c r="D70" s="48" t="e">
        <f>'IRS - INF – XCCY'!#REF!</f>
        <v>#REF!</v>
      </c>
      <c r="E70" s="110">
        <f>IFERROR(VLOOKUP(A70,Triopti!A:E,4,0),0)</f>
        <v>0</v>
      </c>
    </row>
    <row r="71" spans="1:5" x14ac:dyDescent="0.2">
      <c r="A71" s="1" t="e">
        <f>'IRS - INF – XCCY'!#REF!</f>
        <v>#REF!</v>
      </c>
      <c r="B71" s="1" t="e">
        <f>'IRS - INF – XCCY'!#REF!</f>
        <v>#REF!</v>
      </c>
      <c r="C71" s="1" t="e">
        <f>'IRS - INF – XCCY'!#REF!</f>
        <v>#REF!</v>
      </c>
      <c r="D71" s="48" t="e">
        <f>'IRS - INF – XCCY'!#REF!</f>
        <v>#REF!</v>
      </c>
      <c r="E71" s="110">
        <f>IFERROR(VLOOKUP(A71,Triopti!A:E,4,0),0)</f>
        <v>0</v>
      </c>
    </row>
    <row r="72" spans="1:5" x14ac:dyDescent="0.2">
      <c r="A72" s="1" t="e">
        <f>'IRS - INF – XCCY'!#REF!</f>
        <v>#REF!</v>
      </c>
      <c r="B72" s="1" t="e">
        <f>'IRS - INF – XCCY'!#REF!</f>
        <v>#REF!</v>
      </c>
      <c r="C72" s="1" t="e">
        <f>'IRS - INF – XCCY'!#REF!</f>
        <v>#REF!</v>
      </c>
      <c r="D72" s="48" t="e">
        <f>'IRS - INF – XCCY'!#REF!</f>
        <v>#REF!</v>
      </c>
      <c r="E72" s="110">
        <f>IFERROR(VLOOKUP(A72,Triopti!A:E,4,0),0)</f>
        <v>0</v>
      </c>
    </row>
    <row r="73" spans="1:5" x14ac:dyDescent="0.2">
      <c r="A73" s="1" t="e">
        <f>'IRS - INF – XCCY'!#REF!</f>
        <v>#REF!</v>
      </c>
      <c r="B73" s="1" t="e">
        <f>'IRS - INF – XCCY'!#REF!</f>
        <v>#REF!</v>
      </c>
      <c r="C73" s="1" t="e">
        <f>'IRS - INF – XCCY'!#REF!</f>
        <v>#REF!</v>
      </c>
      <c r="D73" s="48" t="e">
        <f>'IRS - INF – XCCY'!#REF!</f>
        <v>#REF!</v>
      </c>
      <c r="E73" s="110">
        <f>IFERROR(VLOOKUP(A73,Triopti!A:E,4,0),0)</f>
        <v>0</v>
      </c>
    </row>
    <row r="74" spans="1:5" x14ac:dyDescent="0.2">
      <c r="A74" s="1" t="e">
        <f>'IRS - INF – XCCY'!#REF!</f>
        <v>#REF!</v>
      </c>
      <c r="B74" s="1" t="e">
        <f>'IRS - INF – XCCY'!#REF!</f>
        <v>#REF!</v>
      </c>
      <c r="C74" s="1" t="e">
        <f>'IRS - INF – XCCY'!#REF!</f>
        <v>#REF!</v>
      </c>
      <c r="D74" s="48" t="e">
        <f>'IRS - INF – XCCY'!#REF!</f>
        <v>#REF!</v>
      </c>
      <c r="E74" s="110">
        <f>IFERROR(VLOOKUP(A74,Triopti!A:E,4,0),0)</f>
        <v>0</v>
      </c>
    </row>
    <row r="75" spans="1:5" x14ac:dyDescent="0.2">
      <c r="A75" s="1" t="e">
        <f>'IRS - INF – XCCY'!#REF!</f>
        <v>#REF!</v>
      </c>
      <c r="B75" s="1" t="e">
        <f>'IRS - INF – XCCY'!#REF!</f>
        <v>#REF!</v>
      </c>
      <c r="C75" s="1" t="e">
        <f>'IRS - INF – XCCY'!#REF!</f>
        <v>#REF!</v>
      </c>
      <c r="D75" s="48" t="e">
        <f>'IRS - INF – XCCY'!#REF!</f>
        <v>#REF!</v>
      </c>
      <c r="E75" s="110">
        <f>IFERROR(VLOOKUP(A75,Triopti!A:E,4,0),0)</f>
        <v>0</v>
      </c>
    </row>
    <row r="76" spans="1:5" x14ac:dyDescent="0.2">
      <c r="A76" s="1" t="e">
        <f>'IRS - INF – XCCY'!#REF!</f>
        <v>#REF!</v>
      </c>
      <c r="B76" s="1" t="e">
        <f>'IRS - INF – XCCY'!#REF!</f>
        <v>#REF!</v>
      </c>
      <c r="C76" s="1" t="e">
        <f>'IRS - INF – XCCY'!#REF!</f>
        <v>#REF!</v>
      </c>
      <c r="D76" s="48" t="e">
        <f>'IRS - INF – XCCY'!#REF!</f>
        <v>#REF!</v>
      </c>
      <c r="E76" s="110">
        <f>IFERROR(VLOOKUP(A76,Triopti!A:E,4,0),0)</f>
        <v>0</v>
      </c>
    </row>
    <row r="77" spans="1:5" x14ac:dyDescent="0.2">
      <c r="A77" s="1" t="e">
        <f>'IRS - INF – XCCY'!#REF!</f>
        <v>#REF!</v>
      </c>
      <c r="B77" s="1" t="e">
        <f>'IRS - INF – XCCY'!#REF!</f>
        <v>#REF!</v>
      </c>
      <c r="C77" s="1" t="e">
        <f>'IRS - INF – XCCY'!#REF!</f>
        <v>#REF!</v>
      </c>
      <c r="D77" s="48" t="e">
        <f>'IRS - INF – XCCY'!#REF!</f>
        <v>#REF!</v>
      </c>
      <c r="E77" s="110">
        <f>IFERROR(VLOOKUP(A77,Triopti!A:E,4,0),0)</f>
        <v>0</v>
      </c>
    </row>
    <row r="78" spans="1:5" x14ac:dyDescent="0.2">
      <c r="A78" s="1" t="e">
        <f>'IRS - INF – XCCY'!#REF!</f>
        <v>#REF!</v>
      </c>
      <c r="B78" s="1" t="e">
        <f>'IRS - INF – XCCY'!#REF!</f>
        <v>#REF!</v>
      </c>
      <c r="C78" s="1" t="e">
        <f>'IRS - INF – XCCY'!#REF!</f>
        <v>#REF!</v>
      </c>
      <c r="D78" s="48" t="e">
        <f>'IRS - INF – XCCY'!#REF!</f>
        <v>#REF!</v>
      </c>
      <c r="E78" s="110">
        <f>IFERROR(VLOOKUP(A78,Triopti!A:E,4,0),0)</f>
        <v>0</v>
      </c>
    </row>
    <row r="79" spans="1:5" x14ac:dyDescent="0.2">
      <c r="A79" s="1" t="e">
        <f>'IRS - INF – XCCY'!#REF!</f>
        <v>#REF!</v>
      </c>
      <c r="B79" s="1" t="e">
        <f>'IRS - INF – XCCY'!#REF!</f>
        <v>#REF!</v>
      </c>
      <c r="C79" s="1" t="e">
        <f>'IRS - INF – XCCY'!#REF!</f>
        <v>#REF!</v>
      </c>
      <c r="D79" s="48" t="e">
        <f>'IRS - INF – XCCY'!#REF!</f>
        <v>#REF!</v>
      </c>
      <c r="E79" s="110">
        <f>IFERROR(VLOOKUP(A79,Triopti!A:E,4,0),0)</f>
        <v>0</v>
      </c>
    </row>
    <row r="80" spans="1:5" x14ac:dyDescent="0.2">
      <c r="A80" s="1" t="e">
        <f>'IRS - INF – XCCY'!#REF!</f>
        <v>#REF!</v>
      </c>
      <c r="B80" s="1" t="e">
        <f>'IRS - INF – XCCY'!#REF!</f>
        <v>#REF!</v>
      </c>
      <c r="C80" s="1" t="e">
        <f>'IRS - INF – XCCY'!#REF!</f>
        <v>#REF!</v>
      </c>
      <c r="D80" s="48" t="e">
        <f>'IRS - INF – XCCY'!#REF!</f>
        <v>#REF!</v>
      </c>
      <c r="E80" s="110">
        <f>IFERROR(VLOOKUP(A80,Triopti!A:E,4,0),0)</f>
        <v>0</v>
      </c>
    </row>
    <row r="81" spans="1:5" x14ac:dyDescent="0.2">
      <c r="A81" s="1" t="e">
        <f>'IRS - INF – XCCY'!#REF!</f>
        <v>#REF!</v>
      </c>
      <c r="B81" s="1" t="e">
        <f>'IRS - INF – XCCY'!#REF!</f>
        <v>#REF!</v>
      </c>
      <c r="C81" s="1" t="e">
        <f>'IRS - INF – XCCY'!#REF!</f>
        <v>#REF!</v>
      </c>
      <c r="D81" s="48" t="e">
        <f>'IRS - INF – XCCY'!#REF!</f>
        <v>#REF!</v>
      </c>
      <c r="E81" s="110">
        <f>IFERROR(VLOOKUP(A81,Triopti!A:E,4,0),0)</f>
        <v>0</v>
      </c>
    </row>
    <row r="82" spans="1:5" x14ac:dyDescent="0.2">
      <c r="A82" s="1" t="e">
        <f>'IRS - INF – XCCY'!#REF!</f>
        <v>#REF!</v>
      </c>
      <c r="B82" s="1" t="e">
        <f>'IRS - INF – XCCY'!#REF!</f>
        <v>#REF!</v>
      </c>
      <c r="C82" s="1" t="e">
        <f>'IRS - INF – XCCY'!#REF!</f>
        <v>#REF!</v>
      </c>
      <c r="D82" s="48" t="e">
        <f>'IRS - INF – XCCY'!#REF!</f>
        <v>#REF!</v>
      </c>
      <c r="E82" s="110">
        <f>IFERROR(VLOOKUP(A82,Triopti!A:E,4,0),0)</f>
        <v>0</v>
      </c>
    </row>
    <row r="83" spans="1:5" x14ac:dyDescent="0.2">
      <c r="A83" s="1" t="e">
        <f>'IRS - INF – XCCY'!#REF!</f>
        <v>#REF!</v>
      </c>
      <c r="B83" s="1" t="e">
        <f>'IRS - INF – XCCY'!#REF!</f>
        <v>#REF!</v>
      </c>
      <c r="C83" s="1" t="e">
        <f>'IRS - INF – XCCY'!#REF!</f>
        <v>#REF!</v>
      </c>
      <c r="D83" s="48" t="e">
        <f>'IRS - INF – XCCY'!#REF!</f>
        <v>#REF!</v>
      </c>
      <c r="E83" s="110">
        <f>IFERROR(VLOOKUP(A83,Triopti!A:E,4,0),0)</f>
        <v>0</v>
      </c>
    </row>
    <row r="84" spans="1:5" x14ac:dyDescent="0.2">
      <c r="A84" s="1" t="e">
        <f>'IRS - INF – XCCY'!#REF!</f>
        <v>#REF!</v>
      </c>
      <c r="B84" s="1" t="e">
        <f>'IRS - INF – XCCY'!#REF!</f>
        <v>#REF!</v>
      </c>
      <c r="C84" s="1" t="e">
        <f>'IRS - INF – XCCY'!#REF!</f>
        <v>#REF!</v>
      </c>
      <c r="D84" s="48" t="e">
        <f>'IRS - INF – XCCY'!#REF!</f>
        <v>#REF!</v>
      </c>
      <c r="E84" s="110">
        <f>IFERROR(VLOOKUP(A84,Triopti!A:E,4,0),0)</f>
        <v>0</v>
      </c>
    </row>
    <row r="85" spans="1:5" x14ac:dyDescent="0.2">
      <c r="A85" s="1" t="e">
        <f>'IRS - INF – XCCY'!#REF!</f>
        <v>#REF!</v>
      </c>
      <c r="B85" s="1" t="e">
        <f>'IRS - INF – XCCY'!#REF!</f>
        <v>#REF!</v>
      </c>
      <c r="C85" s="1" t="e">
        <f>'IRS - INF – XCCY'!#REF!</f>
        <v>#REF!</v>
      </c>
      <c r="D85" s="48" t="e">
        <f>'IRS - INF – XCCY'!#REF!</f>
        <v>#REF!</v>
      </c>
      <c r="E85" s="110">
        <f>IFERROR(VLOOKUP(A85,Triopti!A:E,4,0),0)</f>
        <v>0</v>
      </c>
    </row>
    <row r="86" spans="1:5" x14ac:dyDescent="0.2">
      <c r="A86" s="1" t="e">
        <f>'IRS - INF – XCCY'!#REF!</f>
        <v>#REF!</v>
      </c>
      <c r="B86" s="1" t="e">
        <f>'IRS - INF – XCCY'!#REF!</f>
        <v>#REF!</v>
      </c>
      <c r="C86" s="1" t="e">
        <f>'IRS - INF – XCCY'!#REF!</f>
        <v>#REF!</v>
      </c>
      <c r="D86" s="48" t="e">
        <f>'IRS - INF – XCCY'!#REF!</f>
        <v>#REF!</v>
      </c>
      <c r="E86" s="110">
        <f>IFERROR(VLOOKUP(A86,Triopti!A:E,4,0),0)</f>
        <v>0</v>
      </c>
    </row>
    <row r="87" spans="1:5" x14ac:dyDescent="0.2">
      <c r="A87" s="1" t="e">
        <f>'IRS - INF – XCCY'!#REF!</f>
        <v>#REF!</v>
      </c>
      <c r="B87" s="1" t="e">
        <f>'IRS - INF – XCCY'!#REF!</f>
        <v>#REF!</v>
      </c>
      <c r="C87" s="1" t="e">
        <f>'IRS - INF – XCCY'!#REF!</f>
        <v>#REF!</v>
      </c>
      <c r="D87" s="48" t="e">
        <f>'IRS - INF – XCCY'!#REF!</f>
        <v>#REF!</v>
      </c>
      <c r="E87" s="110">
        <f>IFERROR(VLOOKUP(A87,Triopti!A:E,4,0),0)</f>
        <v>0</v>
      </c>
    </row>
    <row r="88" spans="1:5" x14ac:dyDescent="0.2">
      <c r="A88" s="1" t="e">
        <f>'IRS - INF – XCCY'!#REF!</f>
        <v>#REF!</v>
      </c>
      <c r="B88" s="1" t="e">
        <f>'IRS - INF – XCCY'!#REF!</f>
        <v>#REF!</v>
      </c>
      <c r="C88" s="1" t="e">
        <f>'IRS - INF – XCCY'!#REF!</f>
        <v>#REF!</v>
      </c>
      <c r="D88" s="48" t="e">
        <f>'IRS - INF – XCCY'!#REF!</f>
        <v>#REF!</v>
      </c>
      <c r="E88" s="110">
        <f>IFERROR(VLOOKUP(A88,Triopti!A:E,4,0),0)</f>
        <v>0</v>
      </c>
    </row>
    <row r="89" spans="1:5" x14ac:dyDescent="0.2">
      <c r="A89" s="1" t="e">
        <f>'IRS - INF – XCCY'!#REF!</f>
        <v>#REF!</v>
      </c>
      <c r="B89" s="1" t="e">
        <f>'IRS - INF – XCCY'!#REF!</f>
        <v>#REF!</v>
      </c>
      <c r="C89" s="1" t="e">
        <f>'IRS - INF – XCCY'!#REF!</f>
        <v>#REF!</v>
      </c>
      <c r="D89" s="48" t="e">
        <f>'IRS - INF – XCCY'!#REF!</f>
        <v>#REF!</v>
      </c>
      <c r="E89" s="110">
        <f>IFERROR(VLOOKUP(A89,Triopti!A:E,4,0),0)</f>
        <v>0</v>
      </c>
    </row>
    <row r="90" spans="1:5" x14ac:dyDescent="0.2">
      <c r="A90" s="1" t="e">
        <f>'IRS - INF – XCCY'!#REF!</f>
        <v>#REF!</v>
      </c>
      <c r="B90" s="1" t="e">
        <f>'IRS - INF – XCCY'!#REF!</f>
        <v>#REF!</v>
      </c>
      <c r="C90" s="1" t="e">
        <f>'IRS - INF – XCCY'!#REF!</f>
        <v>#REF!</v>
      </c>
      <c r="D90" s="48" t="e">
        <f>'IRS - INF – XCCY'!#REF!</f>
        <v>#REF!</v>
      </c>
      <c r="E90" s="110">
        <f>IFERROR(VLOOKUP(A90,Triopti!A:E,4,0),0)</f>
        <v>0</v>
      </c>
    </row>
    <row r="91" spans="1:5" x14ac:dyDescent="0.2">
      <c r="A91" s="1" t="e">
        <f>'IRS - INF – XCCY'!#REF!</f>
        <v>#REF!</v>
      </c>
      <c r="B91" s="1" t="e">
        <f>'IRS - INF – XCCY'!#REF!</f>
        <v>#REF!</v>
      </c>
      <c r="C91" s="1" t="e">
        <f>'IRS - INF – XCCY'!#REF!</f>
        <v>#REF!</v>
      </c>
      <c r="D91" s="48" t="e">
        <f>'IRS - INF – XCCY'!#REF!</f>
        <v>#REF!</v>
      </c>
      <c r="E91" s="110">
        <f>IFERROR(VLOOKUP(A91,Triopti!A:E,4,0),0)</f>
        <v>0</v>
      </c>
    </row>
    <row r="92" spans="1:5" x14ac:dyDescent="0.2">
      <c r="A92" s="1" t="e">
        <f>'IRS - INF – XCCY'!#REF!</f>
        <v>#REF!</v>
      </c>
      <c r="B92" s="1" t="e">
        <f>'IRS - INF – XCCY'!#REF!</f>
        <v>#REF!</v>
      </c>
      <c r="C92" s="1" t="e">
        <f>'IRS - INF – XCCY'!#REF!</f>
        <v>#REF!</v>
      </c>
      <c r="D92" s="48" t="e">
        <f>'IRS - INF – XCCY'!#REF!</f>
        <v>#REF!</v>
      </c>
      <c r="E92" s="110">
        <f>IFERROR(VLOOKUP(A92,Triopti!A:E,4,0),0)</f>
        <v>0</v>
      </c>
    </row>
    <row r="93" spans="1:5" x14ac:dyDescent="0.2">
      <c r="A93" s="1" t="e">
        <f>'IRS - INF – XCCY'!#REF!</f>
        <v>#REF!</v>
      </c>
      <c r="B93" s="1" t="e">
        <f>'IRS - INF – XCCY'!#REF!</f>
        <v>#REF!</v>
      </c>
      <c r="C93" s="1" t="e">
        <f>'IRS - INF – XCCY'!#REF!</f>
        <v>#REF!</v>
      </c>
      <c r="D93" s="48" t="e">
        <f>'IRS - INF – XCCY'!#REF!</f>
        <v>#REF!</v>
      </c>
      <c r="E93" s="110">
        <f>IFERROR(VLOOKUP(A93,Triopti!A:E,4,0),0)</f>
        <v>0</v>
      </c>
    </row>
    <row r="94" spans="1:5" x14ac:dyDescent="0.2">
      <c r="A94" s="1" t="e">
        <f>'IRS - INF – XCCY'!#REF!</f>
        <v>#REF!</v>
      </c>
      <c r="B94" s="1" t="e">
        <f>'IRS - INF – XCCY'!#REF!</f>
        <v>#REF!</v>
      </c>
      <c r="C94" s="1" t="e">
        <f>'IRS - INF – XCCY'!#REF!</f>
        <v>#REF!</v>
      </c>
      <c r="D94" s="48" t="e">
        <f>'IRS - INF – XCCY'!#REF!</f>
        <v>#REF!</v>
      </c>
      <c r="E94" s="110">
        <f>IFERROR(VLOOKUP(A94,Triopti!A:E,4,0),0)</f>
        <v>0</v>
      </c>
    </row>
    <row r="95" spans="1:5" x14ac:dyDescent="0.2">
      <c r="A95" s="1" t="e">
        <f>'IRS - INF – XCCY'!#REF!</f>
        <v>#REF!</v>
      </c>
      <c r="B95" s="1" t="e">
        <f>'IRS - INF – XCCY'!#REF!</f>
        <v>#REF!</v>
      </c>
      <c r="C95" s="1" t="e">
        <f>'IRS - INF – XCCY'!#REF!</f>
        <v>#REF!</v>
      </c>
      <c r="D95" s="48" t="e">
        <f>'IRS - INF – XCCY'!#REF!</f>
        <v>#REF!</v>
      </c>
      <c r="E95" s="110">
        <f>IFERROR(VLOOKUP(A95,Triopti!A:E,4,0),0)</f>
        <v>0</v>
      </c>
    </row>
    <row r="96" spans="1:5" x14ac:dyDescent="0.2">
      <c r="A96" s="1" t="e">
        <f>'IRS - INF – XCCY'!#REF!</f>
        <v>#REF!</v>
      </c>
      <c r="B96" s="1" t="e">
        <f>'IRS - INF – XCCY'!#REF!</f>
        <v>#REF!</v>
      </c>
      <c r="C96" s="1" t="e">
        <f>'IRS - INF – XCCY'!#REF!</f>
        <v>#REF!</v>
      </c>
      <c r="D96" s="48" t="e">
        <f>'IRS - INF – XCCY'!#REF!</f>
        <v>#REF!</v>
      </c>
      <c r="E96" s="110">
        <f>IFERROR(VLOOKUP(A96,Triopti!A:E,4,0),0)</f>
        <v>0</v>
      </c>
    </row>
    <row r="97" spans="1:5" x14ac:dyDescent="0.2">
      <c r="A97" s="1" t="e">
        <f>'IRS - INF – XCCY'!#REF!</f>
        <v>#REF!</v>
      </c>
      <c r="B97" s="1" t="e">
        <f>'IRS - INF – XCCY'!#REF!</f>
        <v>#REF!</v>
      </c>
      <c r="C97" s="1" t="e">
        <f>'IRS - INF – XCCY'!#REF!</f>
        <v>#REF!</v>
      </c>
      <c r="D97" s="48" t="e">
        <f>'IRS - INF – XCCY'!#REF!</f>
        <v>#REF!</v>
      </c>
      <c r="E97" s="110">
        <f>IFERROR(VLOOKUP(A97,Triopti!A:E,4,0),0)</f>
        <v>0</v>
      </c>
    </row>
    <row r="98" spans="1:5" x14ac:dyDescent="0.2">
      <c r="A98" s="1" t="e">
        <f>'IRS - INF – XCCY'!#REF!</f>
        <v>#REF!</v>
      </c>
      <c r="B98" s="1" t="e">
        <f>'IRS - INF – XCCY'!#REF!</f>
        <v>#REF!</v>
      </c>
      <c r="C98" s="1" t="e">
        <f>'IRS - INF – XCCY'!#REF!</f>
        <v>#REF!</v>
      </c>
      <c r="D98" s="48" t="e">
        <f>'IRS - INF – XCCY'!#REF!</f>
        <v>#REF!</v>
      </c>
      <c r="E98" s="110">
        <f>IFERROR(VLOOKUP(A98,Triopti!A:E,4,0),0)</f>
        <v>0</v>
      </c>
    </row>
    <row r="99" spans="1:5" x14ac:dyDescent="0.2">
      <c r="A99" s="1" t="e">
        <f>'IRS - INF – XCCY'!#REF!</f>
        <v>#REF!</v>
      </c>
      <c r="B99" s="1" t="e">
        <f>'IRS - INF – XCCY'!#REF!</f>
        <v>#REF!</v>
      </c>
      <c r="C99" s="1" t="e">
        <f>'IRS - INF – XCCY'!#REF!</f>
        <v>#REF!</v>
      </c>
      <c r="D99" s="48" t="e">
        <f>'IRS - INF – XCCY'!#REF!</f>
        <v>#REF!</v>
      </c>
      <c r="E99" s="110">
        <f>IFERROR(VLOOKUP(A99,Triopti!A:E,4,0),0)</f>
        <v>0</v>
      </c>
    </row>
    <row r="100" spans="1:5" x14ac:dyDescent="0.2">
      <c r="A100" s="1" t="e">
        <f>'IRS - INF – XCCY'!#REF!</f>
        <v>#REF!</v>
      </c>
      <c r="B100" s="1" t="e">
        <f>'IRS - INF – XCCY'!#REF!</f>
        <v>#REF!</v>
      </c>
      <c r="C100" s="1" t="e">
        <f>'IRS - INF – XCCY'!#REF!</f>
        <v>#REF!</v>
      </c>
      <c r="D100" s="48" t="e">
        <f>'IRS - INF – XCCY'!#REF!</f>
        <v>#REF!</v>
      </c>
      <c r="E100" s="110">
        <f>IFERROR(VLOOKUP(A100,Triopti!A:E,4,0),0)</f>
        <v>0</v>
      </c>
    </row>
    <row r="101" spans="1:5" x14ac:dyDescent="0.2">
      <c r="A101" s="1"/>
      <c r="B101" s="1"/>
      <c r="C101" s="1"/>
      <c r="D101" s="48"/>
      <c r="E101" s="110"/>
    </row>
    <row r="102" spans="1:5" x14ac:dyDescent="0.2">
      <c r="A102" s="1"/>
      <c r="B102" s="1"/>
      <c r="C102" s="1"/>
      <c r="D102" s="48"/>
      <c r="E102" s="110"/>
    </row>
    <row r="103" spans="1:5" x14ac:dyDescent="0.2">
      <c r="A103" s="1"/>
      <c r="B103" s="1"/>
      <c r="C103" s="1"/>
      <c r="D103" s="48"/>
      <c r="E103" s="110"/>
    </row>
    <row r="104" spans="1:5" x14ac:dyDescent="0.2">
      <c r="A104" s="1"/>
      <c r="B104" s="1"/>
      <c r="C104" s="1"/>
      <c r="D104" s="48"/>
      <c r="E104" s="110"/>
    </row>
    <row r="105" spans="1:5" x14ac:dyDescent="0.2">
      <c r="A105" s="1"/>
      <c r="B105" s="1"/>
      <c r="C105" s="1"/>
      <c r="D105" s="48"/>
      <c r="E105" s="110"/>
    </row>
    <row r="106" spans="1:5" x14ac:dyDescent="0.2">
      <c r="A106" s="1"/>
      <c r="B106" s="1"/>
      <c r="C106" s="1"/>
      <c r="D106" s="48"/>
      <c r="E106" s="110"/>
    </row>
  </sheetData>
  <autoFilter ref="A1:E106" xr:uid="{29CFE17E-67C5-4274-AD8A-DC0341B4396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82FA1-D39F-4894-8679-59DF04D50558}">
  <sheetPr codeName="Feuil7"/>
  <dimension ref="B1:W37"/>
  <sheetViews>
    <sheetView zoomScaleNormal="100" workbookViewId="0">
      <selection activeCell="O3" sqref="O3"/>
    </sheetView>
  </sheetViews>
  <sheetFormatPr baseColWidth="10" defaultRowHeight="12.75" x14ac:dyDescent="0.2"/>
  <cols>
    <col min="1" max="1" width="1.42578125" customWidth="1"/>
    <col min="2" max="2" width="22.85546875" bestFit="1" customWidth="1"/>
    <col min="3" max="3" width="25.42578125" bestFit="1" customWidth="1"/>
    <col min="4" max="4" width="24.85546875" bestFit="1" customWidth="1"/>
    <col min="5" max="5" width="1.85546875" customWidth="1"/>
    <col min="6" max="6" width="38.85546875" bestFit="1" customWidth="1"/>
    <col min="7" max="7" width="19.140625" bestFit="1" customWidth="1"/>
    <col min="8" max="8" width="18.5703125" bestFit="1" customWidth="1"/>
    <col min="9" max="9" width="1.7109375" customWidth="1"/>
    <col min="10" max="10" width="23.140625" customWidth="1"/>
    <col min="11" max="11" width="16.7109375" customWidth="1"/>
    <col min="12" max="12" width="16.85546875" bestFit="1" customWidth="1"/>
    <col min="13" max="13" width="34.42578125" hidden="1" customWidth="1"/>
    <col min="14" max="14" width="15.85546875" hidden="1" customWidth="1"/>
    <col min="15" max="15" width="12.140625" bestFit="1" customWidth="1"/>
    <col min="17" max="18" width="11.42578125" hidden="1" customWidth="1"/>
    <col min="20" max="20" width="40.140625" bestFit="1" customWidth="1"/>
    <col min="22" max="22" width="11.7109375" bestFit="1" customWidth="1"/>
    <col min="23" max="23" width="15.140625" bestFit="1" customWidth="1"/>
  </cols>
  <sheetData>
    <row r="1" spans="2:23" x14ac:dyDescent="0.2">
      <c r="M1">
        <v>20</v>
      </c>
      <c r="N1">
        <v>19</v>
      </c>
      <c r="O1" s="210">
        <v>20</v>
      </c>
      <c r="P1" s="210">
        <v>20</v>
      </c>
      <c r="Q1">
        <v>19</v>
      </c>
      <c r="R1">
        <v>19</v>
      </c>
      <c r="V1">
        <v>20</v>
      </c>
      <c r="W1">
        <v>20</v>
      </c>
    </row>
    <row r="2" spans="2:23" x14ac:dyDescent="0.2">
      <c r="F2" s="197" t="s">
        <v>662</v>
      </c>
      <c r="G2" s="198" t="s">
        <v>1403</v>
      </c>
      <c r="H2" s="199"/>
      <c r="J2" s="204" t="s">
        <v>1635</v>
      </c>
      <c r="K2" s="204" t="s">
        <v>1636</v>
      </c>
      <c r="L2" s="204" t="s">
        <v>1637</v>
      </c>
      <c r="M2" s="204" t="s">
        <v>1638</v>
      </c>
      <c r="N2" s="204" t="s">
        <v>1639</v>
      </c>
      <c r="O2" s="204" t="s">
        <v>1638</v>
      </c>
      <c r="P2" s="204" t="s">
        <v>1639</v>
      </c>
      <c r="Q2" s="204" t="s">
        <v>1638</v>
      </c>
      <c r="R2" s="204" t="s">
        <v>1639</v>
      </c>
      <c r="T2" s="204" t="s">
        <v>831</v>
      </c>
      <c r="U2" s="204" t="s">
        <v>832</v>
      </c>
      <c r="V2" s="204" t="s">
        <v>834</v>
      </c>
      <c r="W2" s="204" t="s">
        <v>835</v>
      </c>
    </row>
    <row r="3" spans="2:23" x14ac:dyDescent="0.2">
      <c r="B3" s="111" t="s">
        <v>435</v>
      </c>
      <c r="C3" t="s">
        <v>438</v>
      </c>
      <c r="D3" t="s">
        <v>439</v>
      </c>
      <c r="F3" s="199" t="s">
        <v>435</v>
      </c>
      <c r="G3" s="199" t="s">
        <v>658</v>
      </c>
      <c r="H3" s="199" t="s">
        <v>336</v>
      </c>
      <c r="J3" s="205" t="s">
        <v>709</v>
      </c>
      <c r="K3" s="205" t="s">
        <v>552</v>
      </c>
      <c r="L3" s="206">
        <v>10000000</v>
      </c>
      <c r="M3" s="208">
        <v>-3529372</v>
      </c>
      <c r="N3" s="208">
        <v>-3526536</v>
      </c>
      <c r="O3" s="208">
        <v>-3529372</v>
      </c>
      <c r="P3" s="208">
        <v>-3531330</v>
      </c>
      <c r="Q3" s="209">
        <v>-3532047</v>
      </c>
      <c r="R3" s="208">
        <v>-3526536</v>
      </c>
      <c r="T3" s="205" t="s">
        <v>709</v>
      </c>
      <c r="U3" s="205" t="s">
        <v>552</v>
      </c>
      <c r="V3" s="208">
        <v>-3529372</v>
      </c>
      <c r="W3" s="208">
        <v>-3531330</v>
      </c>
    </row>
    <row r="4" spans="2:23" x14ac:dyDescent="0.2">
      <c r="B4" s="112">
        <v>0</v>
      </c>
      <c r="C4" s="64">
        <v>0</v>
      </c>
      <c r="D4" s="64">
        <v>0</v>
      </c>
      <c r="F4" s="200">
        <v>0</v>
      </c>
      <c r="G4" s="201">
        <v>0</v>
      </c>
      <c r="H4" s="201">
        <v>0</v>
      </c>
      <c r="J4" s="205" t="s">
        <v>63</v>
      </c>
      <c r="K4" s="205" t="s">
        <v>552</v>
      </c>
      <c r="L4" s="206">
        <v>25000000</v>
      </c>
      <c r="M4" s="208">
        <v>-13917129</v>
      </c>
      <c r="N4" s="208">
        <v>-13645201</v>
      </c>
      <c r="O4" s="208">
        <v>-13917129</v>
      </c>
      <c r="P4" s="208">
        <v>-13703543</v>
      </c>
      <c r="Q4" s="209">
        <v>-13868660</v>
      </c>
      <c r="R4" s="208">
        <v>-13645201</v>
      </c>
      <c r="T4" s="205" t="s">
        <v>63</v>
      </c>
      <c r="U4" s="205" t="s">
        <v>552</v>
      </c>
      <c r="V4" s="208">
        <v>-13917129</v>
      </c>
      <c r="W4" s="208">
        <v>-13703543</v>
      </c>
    </row>
    <row r="5" spans="2:23" x14ac:dyDescent="0.2">
      <c r="B5" s="113">
        <v>0</v>
      </c>
      <c r="C5" s="64">
        <v>0</v>
      </c>
      <c r="D5" s="64">
        <v>0</v>
      </c>
      <c r="F5" s="202">
        <v>0</v>
      </c>
      <c r="G5" s="201">
        <v>0</v>
      </c>
      <c r="H5" s="201">
        <v>0</v>
      </c>
      <c r="J5" s="205" t="s">
        <v>63</v>
      </c>
      <c r="K5" s="205" t="s">
        <v>626</v>
      </c>
      <c r="L5" s="206">
        <v>118200000</v>
      </c>
      <c r="M5" s="209">
        <v>-20635351</v>
      </c>
      <c r="N5" s="208">
        <v>-21116673</v>
      </c>
      <c r="O5" s="208">
        <v>-20635351</v>
      </c>
      <c r="P5" s="208">
        <v>-20510442</v>
      </c>
      <c r="Q5" s="208">
        <v>-21257949</v>
      </c>
      <c r="R5" s="207">
        <v>-21116673</v>
      </c>
      <c r="T5" s="205" t="s">
        <v>63</v>
      </c>
      <c r="U5" s="205" t="s">
        <v>626</v>
      </c>
      <c r="V5" s="208">
        <v>-20635351</v>
      </c>
      <c r="W5" s="208">
        <v>-20510442</v>
      </c>
    </row>
    <row r="6" spans="2:23" x14ac:dyDescent="0.2">
      <c r="B6" s="112" t="s">
        <v>63</v>
      </c>
      <c r="C6" s="64">
        <v>-34679399.219999999</v>
      </c>
      <c r="D6" s="64">
        <v>-34483353.437700003</v>
      </c>
      <c r="F6" s="200" t="s">
        <v>641</v>
      </c>
      <c r="G6" s="201"/>
      <c r="H6" s="201"/>
      <c r="J6" s="205" t="s">
        <v>63</v>
      </c>
      <c r="K6" s="205" t="s">
        <v>766</v>
      </c>
      <c r="L6" s="206">
        <v>290118808</v>
      </c>
      <c r="M6" s="208">
        <v>-20762273</v>
      </c>
      <c r="N6" s="208">
        <v>-20519317</v>
      </c>
      <c r="O6" s="208">
        <v>-20762273</v>
      </c>
      <c r="P6" s="208">
        <v>-20779810</v>
      </c>
      <c r="Q6" s="207">
        <v>-20590340</v>
      </c>
      <c r="R6" s="207">
        <v>-20519317</v>
      </c>
      <c r="T6" s="205" t="s">
        <v>63</v>
      </c>
      <c r="U6" s="205" t="s">
        <v>766</v>
      </c>
      <c r="V6" s="208">
        <v>-20762273</v>
      </c>
      <c r="W6" s="208">
        <v>-20779810</v>
      </c>
    </row>
    <row r="7" spans="2:23" x14ac:dyDescent="0.2">
      <c r="B7" s="113" t="s">
        <v>78</v>
      </c>
      <c r="C7" s="64">
        <v>-13917128.91</v>
      </c>
      <c r="D7" s="64">
        <v>-13703543.4977</v>
      </c>
      <c r="F7" s="202" t="s">
        <v>641</v>
      </c>
      <c r="G7" s="201"/>
      <c r="H7" s="201"/>
      <c r="J7" s="205" t="s">
        <v>1127</v>
      </c>
      <c r="K7" s="205" t="s">
        <v>626</v>
      </c>
      <c r="L7" s="206">
        <v>81500000</v>
      </c>
      <c r="M7" s="209">
        <v>-23462725</v>
      </c>
      <c r="N7" s="208">
        <v>-23803168</v>
      </c>
      <c r="O7" s="208">
        <v>-23462725</v>
      </c>
      <c r="P7" s="208">
        <v>-23406823</v>
      </c>
      <c r="Q7" s="207">
        <v>-23867070</v>
      </c>
      <c r="R7" s="207">
        <v>-23803168</v>
      </c>
      <c r="T7" s="205" t="s">
        <v>1127</v>
      </c>
      <c r="U7" s="205" t="s">
        <v>626</v>
      </c>
      <c r="V7" s="208">
        <v>-23462725</v>
      </c>
      <c r="W7" s="208">
        <v>-23406823</v>
      </c>
    </row>
    <row r="8" spans="2:23" x14ac:dyDescent="0.2">
      <c r="B8" s="113" t="s">
        <v>173</v>
      </c>
      <c r="C8" s="64">
        <v>-20762270.310000002</v>
      </c>
      <c r="D8" s="64">
        <v>-20779809.940000001</v>
      </c>
      <c r="F8" s="200" t="s">
        <v>434</v>
      </c>
      <c r="G8" s="201">
        <v>0</v>
      </c>
      <c r="H8" s="201">
        <v>0</v>
      </c>
      <c r="J8" s="205" t="s">
        <v>1128</v>
      </c>
      <c r="K8" s="205" t="s">
        <v>626</v>
      </c>
      <c r="L8" s="206">
        <v>257100000</v>
      </c>
      <c r="M8" s="209">
        <v>-24270020</v>
      </c>
      <c r="N8" s="208">
        <v>-25725660</v>
      </c>
      <c r="O8" s="208">
        <v>-24270020</v>
      </c>
      <c r="P8" s="208">
        <v>-24176339</v>
      </c>
      <c r="Q8" s="207">
        <v>-25804525</v>
      </c>
      <c r="R8" s="207">
        <v>-25725660</v>
      </c>
      <c r="T8" s="211" t="s">
        <v>1128</v>
      </c>
      <c r="U8" s="211" t="s">
        <v>626</v>
      </c>
      <c r="V8" s="208">
        <v>-24270020</v>
      </c>
      <c r="W8" s="208">
        <v>-23960012</v>
      </c>
    </row>
    <row r="9" spans="2:23" x14ac:dyDescent="0.2">
      <c r="B9" s="112" t="s">
        <v>77</v>
      </c>
      <c r="C9" s="64">
        <v>-21724552.760000002</v>
      </c>
      <c r="D9" s="64">
        <v>-21525012.022831999</v>
      </c>
      <c r="J9" s="205" t="s">
        <v>1640</v>
      </c>
      <c r="K9" s="205" t="s">
        <v>626</v>
      </c>
      <c r="L9" s="206">
        <v>20000000</v>
      </c>
      <c r="M9" s="209">
        <v>-159488</v>
      </c>
      <c r="N9" s="208">
        <v>-185215</v>
      </c>
      <c r="O9" s="209">
        <v>-159488</v>
      </c>
      <c r="P9" s="209">
        <v>-136104</v>
      </c>
      <c r="Q9" s="207">
        <v>-298037</v>
      </c>
      <c r="R9" s="207">
        <v>-185215</v>
      </c>
      <c r="T9" s="205" t="s">
        <v>1640</v>
      </c>
      <c r="U9" s="205" t="s">
        <v>626</v>
      </c>
      <c r="V9" s="208">
        <v>-159488</v>
      </c>
      <c r="W9" s="208">
        <v>-136104</v>
      </c>
    </row>
    <row r="10" spans="2:23" x14ac:dyDescent="0.2">
      <c r="B10" s="113" t="s">
        <v>78</v>
      </c>
      <c r="C10" s="64">
        <v>-21724552.760000002</v>
      </c>
      <c r="D10" s="64">
        <v>-21525012.022831999</v>
      </c>
      <c r="J10" s="205" t="s">
        <v>715</v>
      </c>
      <c r="K10" s="205" t="s">
        <v>766</v>
      </c>
      <c r="L10" s="206">
        <v>100000000</v>
      </c>
      <c r="M10" s="208">
        <v>-316555</v>
      </c>
      <c r="N10" s="208">
        <v>-296783</v>
      </c>
      <c r="O10" s="208">
        <v>-316555</v>
      </c>
      <c r="P10" s="208">
        <v>-308142</v>
      </c>
      <c r="Q10" s="207">
        <v>-308675</v>
      </c>
      <c r="R10" s="207">
        <v>-296783</v>
      </c>
      <c r="T10" s="205" t="s">
        <v>715</v>
      </c>
      <c r="U10" s="205" t="s">
        <v>766</v>
      </c>
      <c r="V10" s="208">
        <v>-316555</v>
      </c>
      <c r="W10" s="208">
        <v>-308142</v>
      </c>
    </row>
    <row r="11" spans="2:23" x14ac:dyDescent="0.2">
      <c r="B11" s="112" t="s">
        <v>293</v>
      </c>
      <c r="C11" s="64">
        <v>-3529371.9</v>
      </c>
      <c r="D11" s="64">
        <v>-3531330</v>
      </c>
      <c r="J11" s="205" t="s">
        <v>716</v>
      </c>
      <c r="K11" s="205" t="s">
        <v>626</v>
      </c>
      <c r="L11" s="206">
        <v>84000000</v>
      </c>
      <c r="M11" s="209">
        <v>-25677744</v>
      </c>
      <c r="N11" s="208">
        <v>-25975618</v>
      </c>
      <c r="O11" s="208">
        <v>-25677744</v>
      </c>
      <c r="P11" s="208">
        <v>-25542248</v>
      </c>
      <c r="Q11" s="207">
        <v>-26027124</v>
      </c>
      <c r="R11" s="207">
        <v>-25975618</v>
      </c>
      <c r="T11" s="205" t="s">
        <v>716</v>
      </c>
      <c r="U11" s="205" t="s">
        <v>626</v>
      </c>
      <c r="V11" s="208">
        <v>-25677744</v>
      </c>
      <c r="W11" s="208">
        <v>-25542248</v>
      </c>
    </row>
    <row r="12" spans="2:23" x14ac:dyDescent="0.2">
      <c r="B12" s="113" t="s">
        <v>78</v>
      </c>
      <c r="C12" s="64">
        <v>-3529371.9</v>
      </c>
      <c r="D12" s="64">
        <v>-3531330</v>
      </c>
      <c r="J12" s="205" t="s">
        <v>1129</v>
      </c>
      <c r="K12" s="205" t="s">
        <v>626</v>
      </c>
      <c r="L12" s="206">
        <v>33700000</v>
      </c>
      <c r="M12" s="209">
        <v>-1280347</v>
      </c>
      <c r="N12" s="208">
        <v>-1402336</v>
      </c>
      <c r="O12" s="208">
        <v>-1280347</v>
      </c>
      <c r="P12" s="208">
        <v>-1232778</v>
      </c>
      <c r="Q12" s="207">
        <v>-1493659</v>
      </c>
      <c r="R12" s="207">
        <v>-1402336</v>
      </c>
      <c r="T12" s="205" t="s">
        <v>1129</v>
      </c>
      <c r="U12" s="205" t="s">
        <v>626</v>
      </c>
      <c r="V12" s="208">
        <v>-1280347</v>
      </c>
      <c r="W12" s="208">
        <v>-1232778</v>
      </c>
    </row>
    <row r="13" spans="2:23" x14ac:dyDescent="0.2">
      <c r="B13" s="112" t="s">
        <v>157</v>
      </c>
      <c r="C13" s="64">
        <v>-39579468.829999998</v>
      </c>
      <c r="D13" s="64">
        <v>-39212737.583546996</v>
      </c>
      <c r="J13" s="205" t="s">
        <v>1130</v>
      </c>
      <c r="K13" s="205" t="s">
        <v>626</v>
      </c>
      <c r="L13" s="206">
        <v>96500000</v>
      </c>
      <c r="M13" s="209">
        <v>-4014270</v>
      </c>
      <c r="N13" s="208">
        <v>-4963796</v>
      </c>
      <c r="O13" s="209">
        <v>-4014270</v>
      </c>
      <c r="P13" s="208">
        <v>-4418352</v>
      </c>
      <c r="Q13" s="207">
        <v>-4631703</v>
      </c>
      <c r="R13" s="207">
        <v>-4963796</v>
      </c>
      <c r="T13" s="211" t="s">
        <v>1130</v>
      </c>
      <c r="U13" s="211" t="s">
        <v>626</v>
      </c>
      <c r="V13" s="208">
        <v>-4014270</v>
      </c>
      <c r="W13" s="208">
        <v>-4418352</v>
      </c>
    </row>
    <row r="14" spans="2:23" x14ac:dyDescent="0.2">
      <c r="B14" s="113" t="s">
        <v>78</v>
      </c>
      <c r="C14" s="64">
        <v>-39579468.829999998</v>
      </c>
      <c r="D14" s="64">
        <v>-39212737.583546996</v>
      </c>
      <c r="J14" s="205" t="s">
        <v>1130</v>
      </c>
      <c r="K14" s="205" t="s">
        <v>766</v>
      </c>
      <c r="L14" s="206">
        <v>104000000</v>
      </c>
      <c r="M14" s="208">
        <v>-6731069</v>
      </c>
      <c r="N14" s="208">
        <v>-6562627</v>
      </c>
      <c r="O14" s="208">
        <v>-6731069</v>
      </c>
      <c r="P14" s="208">
        <v>-6693654</v>
      </c>
      <c r="Q14" s="207">
        <v>-6630286</v>
      </c>
      <c r="R14" s="207">
        <v>-6562627</v>
      </c>
      <c r="T14" s="205" t="s">
        <v>1130</v>
      </c>
      <c r="U14" s="205" t="s">
        <v>766</v>
      </c>
      <c r="V14" s="208">
        <v>-6731069</v>
      </c>
      <c r="W14" s="208">
        <v>-6693654</v>
      </c>
    </row>
    <row r="15" spans="2:23" x14ac:dyDescent="0.2">
      <c r="B15" s="112" t="s">
        <v>75</v>
      </c>
      <c r="C15" s="64">
        <v>-11279427.25</v>
      </c>
      <c r="D15" s="64">
        <v>-11116297.310000001</v>
      </c>
      <c r="J15" s="205" t="s">
        <v>719</v>
      </c>
      <c r="K15" s="205" t="s">
        <v>552</v>
      </c>
      <c r="L15" s="206">
        <v>75841000</v>
      </c>
      <c r="M15" s="208">
        <v>-27444667</v>
      </c>
      <c r="N15" s="208">
        <v>-27514903</v>
      </c>
      <c r="O15" s="208">
        <v>-27444667</v>
      </c>
      <c r="P15" s="208">
        <v>-27545736</v>
      </c>
      <c r="Q15" s="207">
        <v>-27439683</v>
      </c>
      <c r="R15" s="207">
        <v>-27514903</v>
      </c>
      <c r="T15" s="205" t="s">
        <v>719</v>
      </c>
      <c r="U15" s="205" t="s">
        <v>552</v>
      </c>
      <c r="V15" s="208">
        <v>-27444667</v>
      </c>
      <c r="W15" s="208">
        <v>-27545736</v>
      </c>
    </row>
    <row r="16" spans="2:23" x14ac:dyDescent="0.2">
      <c r="B16" s="113" t="s">
        <v>173</v>
      </c>
      <c r="C16" s="64">
        <v>-10809177.939999999</v>
      </c>
      <c r="D16" s="64">
        <v>-10777150.18</v>
      </c>
      <c r="J16" s="205" t="s">
        <v>719</v>
      </c>
      <c r="K16" s="205" t="s">
        <v>768</v>
      </c>
      <c r="L16" s="206">
        <v>39463525</v>
      </c>
      <c r="M16" s="208">
        <v>-200221</v>
      </c>
      <c r="N16" s="208">
        <v>25206</v>
      </c>
      <c r="O16" s="208">
        <v>-200221</v>
      </c>
      <c r="P16" s="208">
        <v>-128158</v>
      </c>
      <c r="Q16" s="207">
        <v>-63823</v>
      </c>
      <c r="R16" s="207">
        <v>25206</v>
      </c>
      <c r="T16" s="205" t="s">
        <v>719</v>
      </c>
      <c r="U16" s="205" t="s">
        <v>768</v>
      </c>
      <c r="V16" s="208">
        <v>-200221</v>
      </c>
      <c r="W16" s="208">
        <v>-128158</v>
      </c>
    </row>
    <row r="17" spans="2:23" x14ac:dyDescent="0.2">
      <c r="B17" s="113" t="s">
        <v>93</v>
      </c>
      <c r="C17" s="64">
        <v>-470249.31</v>
      </c>
      <c r="D17" s="64">
        <v>-339147.13</v>
      </c>
      <c r="J17" s="205" t="s">
        <v>43</v>
      </c>
      <c r="K17" s="205" t="s">
        <v>626</v>
      </c>
      <c r="L17" s="206">
        <v>109000000</v>
      </c>
      <c r="M17" s="209">
        <v>-6285007</v>
      </c>
      <c r="N17" s="208">
        <v>-6632409</v>
      </c>
      <c r="O17" s="208">
        <v>-6285007</v>
      </c>
      <c r="P17" s="208">
        <v>-6632409</v>
      </c>
      <c r="Q17" s="207">
        <v>-6966274</v>
      </c>
      <c r="R17" s="207">
        <v>-6632409</v>
      </c>
      <c r="T17" s="205" t="s">
        <v>43</v>
      </c>
      <c r="U17" s="205" t="s">
        <v>626</v>
      </c>
      <c r="V17" s="208">
        <v>-6285007</v>
      </c>
      <c r="W17" s="208">
        <v>-6632409</v>
      </c>
    </row>
    <row r="18" spans="2:23" x14ac:dyDescent="0.2">
      <c r="B18" s="112" t="s">
        <v>92</v>
      </c>
      <c r="C18" s="64">
        <v>-27644887.379999999</v>
      </c>
      <c r="D18" s="64">
        <v>-27673894.100000001</v>
      </c>
      <c r="J18" s="205" t="s">
        <v>999</v>
      </c>
      <c r="K18" s="205" t="s">
        <v>552</v>
      </c>
      <c r="L18" s="206">
        <v>65000000</v>
      </c>
      <c r="M18" s="208">
        <v>-39579469</v>
      </c>
      <c r="N18" s="208">
        <v>-39071768</v>
      </c>
      <c r="O18" s="208">
        <v>-39579469</v>
      </c>
      <c r="P18" s="208">
        <v>-39212738</v>
      </c>
      <c r="Q18" s="207">
        <v>-39455715</v>
      </c>
      <c r="R18" s="207">
        <v>-39071768</v>
      </c>
      <c r="T18" s="205" t="s">
        <v>999</v>
      </c>
      <c r="U18" s="205" t="s">
        <v>552</v>
      </c>
      <c r="V18" s="208">
        <v>-39579469</v>
      </c>
      <c r="W18" s="208">
        <v>-39212738</v>
      </c>
    </row>
    <row r="19" spans="2:23" x14ac:dyDescent="0.2">
      <c r="B19" s="113" t="s">
        <v>78</v>
      </c>
      <c r="C19" s="64">
        <v>-27444667.079999998</v>
      </c>
      <c r="D19" s="64">
        <v>-27545735.760000002</v>
      </c>
      <c r="J19" s="205" t="s">
        <v>1291</v>
      </c>
      <c r="K19" s="205" t="s">
        <v>552</v>
      </c>
      <c r="L19" s="206">
        <v>40600000</v>
      </c>
      <c r="M19" s="208">
        <v>-21724553</v>
      </c>
      <c r="N19" s="208">
        <v>-21457932</v>
      </c>
      <c r="O19" s="208">
        <v>-21724553</v>
      </c>
      <c r="P19" s="208">
        <v>-21525012</v>
      </c>
      <c r="Q19" s="207">
        <v>-21680505</v>
      </c>
      <c r="R19" s="207">
        <v>-21457932</v>
      </c>
      <c r="T19" s="205" t="s">
        <v>1291</v>
      </c>
      <c r="U19" s="205" t="s">
        <v>552</v>
      </c>
      <c r="V19" s="208">
        <v>-21724553</v>
      </c>
      <c r="W19" s="208">
        <v>-21525012</v>
      </c>
    </row>
    <row r="20" spans="2:23" x14ac:dyDescent="0.2">
      <c r="B20" s="113" t="s">
        <v>93</v>
      </c>
      <c r="C20" s="64">
        <v>-200220.30000000002</v>
      </c>
      <c r="D20" s="64">
        <v>-128158.34000000003</v>
      </c>
      <c r="F20" s="22" t="s">
        <v>661</v>
      </c>
      <c r="J20" s="205" t="s">
        <v>75</v>
      </c>
      <c r="K20" s="205" t="s">
        <v>768</v>
      </c>
      <c r="L20" s="206">
        <v>45234707</v>
      </c>
      <c r="M20" s="208">
        <v>-470250</v>
      </c>
      <c r="N20" s="208">
        <v>-234714</v>
      </c>
      <c r="O20" s="208">
        <v>-470250</v>
      </c>
      <c r="P20" s="208">
        <v>-339147</v>
      </c>
      <c r="Q20" s="207">
        <v>-313218</v>
      </c>
      <c r="R20" s="207">
        <v>-234714</v>
      </c>
      <c r="T20" s="205" t="s">
        <v>75</v>
      </c>
      <c r="U20" s="205" t="s">
        <v>768</v>
      </c>
      <c r="V20" s="208">
        <v>-470250</v>
      </c>
      <c r="W20" s="208">
        <v>-339147</v>
      </c>
    </row>
    <row r="21" spans="2:23" x14ac:dyDescent="0.2">
      <c r="B21" s="112" t="s">
        <v>228</v>
      </c>
      <c r="C21" s="64">
        <v>-316553.96999999997</v>
      </c>
      <c r="D21" s="64">
        <v>-308141.66820000001</v>
      </c>
      <c r="F21" s="111" t="s">
        <v>435</v>
      </c>
      <c r="G21" t="s">
        <v>659</v>
      </c>
      <c r="H21" t="s">
        <v>660</v>
      </c>
      <c r="J21" s="205" t="s">
        <v>75</v>
      </c>
      <c r="K21" s="205" t="s">
        <v>626</v>
      </c>
      <c r="L21" s="206">
        <v>63500000</v>
      </c>
      <c r="M21" s="209">
        <v>-8191330</v>
      </c>
      <c r="N21" s="208">
        <v>-8502123</v>
      </c>
      <c r="O21" s="208">
        <v>-8191330</v>
      </c>
      <c r="P21" s="208">
        <v>-8264363</v>
      </c>
      <c r="Q21" s="207">
        <v>-8539711</v>
      </c>
      <c r="R21" s="207">
        <v>-8502123</v>
      </c>
      <c r="T21" s="205" t="s">
        <v>75</v>
      </c>
      <c r="U21" s="205" t="s">
        <v>626</v>
      </c>
      <c r="V21" s="208">
        <v>-8191330</v>
      </c>
      <c r="W21" s="208">
        <v>-8264363</v>
      </c>
    </row>
    <row r="22" spans="2:23" x14ac:dyDescent="0.2">
      <c r="B22" s="113" t="s">
        <v>173</v>
      </c>
      <c r="C22" s="64">
        <v>-316553.96999999997</v>
      </c>
      <c r="D22" s="64">
        <v>-308141.66820000001</v>
      </c>
      <c r="F22" s="112" t="s">
        <v>421</v>
      </c>
      <c r="G22" s="64">
        <v>-20635350.620000001</v>
      </c>
      <c r="H22" s="64">
        <v>-20510442.117093004</v>
      </c>
      <c r="J22" s="205" t="s">
        <v>75</v>
      </c>
      <c r="K22" s="205" t="s">
        <v>766</v>
      </c>
      <c r="L22" s="206">
        <v>166200000</v>
      </c>
      <c r="M22" s="208">
        <v>-10809180</v>
      </c>
      <c r="N22" s="208">
        <v>-10681865</v>
      </c>
      <c r="O22" s="208">
        <v>-10809180</v>
      </c>
      <c r="P22" s="208">
        <v>-10777150</v>
      </c>
      <c r="Q22" s="207">
        <v>-10723183</v>
      </c>
      <c r="R22" s="207">
        <v>-10681865</v>
      </c>
      <c r="T22" s="205" t="s">
        <v>75</v>
      </c>
      <c r="U22" s="205" t="s">
        <v>766</v>
      </c>
      <c r="V22" s="208">
        <v>-10809180</v>
      </c>
      <c r="W22" s="208">
        <v>-10777150</v>
      </c>
    </row>
    <row r="23" spans="2:23" x14ac:dyDescent="0.2">
      <c r="B23" s="112" t="s">
        <v>220</v>
      </c>
      <c r="C23" s="64">
        <v>-6731067.7000000002</v>
      </c>
      <c r="D23" s="64">
        <v>-6693654.1749999998</v>
      </c>
      <c r="F23" s="112" t="s">
        <v>643</v>
      </c>
      <c r="G23" s="64">
        <v>-23462725.180000003</v>
      </c>
      <c r="H23" s="64">
        <v>-23406823.491</v>
      </c>
    </row>
    <row r="24" spans="2:23" x14ac:dyDescent="0.2">
      <c r="B24" s="113" t="s">
        <v>173</v>
      </c>
      <c r="C24" s="64">
        <v>-6731067.7000000002</v>
      </c>
      <c r="D24" s="64">
        <v>-6693654.1749999998</v>
      </c>
      <c r="F24" s="112" t="s">
        <v>685</v>
      </c>
      <c r="G24" s="64">
        <v>-24270020.159999993</v>
      </c>
      <c r="H24" s="64">
        <v>-23960011.91</v>
      </c>
    </row>
    <row r="25" spans="2:23" x14ac:dyDescent="0.2">
      <c r="B25" s="112" t="s">
        <v>641</v>
      </c>
      <c r="C25" s="64"/>
      <c r="D25" s="64"/>
      <c r="F25" s="112" t="s">
        <v>648</v>
      </c>
      <c r="G25" s="64">
        <v>-25677743.990000002</v>
      </c>
      <c r="H25" s="64">
        <v>-25542247.885303002</v>
      </c>
      <c r="M25" t="s">
        <v>1642</v>
      </c>
      <c r="N25" t="s">
        <v>1641</v>
      </c>
    </row>
    <row r="26" spans="2:23" x14ac:dyDescent="0.2">
      <c r="B26" s="113" t="s">
        <v>641</v>
      </c>
      <c r="C26" s="64"/>
      <c r="D26" s="64"/>
      <c r="F26" s="112" t="s">
        <v>420</v>
      </c>
      <c r="G26" s="64">
        <v>-8191329.6799999997</v>
      </c>
      <c r="H26" s="64">
        <v>-8264362.6099999994</v>
      </c>
      <c r="M26" t="s">
        <v>1643</v>
      </c>
    </row>
    <row r="27" spans="2:23" x14ac:dyDescent="0.2">
      <c r="B27" s="112" t="s">
        <v>434</v>
      </c>
      <c r="C27" s="64">
        <v>-145484729.01000002</v>
      </c>
      <c r="D27" s="64">
        <v>-144544420.297279</v>
      </c>
      <c r="F27" s="112" t="s">
        <v>638</v>
      </c>
      <c r="G27" s="64">
        <v>-4014270.1100000003</v>
      </c>
      <c r="H27" s="64">
        <v>-4418351.5939999996</v>
      </c>
    </row>
    <row r="28" spans="2:23" x14ac:dyDescent="0.2">
      <c r="F28" s="112" t="s">
        <v>1267</v>
      </c>
      <c r="G28" s="64">
        <v>-6285007.3899999997</v>
      </c>
      <c r="H28" s="64">
        <v>-6632408.6699999999</v>
      </c>
      <c r="M28" t="s">
        <v>1644</v>
      </c>
    </row>
    <row r="29" spans="2:23" x14ac:dyDescent="0.2">
      <c r="F29" s="112" t="s">
        <v>1129</v>
      </c>
      <c r="G29" s="64">
        <v>-1280346.8500000001</v>
      </c>
      <c r="H29" s="64">
        <v>-1232777.99</v>
      </c>
      <c r="M29" t="s">
        <v>1645</v>
      </c>
    </row>
    <row r="30" spans="2:23" x14ac:dyDescent="0.2">
      <c r="F30" s="112" t="s">
        <v>1390</v>
      </c>
      <c r="G30" s="64">
        <v>-159488.29999999999</v>
      </c>
      <c r="H30" s="64">
        <v>-136104.32999999999</v>
      </c>
      <c r="M30" t="s">
        <v>1646</v>
      </c>
    </row>
    <row r="31" spans="2:23" x14ac:dyDescent="0.2">
      <c r="F31" s="112" t="s">
        <v>434</v>
      </c>
      <c r="G31" s="64">
        <v>-113976282.27999999</v>
      </c>
      <c r="H31" s="64">
        <v>-114103530.597396</v>
      </c>
    </row>
    <row r="36" spans="2:7" x14ac:dyDescent="0.2">
      <c r="B36" s="72" t="s">
        <v>649</v>
      </c>
      <c r="C36" s="72" t="s">
        <v>654</v>
      </c>
      <c r="D36" s="72" t="s">
        <v>355</v>
      </c>
      <c r="E36" s="72" t="s">
        <v>2</v>
      </c>
      <c r="F36" s="72" t="s">
        <v>653</v>
      </c>
      <c r="G36" s="72" t="s">
        <v>650</v>
      </c>
    </row>
    <row r="37" spans="2:7" x14ac:dyDescent="0.2">
      <c r="B37" t="s">
        <v>1183</v>
      </c>
      <c r="C37" s="22"/>
      <c r="D37" t="s">
        <v>421</v>
      </c>
      <c r="E37" s="64">
        <v>30000000</v>
      </c>
      <c r="F37" s="64">
        <v>-888000</v>
      </c>
      <c r="G37" s="64">
        <v>-786094.44530000002</v>
      </c>
    </row>
  </sheetData>
  <phoneticPr fontId="47" type="noConversion"/>
  <pageMargins left="0.7" right="0.7" top="0.75" bottom="0.75" header="0.3" footer="0.3"/>
  <pageSetup paperSize="9" orientation="portrait"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98047-DAE3-4AE4-82EC-2FD4DC91459D}">
  <sheetPr codeName="Feuil16"/>
  <dimension ref="B1:H19"/>
  <sheetViews>
    <sheetView workbookViewId="0">
      <selection activeCell="F3" sqref="F3:G3"/>
    </sheetView>
  </sheetViews>
  <sheetFormatPr baseColWidth="10" defaultColWidth="10.85546875" defaultRowHeight="18.75" x14ac:dyDescent="0.3"/>
  <cols>
    <col min="1" max="1" width="25.42578125" style="140" bestFit="1" customWidth="1"/>
    <col min="2" max="2" width="21.140625" style="140" bestFit="1" customWidth="1"/>
    <col min="3" max="3" width="21.85546875" style="140" bestFit="1" customWidth="1"/>
    <col min="4" max="5" width="27.5703125" style="140" bestFit="1" customWidth="1"/>
    <col min="6" max="6" width="16.140625" style="140" bestFit="1" customWidth="1"/>
    <col min="7" max="8" width="24.28515625" style="140" bestFit="1" customWidth="1"/>
    <col min="9" max="16384" width="10.85546875" style="140"/>
  </cols>
  <sheetData>
    <row r="1" spans="2:8" x14ac:dyDescent="0.3">
      <c r="B1" s="22" t="s">
        <v>774</v>
      </c>
      <c r="C1"/>
      <c r="D1" s="22" t="s">
        <v>777</v>
      </c>
      <c r="F1" s="140" t="s">
        <v>783</v>
      </c>
    </row>
    <row r="2" spans="2:8" x14ac:dyDescent="0.3">
      <c r="B2" s="22" t="s">
        <v>387</v>
      </c>
      <c r="C2" s="22" t="s">
        <v>773</v>
      </c>
      <c r="D2" s="22" t="s">
        <v>779</v>
      </c>
      <c r="E2" s="140" t="s">
        <v>780</v>
      </c>
      <c r="F2" s="140" t="s">
        <v>785</v>
      </c>
      <c r="G2" s="140" t="s">
        <v>786</v>
      </c>
    </row>
    <row r="3" spans="2:8" x14ac:dyDescent="0.3">
      <c r="B3" s="146" t="s">
        <v>775</v>
      </c>
      <c r="C3" s="146" t="s">
        <v>776</v>
      </c>
      <c r="D3" s="146" t="s">
        <v>778</v>
      </c>
      <c r="E3" s="147" t="s">
        <v>781</v>
      </c>
      <c r="F3" s="147" t="s">
        <v>782</v>
      </c>
      <c r="G3" s="147" t="s">
        <v>784</v>
      </c>
    </row>
    <row r="5" spans="2:8" x14ac:dyDescent="0.3">
      <c r="B5" s="111" t="s">
        <v>435</v>
      </c>
      <c r="C5" t="s">
        <v>631</v>
      </c>
      <c r="D5" t="s">
        <v>632</v>
      </c>
      <c r="E5" t="s">
        <v>633</v>
      </c>
      <c r="F5" t="s">
        <v>634</v>
      </c>
      <c r="G5" t="s">
        <v>635</v>
      </c>
      <c r="H5" t="s">
        <v>636</v>
      </c>
    </row>
    <row r="6" spans="2:8" x14ac:dyDescent="0.3">
      <c r="B6" s="112" t="s">
        <v>156</v>
      </c>
      <c r="C6" s="228">
        <v>7.0999999999999994E-2</v>
      </c>
      <c r="D6" s="228">
        <v>1.919</v>
      </c>
      <c r="E6" s="228">
        <v>1.84</v>
      </c>
      <c r="F6" s="228">
        <v>-1684.44</v>
      </c>
      <c r="G6" s="228">
        <v>-1684.44</v>
      </c>
      <c r="H6" s="228">
        <v>1358.83</v>
      </c>
    </row>
    <row r="7" spans="2:8" x14ac:dyDescent="0.3">
      <c r="B7" s="112" t="s">
        <v>149</v>
      </c>
      <c r="C7" s="228">
        <v>7.0000000000000007E-2</v>
      </c>
      <c r="D7" s="228">
        <v>1.9179999999999999</v>
      </c>
      <c r="E7" s="228">
        <v>1.84</v>
      </c>
      <c r="F7" s="228">
        <v>-1169.27</v>
      </c>
      <c r="G7" s="228">
        <v>-1169.27</v>
      </c>
      <c r="H7" s="228">
        <v>943.63</v>
      </c>
    </row>
    <row r="8" spans="2:8" x14ac:dyDescent="0.3">
      <c r="B8" s="112" t="s">
        <v>164</v>
      </c>
      <c r="C8" s="228">
        <v>0.17899999999999999</v>
      </c>
      <c r="D8" s="228">
        <v>3.4689999999999999</v>
      </c>
      <c r="E8" s="228">
        <v>3.2749999999999999</v>
      </c>
      <c r="F8" s="228">
        <v>-6526.16</v>
      </c>
      <c r="G8" s="228">
        <v>-6526.16</v>
      </c>
      <c r="H8" s="228">
        <v>5193.17</v>
      </c>
    </row>
    <row r="9" spans="2:8" x14ac:dyDescent="0.3">
      <c r="B9" s="112" t="s">
        <v>139</v>
      </c>
      <c r="C9" s="228">
        <v>0.14099999999999999</v>
      </c>
      <c r="D9" s="228">
        <v>3.476</v>
      </c>
      <c r="E9" s="228">
        <v>3.2749999999999999</v>
      </c>
      <c r="F9" s="228">
        <v>-3445.8</v>
      </c>
      <c r="G9" s="228">
        <v>-3445.8</v>
      </c>
      <c r="H9" s="228">
        <v>2769.69</v>
      </c>
    </row>
    <row r="10" spans="2:8" x14ac:dyDescent="0.3">
      <c r="B10" s="112" t="s">
        <v>130</v>
      </c>
      <c r="C10" s="228">
        <v>0.13800000000000001</v>
      </c>
      <c r="D10" s="228">
        <v>3.4809999999999999</v>
      </c>
      <c r="E10" s="228">
        <v>3.2749999999999999</v>
      </c>
      <c r="F10" s="228">
        <v>-3012.75</v>
      </c>
      <c r="G10" s="228">
        <v>-3012.75</v>
      </c>
      <c r="H10" s="228">
        <v>2423.48</v>
      </c>
    </row>
    <row r="11" spans="2:8" x14ac:dyDescent="0.3">
      <c r="B11" s="112" t="s">
        <v>126</v>
      </c>
      <c r="C11" s="228">
        <v>9.1999999999999998E-2</v>
      </c>
      <c r="D11" s="228">
        <v>1.92</v>
      </c>
      <c r="E11" s="228">
        <v>1.84</v>
      </c>
      <c r="F11" s="228">
        <v>-2364.9299999999998</v>
      </c>
      <c r="G11" s="228">
        <v>-2364.9299999999998</v>
      </c>
      <c r="H11" s="228">
        <v>1887.26</v>
      </c>
    </row>
    <row r="12" spans="2:8" x14ac:dyDescent="0.3">
      <c r="B12" s="112" t="s">
        <v>118</v>
      </c>
      <c r="C12" s="228">
        <v>0.215</v>
      </c>
      <c r="D12" s="228">
        <v>3.4790000000000001</v>
      </c>
      <c r="E12" s="228">
        <v>3.2749999999999999</v>
      </c>
      <c r="F12" s="228">
        <v>-2634.87</v>
      </c>
      <c r="G12" s="228">
        <v>-2634.87</v>
      </c>
      <c r="H12" s="228">
        <v>2077.27</v>
      </c>
    </row>
    <row r="13" spans="2:8" x14ac:dyDescent="0.3">
      <c r="B13" s="112" t="s">
        <v>115</v>
      </c>
      <c r="C13" s="228">
        <v>0.214</v>
      </c>
      <c r="D13" s="228">
        <v>3.484</v>
      </c>
      <c r="E13" s="228">
        <v>3.2749999999999999</v>
      </c>
      <c r="F13" s="228">
        <v>-2635.12</v>
      </c>
      <c r="G13" s="228">
        <v>-2635.12</v>
      </c>
      <c r="H13" s="228">
        <v>2077.27</v>
      </c>
    </row>
    <row r="14" spans="2:8" x14ac:dyDescent="0.3">
      <c r="B14" s="112" t="s">
        <v>171</v>
      </c>
      <c r="C14" s="228">
        <v>9.7000000000000003E-2</v>
      </c>
      <c r="D14" s="228">
        <v>1.921</v>
      </c>
      <c r="E14" s="228">
        <v>1.84</v>
      </c>
      <c r="F14" s="228">
        <v>-1719.17</v>
      </c>
      <c r="G14" s="228">
        <v>-1719.17</v>
      </c>
      <c r="H14" s="228">
        <v>1368.26</v>
      </c>
    </row>
    <row r="15" spans="2:8" x14ac:dyDescent="0.3">
      <c r="B15" s="112" t="s">
        <v>641</v>
      </c>
      <c r="C15" s="228"/>
      <c r="D15" s="228"/>
      <c r="E15" s="228"/>
      <c r="F15" s="228"/>
      <c r="G15" s="228"/>
      <c r="H15" s="228"/>
    </row>
    <row r="16" spans="2:8" x14ac:dyDescent="0.3">
      <c r="B16" s="112" t="s">
        <v>434</v>
      </c>
      <c r="C16" s="228">
        <v>1.2169999999999999</v>
      </c>
      <c r="D16" s="228">
        <v>25.067</v>
      </c>
      <c r="E16" s="228">
        <v>23.734999999999999</v>
      </c>
      <c r="F16" s="228">
        <v>-25192.509999999995</v>
      </c>
      <c r="G16" s="228">
        <v>-25192.509999999995</v>
      </c>
      <c r="H16" s="228">
        <v>20098.859999999997</v>
      </c>
    </row>
    <row r="17" spans="2:4" x14ac:dyDescent="0.3">
      <c r="B17"/>
      <c r="C17"/>
      <c r="D17"/>
    </row>
    <row r="18" spans="2:4" x14ac:dyDescent="0.3">
      <c r="B18"/>
      <c r="C18"/>
      <c r="D18"/>
    </row>
    <row r="19" spans="2:4" x14ac:dyDescent="0.3">
      <c r="B19"/>
      <c r="C19"/>
      <c r="D1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2746B-0851-48F0-B78E-C38ED7BBCCCE}">
  <sheetPr codeName="Feuil19"/>
  <dimension ref="A1:JV11"/>
  <sheetViews>
    <sheetView workbookViewId="0">
      <selection activeCell="I8" sqref="I8"/>
    </sheetView>
  </sheetViews>
  <sheetFormatPr baseColWidth="10" defaultRowHeight="12.75" x14ac:dyDescent="0.2"/>
  <cols>
    <col min="1" max="1" width="14" bestFit="1" customWidth="1"/>
    <col min="2" max="2" width="14.28515625" bestFit="1" customWidth="1"/>
    <col min="4" max="4" width="15.42578125" bestFit="1" customWidth="1"/>
    <col min="7" max="7" width="15.85546875" bestFit="1" customWidth="1"/>
    <col min="11" max="11" width="23.5703125" bestFit="1" customWidth="1"/>
  </cols>
  <sheetData>
    <row r="1" spans="1:282" x14ac:dyDescent="0.2">
      <c r="A1" t="s">
        <v>50</v>
      </c>
      <c r="B1" t="s">
        <v>53</v>
      </c>
      <c r="C1" t="s">
        <v>57</v>
      </c>
      <c r="D1" t="s">
        <v>619</v>
      </c>
      <c r="E1" t="s">
        <v>620</v>
      </c>
      <c r="F1" t="s">
        <v>623</v>
      </c>
      <c r="G1" t="s">
        <v>38</v>
      </c>
      <c r="H1" t="s">
        <v>621</v>
      </c>
      <c r="I1" t="s">
        <v>624</v>
      </c>
      <c r="J1" t="s">
        <v>611</v>
      </c>
      <c r="K1" t="s">
        <v>612</v>
      </c>
      <c r="L1" t="s">
        <v>622</v>
      </c>
      <c r="M1" t="s">
        <v>625</v>
      </c>
      <c r="N1" t="s">
        <v>461</v>
      </c>
      <c r="O1" t="s">
        <v>613</v>
      </c>
      <c r="P1" t="s">
        <v>614</v>
      </c>
      <c r="Q1" t="s">
        <v>615</v>
      </c>
      <c r="R1" t="s">
        <v>616</v>
      </c>
      <c r="S1" t="s">
        <v>617</v>
      </c>
      <c r="T1" t="s">
        <v>618</v>
      </c>
      <c r="U1" t="s">
        <v>694</v>
      </c>
      <c r="V1" t="s">
        <v>1122</v>
      </c>
      <c r="W1" t="s">
        <v>1123</v>
      </c>
    </row>
    <row r="2" spans="1:282" x14ac:dyDescent="0.2">
      <c r="A2" t="s">
        <v>1259</v>
      </c>
      <c r="B2" t="s">
        <v>114</v>
      </c>
      <c r="C2" t="s">
        <v>115</v>
      </c>
      <c r="D2">
        <v>0.214</v>
      </c>
      <c r="E2">
        <v>3.484</v>
      </c>
      <c r="F2">
        <v>3.2749999999999999</v>
      </c>
      <c r="G2">
        <v>-2635.12</v>
      </c>
      <c r="H2">
        <v>-2635.12</v>
      </c>
      <c r="I2">
        <v>2077.27</v>
      </c>
      <c r="J2">
        <v>-12352.851210000001</v>
      </c>
      <c r="K2" t="s">
        <v>628</v>
      </c>
      <c r="L2">
        <v>7565112.8600000003</v>
      </c>
      <c r="M2">
        <v>-6340823.3099999996</v>
      </c>
      <c r="N2">
        <v>14760874</v>
      </c>
      <c r="O2" t="s">
        <v>563</v>
      </c>
      <c r="P2" t="s">
        <v>629</v>
      </c>
      <c r="Q2" t="s">
        <v>628</v>
      </c>
      <c r="R2" t="s">
        <v>628</v>
      </c>
      <c r="S2">
        <v>1</v>
      </c>
      <c r="T2" t="s">
        <v>630</v>
      </c>
      <c r="U2" t="s">
        <v>628</v>
      </c>
      <c r="V2" t="s">
        <v>628</v>
      </c>
      <c r="W2" t="s">
        <v>628</v>
      </c>
      <c r="AE2" s="145"/>
      <c r="AK2" s="145"/>
      <c r="AM2" s="145"/>
      <c r="DK2" s="145"/>
      <c r="DL2" s="145"/>
      <c r="DQ2" s="145"/>
      <c r="DR2" s="145"/>
      <c r="ES2" s="145"/>
      <c r="FV2" s="145"/>
      <c r="FX2" s="145"/>
      <c r="GF2" s="145"/>
      <c r="HR2" s="145"/>
      <c r="HZ2" s="145"/>
      <c r="IA2" s="145"/>
      <c r="JC2" s="145"/>
      <c r="JV2" s="145"/>
    </row>
    <row r="3" spans="1:282" x14ac:dyDescent="0.2">
      <c r="A3" t="s">
        <v>1260</v>
      </c>
      <c r="B3" t="s">
        <v>117</v>
      </c>
      <c r="C3" t="s">
        <v>118</v>
      </c>
      <c r="D3">
        <v>0.215</v>
      </c>
      <c r="E3">
        <v>3.4790000000000001</v>
      </c>
      <c r="F3">
        <v>3.2749999999999999</v>
      </c>
      <c r="G3">
        <v>-2634.87</v>
      </c>
      <c r="H3">
        <v>-2634.87</v>
      </c>
      <c r="I3">
        <v>2077.27</v>
      </c>
      <c r="J3">
        <v>-2320.3832299999999</v>
      </c>
      <c r="K3" t="s">
        <v>628</v>
      </c>
      <c r="L3">
        <v>7575145.3300000001</v>
      </c>
      <c r="M3">
        <v>-6340823.3099999996</v>
      </c>
      <c r="N3">
        <v>14760875</v>
      </c>
      <c r="O3" t="s">
        <v>563</v>
      </c>
      <c r="P3" t="s">
        <v>629</v>
      </c>
      <c r="Q3" t="s">
        <v>628</v>
      </c>
      <c r="R3" t="s">
        <v>628</v>
      </c>
      <c r="S3">
        <v>1</v>
      </c>
      <c r="T3" t="s">
        <v>630</v>
      </c>
      <c r="U3" t="s">
        <v>628</v>
      </c>
      <c r="V3" t="s">
        <v>628</v>
      </c>
      <c r="W3" t="s">
        <v>628</v>
      </c>
      <c r="AE3" s="145"/>
      <c r="AK3" s="145"/>
      <c r="AM3" s="145"/>
      <c r="DK3" s="145"/>
      <c r="DL3" s="145"/>
      <c r="DQ3" s="145"/>
      <c r="DR3" s="145"/>
      <c r="ES3" s="145"/>
      <c r="FV3" s="145"/>
      <c r="FX3" s="145"/>
      <c r="GF3" s="145"/>
      <c r="HR3" s="145"/>
      <c r="HZ3" s="145"/>
      <c r="IA3" s="145"/>
      <c r="JC3" s="145"/>
      <c r="JV3" s="145"/>
    </row>
    <row r="4" spans="1:282" x14ac:dyDescent="0.2">
      <c r="A4" t="s">
        <v>1261</v>
      </c>
      <c r="B4" t="s">
        <v>125</v>
      </c>
      <c r="C4" t="s">
        <v>126</v>
      </c>
      <c r="D4">
        <v>9.1999999999999998E-2</v>
      </c>
      <c r="E4">
        <v>1.92</v>
      </c>
      <c r="F4">
        <v>1.84</v>
      </c>
      <c r="G4">
        <v>-2364.9299999999998</v>
      </c>
      <c r="H4">
        <v>-2364.9299999999998</v>
      </c>
      <c r="I4">
        <v>1887.26</v>
      </c>
      <c r="J4">
        <v>60957.046979999999</v>
      </c>
      <c r="K4" t="s">
        <v>628</v>
      </c>
      <c r="L4">
        <v>12316990.199999999</v>
      </c>
      <c r="M4">
        <v>-10255848.550000001</v>
      </c>
      <c r="N4">
        <v>14760877</v>
      </c>
      <c r="O4" t="s">
        <v>563</v>
      </c>
      <c r="P4" t="s">
        <v>629</v>
      </c>
      <c r="Q4" t="s">
        <v>628</v>
      </c>
      <c r="R4" t="s">
        <v>628</v>
      </c>
      <c r="S4">
        <v>1</v>
      </c>
      <c r="T4" t="s">
        <v>630</v>
      </c>
      <c r="U4" t="s">
        <v>628</v>
      </c>
      <c r="V4" t="s">
        <v>628</v>
      </c>
      <c r="W4" t="s">
        <v>628</v>
      </c>
      <c r="AE4" s="145"/>
      <c r="AK4" s="145"/>
      <c r="AM4" s="145"/>
      <c r="DK4" s="145"/>
      <c r="DL4" s="145"/>
      <c r="DQ4" s="145"/>
      <c r="DR4" s="145"/>
      <c r="ES4" s="145"/>
      <c r="FV4" s="145"/>
      <c r="FX4" s="145"/>
      <c r="GF4" s="145"/>
      <c r="HR4" s="145"/>
      <c r="HZ4" s="145"/>
      <c r="IA4" s="145"/>
      <c r="JC4" s="145"/>
      <c r="JV4" s="145"/>
    </row>
    <row r="5" spans="1:282" x14ac:dyDescent="0.2">
      <c r="A5" t="s">
        <v>1262</v>
      </c>
      <c r="B5" t="s">
        <v>129</v>
      </c>
      <c r="C5" t="s">
        <v>130</v>
      </c>
      <c r="D5">
        <v>0.13800000000000001</v>
      </c>
      <c r="E5">
        <v>3.4809999999999999</v>
      </c>
      <c r="F5">
        <v>3.2749999999999999</v>
      </c>
      <c r="G5">
        <v>-3012.75</v>
      </c>
      <c r="H5">
        <v>-3012.75</v>
      </c>
      <c r="I5">
        <v>2423.48</v>
      </c>
      <c r="J5">
        <v>-183295.04574</v>
      </c>
      <c r="K5" t="s">
        <v>628</v>
      </c>
      <c r="L5">
        <v>8657081.6199999992</v>
      </c>
      <c r="M5">
        <v>-7397627.1900000004</v>
      </c>
      <c r="N5">
        <v>14760881</v>
      </c>
      <c r="O5" t="s">
        <v>563</v>
      </c>
      <c r="P5" t="s">
        <v>629</v>
      </c>
      <c r="Q5" t="s">
        <v>628</v>
      </c>
      <c r="R5" t="s">
        <v>628</v>
      </c>
      <c r="S5">
        <v>1</v>
      </c>
      <c r="T5" t="s">
        <v>630</v>
      </c>
      <c r="U5" t="s">
        <v>628</v>
      </c>
      <c r="V5" t="s">
        <v>628</v>
      </c>
      <c r="W5" t="s">
        <v>628</v>
      </c>
      <c r="AE5" s="145"/>
      <c r="AK5" s="145"/>
      <c r="AM5" s="145"/>
      <c r="DK5" s="145"/>
      <c r="DL5" s="145"/>
      <c r="DQ5" s="145"/>
      <c r="DR5" s="145"/>
      <c r="ES5" s="145"/>
      <c r="FV5" s="145"/>
      <c r="FX5" s="145"/>
      <c r="GF5" s="145"/>
      <c r="HR5" s="145"/>
      <c r="HZ5" s="145"/>
      <c r="IA5" s="145"/>
      <c r="JC5" s="145"/>
      <c r="JV5" s="145"/>
    </row>
    <row r="6" spans="1:282" x14ac:dyDescent="0.2">
      <c r="A6" t="s">
        <v>1263</v>
      </c>
      <c r="B6" t="s">
        <v>138</v>
      </c>
      <c r="C6" t="s">
        <v>139</v>
      </c>
      <c r="D6">
        <v>0.14099999999999999</v>
      </c>
      <c r="E6">
        <v>3.476</v>
      </c>
      <c r="F6">
        <v>3.2749999999999999</v>
      </c>
      <c r="G6">
        <v>-3445.8</v>
      </c>
      <c r="H6">
        <v>-3445.8</v>
      </c>
      <c r="I6">
        <v>2769.69</v>
      </c>
      <c r="J6">
        <v>-187822.17149000001</v>
      </c>
      <c r="K6" t="s">
        <v>628</v>
      </c>
      <c r="L6">
        <v>9915465.4600000009</v>
      </c>
      <c r="M6">
        <v>-8454431.0899999999</v>
      </c>
      <c r="N6">
        <v>14760888</v>
      </c>
      <c r="O6" t="s">
        <v>563</v>
      </c>
      <c r="P6" t="s">
        <v>629</v>
      </c>
      <c r="Q6" t="s">
        <v>628</v>
      </c>
      <c r="R6" t="s">
        <v>628</v>
      </c>
      <c r="S6">
        <v>1</v>
      </c>
      <c r="T6" t="s">
        <v>630</v>
      </c>
      <c r="U6" t="s">
        <v>628</v>
      </c>
      <c r="V6" t="s">
        <v>628</v>
      </c>
      <c r="W6" t="s">
        <v>628</v>
      </c>
      <c r="AE6" s="145"/>
      <c r="AK6" s="145"/>
      <c r="AM6" s="145"/>
      <c r="DK6" s="145"/>
      <c r="DL6" s="145"/>
      <c r="DQ6" s="145"/>
      <c r="DR6" s="145"/>
      <c r="ES6" s="145"/>
      <c r="FV6" s="145"/>
      <c r="FX6" s="145"/>
      <c r="GF6" s="145"/>
      <c r="HR6" s="145"/>
      <c r="HZ6" s="145"/>
      <c r="IA6" s="145"/>
      <c r="JC6" s="145"/>
      <c r="JV6" s="145"/>
    </row>
    <row r="7" spans="1:282" x14ac:dyDescent="0.2">
      <c r="A7" t="s">
        <v>1265</v>
      </c>
      <c r="B7" t="s">
        <v>148</v>
      </c>
      <c r="C7" t="s">
        <v>149</v>
      </c>
      <c r="D7">
        <v>7.0000000000000007E-2</v>
      </c>
      <c r="E7">
        <v>1.9179999999999999</v>
      </c>
      <c r="F7">
        <v>1.84</v>
      </c>
      <c r="G7">
        <v>-1169.27</v>
      </c>
      <c r="H7">
        <v>-1169.27</v>
      </c>
      <c r="I7">
        <v>943.63</v>
      </c>
      <c r="J7">
        <v>-31282.763770000001</v>
      </c>
      <c r="K7" t="s">
        <v>628</v>
      </c>
      <c r="L7">
        <v>6096733.8099999996</v>
      </c>
      <c r="M7">
        <v>-5127924.2699999996</v>
      </c>
      <c r="N7">
        <v>14760892</v>
      </c>
      <c r="O7" t="s">
        <v>563</v>
      </c>
      <c r="P7" t="s">
        <v>629</v>
      </c>
      <c r="Q7" t="s">
        <v>628</v>
      </c>
      <c r="R7" t="s">
        <v>628</v>
      </c>
      <c r="S7">
        <v>1</v>
      </c>
      <c r="T7" t="s">
        <v>630</v>
      </c>
      <c r="U7" t="s">
        <v>628</v>
      </c>
      <c r="V7" t="s">
        <v>628</v>
      </c>
      <c r="W7" t="s">
        <v>628</v>
      </c>
      <c r="AE7" s="145"/>
      <c r="AK7" s="145"/>
      <c r="AM7" s="145"/>
      <c r="DK7" s="145"/>
      <c r="DL7" s="145"/>
      <c r="DQ7" s="145"/>
      <c r="DR7" s="145"/>
      <c r="ES7" s="145"/>
      <c r="FV7" s="145"/>
      <c r="FX7" s="145"/>
      <c r="GF7" s="145"/>
      <c r="HR7" s="145"/>
      <c r="HZ7" s="145"/>
      <c r="IA7" s="145"/>
      <c r="JC7" s="145"/>
      <c r="JV7" s="145"/>
    </row>
    <row r="8" spans="1:282" x14ac:dyDescent="0.2">
      <c r="A8" t="s">
        <v>1266</v>
      </c>
      <c r="B8" t="s">
        <v>155</v>
      </c>
      <c r="C8" t="s">
        <v>156</v>
      </c>
      <c r="D8">
        <v>7.0999999999999994E-2</v>
      </c>
      <c r="E8">
        <v>1.919</v>
      </c>
      <c r="F8">
        <v>1.84</v>
      </c>
      <c r="G8">
        <v>-1684.44</v>
      </c>
      <c r="H8">
        <v>-1684.44</v>
      </c>
      <c r="I8">
        <v>1358.83</v>
      </c>
      <c r="J8">
        <v>-42662.228199999998</v>
      </c>
      <c r="K8" t="s">
        <v>628</v>
      </c>
      <c r="L8">
        <v>8781681.6400000006</v>
      </c>
      <c r="M8">
        <v>-7384210.9500000002</v>
      </c>
      <c r="N8">
        <v>14760894</v>
      </c>
      <c r="O8" t="s">
        <v>563</v>
      </c>
      <c r="P8" t="s">
        <v>629</v>
      </c>
      <c r="Q8" t="s">
        <v>628</v>
      </c>
      <c r="R8" t="s">
        <v>628</v>
      </c>
      <c r="S8">
        <v>1</v>
      </c>
      <c r="T8" t="s">
        <v>630</v>
      </c>
      <c r="U8" t="s">
        <v>628</v>
      </c>
      <c r="V8" t="s">
        <v>628</v>
      </c>
      <c r="W8" t="s">
        <v>628</v>
      </c>
      <c r="AE8" s="145"/>
      <c r="AK8" s="145"/>
      <c r="AM8" s="145"/>
      <c r="DK8" s="145"/>
      <c r="DL8" s="145"/>
      <c r="DQ8" s="145"/>
      <c r="DR8" s="145"/>
      <c r="ES8" s="145"/>
      <c r="FV8" s="145"/>
      <c r="FX8" s="145"/>
      <c r="GF8" s="145"/>
      <c r="HR8" s="145"/>
      <c r="HZ8" s="145"/>
      <c r="IA8" s="145"/>
      <c r="JC8" s="145"/>
      <c r="JV8" s="145"/>
    </row>
    <row r="9" spans="1:282" x14ac:dyDescent="0.2">
      <c r="A9" t="s">
        <v>1264</v>
      </c>
      <c r="B9" t="s">
        <v>163</v>
      </c>
      <c r="C9" t="s">
        <v>164</v>
      </c>
      <c r="D9">
        <v>0.17899999999999999</v>
      </c>
      <c r="E9">
        <v>3.4689999999999999</v>
      </c>
      <c r="F9">
        <v>3.2749999999999999</v>
      </c>
      <c r="G9">
        <v>-6526.16</v>
      </c>
      <c r="H9">
        <v>-6526.16</v>
      </c>
      <c r="I9">
        <v>5193.17</v>
      </c>
      <c r="J9">
        <v>-128259.81806000001</v>
      </c>
      <c r="K9" t="s">
        <v>628</v>
      </c>
      <c r="L9">
        <v>18815404.469999999</v>
      </c>
      <c r="M9">
        <v>-15852058.279999999</v>
      </c>
      <c r="N9">
        <v>14760896</v>
      </c>
      <c r="O9" t="s">
        <v>563</v>
      </c>
      <c r="P9" t="s">
        <v>629</v>
      </c>
      <c r="Q9" t="s">
        <v>628</v>
      </c>
      <c r="R9" t="s">
        <v>628</v>
      </c>
      <c r="S9">
        <v>1</v>
      </c>
      <c r="T9" t="s">
        <v>630</v>
      </c>
      <c r="U9" t="s">
        <v>628</v>
      </c>
      <c r="V9" t="s">
        <v>628</v>
      </c>
      <c r="W9" t="s">
        <v>628</v>
      </c>
      <c r="AE9" s="145"/>
      <c r="AK9" s="145"/>
      <c r="AM9" s="145"/>
      <c r="DK9" s="145"/>
      <c r="DL9" s="145"/>
      <c r="DQ9" s="145"/>
      <c r="DR9" s="145"/>
      <c r="ES9" s="145"/>
      <c r="FV9" s="145"/>
      <c r="FX9" s="145"/>
      <c r="GF9" s="145"/>
      <c r="HR9" s="145"/>
      <c r="HZ9" s="145"/>
      <c r="IA9" s="145"/>
      <c r="JC9" s="145"/>
      <c r="JV9" s="145"/>
    </row>
    <row r="10" spans="1:282" x14ac:dyDescent="0.2">
      <c r="A10" t="s">
        <v>1258</v>
      </c>
      <c r="B10" t="s">
        <v>170</v>
      </c>
      <c r="C10" t="s">
        <v>171</v>
      </c>
      <c r="D10">
        <v>9.7000000000000003E-2</v>
      </c>
      <c r="E10">
        <v>1.921</v>
      </c>
      <c r="F10">
        <v>1.84</v>
      </c>
      <c r="G10">
        <v>-1719.17</v>
      </c>
      <c r="H10">
        <v>-1719.17</v>
      </c>
      <c r="I10">
        <v>1368.26</v>
      </c>
      <c r="J10">
        <v>64389.687619999997</v>
      </c>
      <c r="K10" t="s">
        <v>628</v>
      </c>
      <c r="L10">
        <v>8950013.7200000007</v>
      </c>
      <c r="M10">
        <v>-7435490.1900000004</v>
      </c>
      <c r="N10">
        <v>14760899</v>
      </c>
      <c r="O10" t="s">
        <v>563</v>
      </c>
      <c r="P10" t="s">
        <v>629</v>
      </c>
      <c r="Q10" t="s">
        <v>628</v>
      </c>
      <c r="R10" t="s">
        <v>628</v>
      </c>
      <c r="S10">
        <v>1</v>
      </c>
      <c r="T10" t="s">
        <v>630</v>
      </c>
      <c r="U10" t="s">
        <v>628</v>
      </c>
      <c r="V10" t="s">
        <v>628</v>
      </c>
      <c r="W10" t="s">
        <v>628</v>
      </c>
      <c r="AE10" s="145"/>
      <c r="AK10" s="145"/>
      <c r="AM10" s="145"/>
      <c r="DK10" s="145"/>
      <c r="DL10" s="145"/>
      <c r="DQ10" s="145"/>
      <c r="DR10" s="145"/>
      <c r="ES10" s="145"/>
      <c r="FV10" s="145"/>
      <c r="FX10" s="145"/>
      <c r="GF10" s="145"/>
      <c r="HR10" s="145"/>
      <c r="HZ10" s="145"/>
      <c r="IA10" s="145"/>
      <c r="JC10" s="145"/>
      <c r="JV10" s="145"/>
    </row>
    <row r="11" spans="1:282" x14ac:dyDescent="0.2">
      <c r="U11" s="145"/>
      <c r="AE11" s="145"/>
      <c r="AK11" s="145"/>
      <c r="AM11" s="145"/>
      <c r="DK11" s="145"/>
      <c r="DL11" s="145"/>
      <c r="DQ11" s="145"/>
      <c r="DR11" s="145"/>
      <c r="ES11" s="145"/>
      <c r="FV11" s="145"/>
      <c r="FX11" s="145"/>
      <c r="GF11" s="145"/>
      <c r="HR11" s="145"/>
      <c r="HZ11" s="145"/>
      <c r="IA11" s="145"/>
      <c r="JC11" s="145"/>
      <c r="JV11" s="145"/>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AC273-F992-40D0-9B74-3EBDBAD3856C}">
  <sheetPr codeName="Feuil1"/>
  <dimension ref="A1:AU40"/>
  <sheetViews>
    <sheetView workbookViewId="0">
      <selection activeCell="A5" sqref="A5"/>
    </sheetView>
  </sheetViews>
  <sheetFormatPr baseColWidth="10" defaultColWidth="10.85546875" defaultRowHeight="12.75" x14ac:dyDescent="0.2"/>
  <cols>
    <col min="1" max="1" width="37.42578125" style="119" bestFit="1" customWidth="1"/>
    <col min="2" max="2" width="20.42578125" style="119" bestFit="1" customWidth="1"/>
    <col min="3" max="3" width="17" style="119" bestFit="1" customWidth="1"/>
    <col min="4" max="4" width="16.140625" style="119" bestFit="1" customWidth="1"/>
    <col min="5" max="5" width="15" style="119" bestFit="1" customWidth="1"/>
    <col min="6" max="6" width="2.7109375" style="119" customWidth="1"/>
    <col min="7" max="9" width="10.85546875" style="119"/>
    <col min="10" max="10" width="37.42578125" style="119" bestFit="1" customWidth="1"/>
    <col min="11" max="11" width="14.5703125" style="119" bestFit="1" customWidth="1"/>
    <col min="12" max="12" width="15.140625" style="119" bestFit="1" customWidth="1"/>
    <col min="13" max="13" width="12.140625" style="119" customWidth="1"/>
    <col min="14" max="14" width="11.85546875" style="119" customWidth="1"/>
    <col min="15" max="15" width="10.5703125" style="119" bestFit="1" customWidth="1"/>
    <col min="16" max="16" width="11.140625" style="119" bestFit="1" customWidth="1"/>
    <col min="17" max="17" width="9.42578125" style="119" customWidth="1"/>
    <col min="18" max="18" width="37.42578125" style="119" customWidth="1"/>
    <col min="19" max="19" width="22.140625" style="119" bestFit="1" customWidth="1"/>
    <col min="20" max="20" width="13.7109375" style="119" bestFit="1" customWidth="1"/>
    <col min="21" max="21" width="12.140625" style="119" bestFit="1" customWidth="1"/>
    <col min="22" max="25" width="11.140625" style="119" bestFit="1" customWidth="1"/>
    <col min="26" max="27" width="12.140625" style="119" bestFit="1" customWidth="1"/>
    <col min="28" max="28" width="10.85546875" style="119"/>
    <col min="29" max="29" width="20.42578125" style="119" bestFit="1" customWidth="1"/>
    <col min="30" max="30" width="17.42578125" style="119" bestFit="1" customWidth="1"/>
    <col min="31" max="32" width="14.7109375" style="119" bestFit="1" customWidth="1"/>
    <col min="33" max="33" width="13.42578125" style="119" customWidth="1"/>
    <col min="34" max="36" width="11.140625" style="119" bestFit="1" customWidth="1"/>
    <col min="37" max="38" width="12.140625" style="119" bestFit="1" customWidth="1"/>
    <col min="39" max="16384" width="10.85546875" style="119"/>
  </cols>
  <sheetData>
    <row r="1" spans="1:47" x14ac:dyDescent="0.2">
      <c r="A1" s="148" t="s">
        <v>899</v>
      </c>
      <c r="B1" s="149"/>
      <c r="C1" s="149"/>
      <c r="D1" s="149"/>
      <c r="E1" s="149"/>
      <c r="F1" s="149"/>
      <c r="J1" s="225" t="s">
        <v>900</v>
      </c>
      <c r="K1" s="226"/>
      <c r="L1" s="226"/>
      <c r="M1" s="226"/>
      <c r="N1" s="226"/>
      <c r="O1" s="226"/>
      <c r="P1" s="227"/>
      <c r="T1" s="192" t="s">
        <v>901</v>
      </c>
      <c r="U1" s="192" t="s">
        <v>902</v>
      </c>
      <c r="V1" s="192" t="s">
        <v>903</v>
      </c>
      <c r="W1" s="192" t="s">
        <v>904</v>
      </c>
      <c r="X1" s="192" t="s">
        <v>905</v>
      </c>
      <c r="Y1" s="192" t="s">
        <v>906</v>
      </c>
      <c r="AE1" s="192" t="s">
        <v>907</v>
      </c>
      <c r="AF1" s="192" t="s">
        <v>908</v>
      </c>
      <c r="AG1" s="193" t="s">
        <v>909</v>
      </c>
      <c r="AH1" s="193" t="s">
        <v>910</v>
      </c>
      <c r="AI1" s="192" t="s">
        <v>911</v>
      </c>
      <c r="AJ1" s="192" t="s">
        <v>912</v>
      </c>
      <c r="AS1" s="119" t="s">
        <v>890</v>
      </c>
    </row>
    <row r="2" spans="1:47" x14ac:dyDescent="0.2">
      <c r="A2" s="150" t="s">
        <v>831</v>
      </c>
      <c r="B2" s="151" t="s">
        <v>832</v>
      </c>
      <c r="C2" s="151" t="s">
        <v>833</v>
      </c>
      <c r="D2" s="151" t="s">
        <v>834</v>
      </c>
      <c r="E2" s="152" t="s">
        <v>835</v>
      </c>
      <c r="F2" s="178"/>
    </row>
    <row r="3" spans="1:47" x14ac:dyDescent="0.2">
      <c r="A3" s="158"/>
      <c r="B3" s="159"/>
      <c r="C3" s="160"/>
      <c r="D3" s="160"/>
      <c r="E3" s="161"/>
      <c r="F3" s="178"/>
      <c r="K3" s="119" t="s">
        <v>886</v>
      </c>
      <c r="L3" s="119" t="s">
        <v>886</v>
      </c>
      <c r="T3" s="119" t="s">
        <v>887</v>
      </c>
      <c r="U3" s="119" t="s">
        <v>887</v>
      </c>
      <c r="V3" s="119" t="s">
        <v>888</v>
      </c>
      <c r="W3" s="119" t="s">
        <v>888</v>
      </c>
      <c r="X3" s="119" t="s">
        <v>662</v>
      </c>
      <c r="Y3" s="119" t="s">
        <v>662</v>
      </c>
      <c r="Z3" s="119" t="s">
        <v>889</v>
      </c>
      <c r="AA3" s="119" t="s">
        <v>889</v>
      </c>
      <c r="AE3" s="119" t="s">
        <v>887</v>
      </c>
      <c r="AF3" s="119" t="s">
        <v>887</v>
      </c>
      <c r="AG3" s="119" t="s">
        <v>888</v>
      </c>
      <c r="AH3" s="119" t="s">
        <v>888</v>
      </c>
      <c r="AI3" s="119" t="s">
        <v>662</v>
      </c>
      <c r="AJ3" s="119" t="s">
        <v>662</v>
      </c>
      <c r="AK3" s="119" t="s">
        <v>889</v>
      </c>
      <c r="AL3" s="119" t="s">
        <v>889</v>
      </c>
      <c r="AS3" s="119" t="s">
        <v>887</v>
      </c>
      <c r="AT3" s="119" t="s">
        <v>888</v>
      </c>
      <c r="AU3" s="119" t="s">
        <v>662</v>
      </c>
    </row>
    <row r="4" spans="1:47" ht="24" x14ac:dyDescent="0.2">
      <c r="A4" s="169" t="s">
        <v>709</v>
      </c>
      <c r="B4" s="162" t="s">
        <v>552</v>
      </c>
      <c r="C4" s="170">
        <v>10000000</v>
      </c>
      <c r="D4" s="171">
        <v>-3209758</v>
      </c>
      <c r="E4" s="172">
        <v>-3208244</v>
      </c>
      <c r="F4" s="178"/>
      <c r="J4" s="151" t="s">
        <v>831</v>
      </c>
      <c r="K4" s="151" t="s">
        <v>834</v>
      </c>
      <c r="L4" s="151" t="s">
        <v>835</v>
      </c>
      <c r="M4" s="153" t="s">
        <v>891</v>
      </c>
      <c r="N4" s="153" t="s">
        <v>319</v>
      </c>
      <c r="O4" s="151" t="s">
        <v>892</v>
      </c>
      <c r="P4" s="151" t="s">
        <v>893</v>
      </c>
      <c r="R4" s="151" t="s">
        <v>831</v>
      </c>
      <c r="S4" s="154" t="s">
        <v>4</v>
      </c>
      <c r="T4" s="154" t="s">
        <v>834</v>
      </c>
      <c r="U4" s="154" t="s">
        <v>835</v>
      </c>
      <c r="V4" s="155" t="s">
        <v>653</v>
      </c>
      <c r="W4" s="155" t="s">
        <v>650</v>
      </c>
      <c r="X4" s="155" t="s">
        <v>362</v>
      </c>
      <c r="Y4" s="155" t="s">
        <v>329</v>
      </c>
      <c r="Z4" s="156" t="s">
        <v>891</v>
      </c>
      <c r="AA4" s="156" t="s">
        <v>319</v>
      </c>
      <c r="AC4" s="151" t="s">
        <v>898</v>
      </c>
      <c r="AD4" s="157"/>
      <c r="AE4" s="154" t="s">
        <v>834</v>
      </c>
      <c r="AF4" s="154" t="s">
        <v>835</v>
      </c>
      <c r="AG4" s="155" t="s">
        <v>653</v>
      </c>
      <c r="AH4" s="155" t="s">
        <v>650</v>
      </c>
      <c r="AI4" s="155" t="s">
        <v>362</v>
      </c>
      <c r="AJ4" s="155" t="s">
        <v>329</v>
      </c>
      <c r="AK4" s="156" t="s">
        <v>891</v>
      </c>
      <c r="AL4" s="156" t="s">
        <v>319</v>
      </c>
      <c r="AS4" s="154" t="s">
        <v>4</v>
      </c>
      <c r="AT4" s="176" t="s">
        <v>355</v>
      </c>
      <c r="AU4" s="176" t="s">
        <v>355</v>
      </c>
    </row>
    <row r="5" spans="1:47" x14ac:dyDescent="0.2">
      <c r="A5" s="169" t="s">
        <v>710</v>
      </c>
      <c r="B5" s="162" t="s">
        <v>552</v>
      </c>
      <c r="C5" s="170">
        <v>25000000</v>
      </c>
      <c r="D5" s="171">
        <v>-14578776</v>
      </c>
      <c r="E5" s="172">
        <v>-14497864</v>
      </c>
      <c r="F5" s="178"/>
      <c r="J5" s="162" t="s">
        <v>709</v>
      </c>
      <c r="K5" s="163">
        <f t="shared" ref="K5:L19" si="0">SUMIF($A$2:$A$31,$J5,D$2:D$31)</f>
        <v>-3209758</v>
      </c>
      <c r="L5" s="163">
        <f t="shared" si="0"/>
        <v>-3208244</v>
      </c>
      <c r="M5" s="163" t="e">
        <f t="shared" ref="M5:M19" si="1">SUMIF($R:$R,$J5,Z:Z)</f>
        <v>#REF!</v>
      </c>
      <c r="N5" s="163">
        <f t="shared" ref="N5:N19" si="2">SUMIF($R:$R,$J5,AA:AA)</f>
        <v>0</v>
      </c>
      <c r="O5" s="163" t="e">
        <f>+K5-M5</f>
        <v>#REF!</v>
      </c>
      <c r="P5" s="163">
        <f>+L5-N5</f>
        <v>-3208244</v>
      </c>
      <c r="R5" s="162" t="s">
        <v>709</v>
      </c>
      <c r="S5" s="164" t="s">
        <v>293</v>
      </c>
      <c r="T5" s="165" t="e">
        <f>SUMIF('IRS - INF – XCCY'!#REF!,$S5,'IRS - INF – XCCY'!#REF!)</f>
        <v>#REF!</v>
      </c>
      <c r="U5" s="165">
        <f>SUMIF('check report collat'!$C:$C,Check2!$S5,'check report collat'!$E:$E)</f>
        <v>0</v>
      </c>
      <c r="V5" s="165">
        <f>SUMIF('BND FWD'!$C:$C,Check2!$S5,'BND FWD'!E:E)</f>
        <v>0</v>
      </c>
      <c r="W5" s="165">
        <f>SUMIF('BND FWD'!$C:$C,Check2!$S5,'BND FWD'!F:F)</f>
        <v>0</v>
      </c>
      <c r="X5" s="165">
        <f>SUMIF('FX FWD'!$C$1:$C$17,Check2!$S5,'FX FWD'!M$1:M$17)</f>
        <v>0</v>
      </c>
      <c r="Y5" s="165">
        <f>SUMIF('FX FWD'!$C$1:$C$17,Check2!$S5,'FX FWD'!N$1:N$17)</f>
        <v>0</v>
      </c>
      <c r="Z5" s="166" t="e">
        <f>+T5+V5+X5</f>
        <v>#REF!</v>
      </c>
      <c r="AA5" s="166">
        <f>+U5+W5+Y5</f>
        <v>0</v>
      </c>
      <c r="AC5" s="167" t="s">
        <v>552</v>
      </c>
      <c r="AD5" s="168" t="s">
        <v>78</v>
      </c>
      <c r="AE5" s="165" t="e">
        <f>SUMIF('IRS - INF – XCCY'!$B:$B,$AD5,'IRS - INF – XCCY'!#REF!)</f>
        <v>#REF!</v>
      </c>
      <c r="AF5" s="165">
        <f>SUMIF('check report collat'!$B:$B,Check2!$AD5,'check report collat'!$E:$E)</f>
        <v>-105518358.864079</v>
      </c>
      <c r="AG5" s="165"/>
      <c r="AH5" s="165"/>
      <c r="AI5" s="165">
        <f>SUMIF('FX FWD'!$D$1:$D$17,Check2!$AD5,'FX FWD'!M$1:M$17)</f>
        <v>0</v>
      </c>
      <c r="AJ5" s="165">
        <f>SUMIF('FX FWD'!$D$1:$D$17,Check2!$AD5,'FX FWD'!N$1:N$17)</f>
        <v>0</v>
      </c>
      <c r="AK5" s="166" t="e">
        <f>+AE5+AG5+AI5</f>
        <v>#REF!</v>
      </c>
      <c r="AL5" s="166">
        <f>+AF5+AH5+AJ5</f>
        <v>-105518358.864079</v>
      </c>
      <c r="AS5" s="56" t="s">
        <v>293</v>
      </c>
      <c r="AT5" s="119" t="s">
        <v>643</v>
      </c>
      <c r="AU5" s="177" t="s">
        <v>313</v>
      </c>
    </row>
    <row r="6" spans="1:47" x14ac:dyDescent="0.2">
      <c r="A6" s="169" t="s">
        <v>710</v>
      </c>
      <c r="B6" s="162" t="s">
        <v>626</v>
      </c>
      <c r="C6" s="170">
        <v>139300000</v>
      </c>
      <c r="D6" s="171">
        <v>-31010527</v>
      </c>
      <c r="E6" s="172">
        <v>-30982938</v>
      </c>
      <c r="F6" s="178"/>
      <c r="J6" s="162" t="s">
        <v>710</v>
      </c>
      <c r="K6" s="163">
        <f t="shared" si="0"/>
        <v>-73356345</v>
      </c>
      <c r="L6" s="163">
        <f t="shared" si="0"/>
        <v>-73176510</v>
      </c>
      <c r="M6" s="163" t="e">
        <f t="shared" si="1"/>
        <v>#REF!</v>
      </c>
      <c r="N6" s="163">
        <f t="shared" si="2"/>
        <v>-20510442.117093004</v>
      </c>
      <c r="O6" s="163" t="e">
        <f t="shared" ref="O6:P19" si="3">+K6-M6</f>
        <v>#REF!</v>
      </c>
      <c r="P6" s="163">
        <f t="shared" si="3"/>
        <v>-52666067.882906996</v>
      </c>
      <c r="R6" s="173" t="s">
        <v>710</v>
      </c>
      <c r="S6" s="174" t="s">
        <v>312</v>
      </c>
      <c r="T6" s="165" t="e">
        <f>SUMIF('IRS - INF – XCCY'!#REF!,$S6,'IRS - INF – XCCY'!#REF!)</f>
        <v>#REF!</v>
      </c>
      <c r="U6" s="165">
        <f>SUMIF('check report collat'!$C:$C,Check2!$S6,'check report collat'!$E:$E)</f>
        <v>0</v>
      </c>
      <c r="V6" s="165">
        <f>SUMIF('BND FWD'!$C:$C,Check2!$S6,'BND FWD'!E:E)</f>
        <v>0</v>
      </c>
      <c r="W6" s="165">
        <f>SUMIF('BND FWD'!$C:$C,Check2!$S6,'BND FWD'!F:F)</f>
        <v>0</v>
      </c>
      <c r="X6" s="165">
        <f>SUMIF('FX FWD'!$C$1:$C$17,Check2!$S6,'FX FWD'!M$1:M$17)</f>
        <v>0</v>
      </c>
      <c r="Y6" s="165">
        <f>SUMIF('FX FWD'!$C$1:$C$17,Check2!$S6,'FX FWD'!N$1:N$17)</f>
        <v>0</v>
      </c>
      <c r="Z6" s="166" t="e">
        <f t="shared" ref="Z6:AA26" si="4">+T6+V6+X6</f>
        <v>#REF!</v>
      </c>
      <c r="AA6" s="166">
        <f t="shared" si="4"/>
        <v>0</v>
      </c>
      <c r="AC6" s="167" t="s">
        <v>626</v>
      </c>
      <c r="AD6" s="157"/>
      <c r="AE6" s="165" t="e">
        <f>SUMIF('IRS - INF – XCCY'!$B:$B,$AD6,'IRS - INF – XCCY'!#REF!)</f>
        <v>#REF!</v>
      </c>
      <c r="AF6" s="165">
        <f>SUMIF('check report collat'!$B:$B,Check2!$AD6,'check report collat'!$E:$E)</f>
        <v>0</v>
      </c>
      <c r="AG6" s="175">
        <f>SUM('BND FWD'!E$1:E$43)</f>
        <v>-227952564.55999997</v>
      </c>
      <c r="AH6" s="175">
        <f>SUM('BND FWD'!F$1:F$43)</f>
        <v>-228423388.504792</v>
      </c>
      <c r="AI6" s="165">
        <f>SUMIF('FX FWD'!$D$1:$D$17,Check2!$AD6,'FX FWD'!M$1:M$17)</f>
        <v>0</v>
      </c>
      <c r="AJ6" s="165">
        <f>SUMIF('FX FWD'!$D$1:$D$17,Check2!$AD6,'FX FWD'!N$1:N$17)</f>
        <v>0</v>
      </c>
      <c r="AK6" s="166" t="e">
        <f t="shared" ref="AK6:AL12" si="5">+AE6+AG6+AI6</f>
        <v>#REF!</v>
      </c>
      <c r="AL6" s="166">
        <f t="shared" si="5"/>
        <v>-228423388.504792</v>
      </c>
      <c r="AS6" s="56" t="s">
        <v>63</v>
      </c>
      <c r="AT6" s="178" t="s">
        <v>421</v>
      </c>
      <c r="AU6" s="177" t="s">
        <v>312</v>
      </c>
    </row>
    <row r="7" spans="1:47" x14ac:dyDescent="0.2">
      <c r="A7" s="169" t="s">
        <v>710</v>
      </c>
      <c r="B7" s="162" t="s">
        <v>639</v>
      </c>
      <c r="C7" s="170">
        <v>-25222335</v>
      </c>
      <c r="D7" s="171">
        <v>582493</v>
      </c>
      <c r="E7" s="172">
        <v>580687</v>
      </c>
      <c r="F7" s="178"/>
      <c r="J7" s="162" t="s">
        <v>711</v>
      </c>
      <c r="K7" s="163">
        <f t="shared" si="0"/>
        <v>-34600225</v>
      </c>
      <c r="L7" s="163">
        <f t="shared" si="0"/>
        <v>-34547274</v>
      </c>
      <c r="M7" s="163" t="e">
        <f t="shared" si="1"/>
        <v>#REF!</v>
      </c>
      <c r="N7" s="163">
        <f t="shared" si="2"/>
        <v>-23406823.491</v>
      </c>
      <c r="O7" s="163" t="e">
        <f t="shared" si="3"/>
        <v>#REF!</v>
      </c>
      <c r="P7" s="163">
        <f t="shared" si="3"/>
        <v>-11140450.509</v>
      </c>
      <c r="R7" s="173" t="s">
        <v>710</v>
      </c>
      <c r="S7" s="164" t="s">
        <v>63</v>
      </c>
      <c r="T7" s="165" t="e">
        <f>SUMIF('IRS - INF – XCCY'!#REF!,$S7,'IRS - INF – XCCY'!#REF!)</f>
        <v>#REF!</v>
      </c>
      <c r="U7" s="165">
        <f>SUMIF('check report collat'!$C:$C,Check2!$S7,'check report collat'!$E:$E)</f>
        <v>0</v>
      </c>
      <c r="V7" s="165">
        <f>SUMIF('BND FWD'!$C:$C,Check2!$S7,'BND FWD'!E:E)</f>
        <v>-20635350.620000001</v>
      </c>
      <c r="W7" s="165">
        <f>SUMIF('BND FWD'!$C:$C,Check2!$S7,'BND FWD'!F:F)</f>
        <v>-20510442.117093004</v>
      </c>
      <c r="X7" s="165">
        <f>SUMIF('FX FWD'!$C$1:$C$17,Check2!$S7,'FX FWD'!M$1:M$17)</f>
        <v>0</v>
      </c>
      <c r="Y7" s="165">
        <f>SUMIF('FX FWD'!$C$1:$C$17,Check2!$S7,'FX FWD'!N$1:N$17)</f>
        <v>0</v>
      </c>
      <c r="Z7" s="166" t="e">
        <f t="shared" si="4"/>
        <v>#REF!</v>
      </c>
      <c r="AA7" s="166">
        <f t="shared" si="4"/>
        <v>-20510442.117093004</v>
      </c>
      <c r="AC7" s="167" t="s">
        <v>766</v>
      </c>
      <c r="AD7" s="168" t="s">
        <v>173</v>
      </c>
      <c r="AE7" s="165" t="e">
        <f>SUMIF('IRS - INF – XCCY'!$B:$B,$AD7,'IRS - INF – XCCY'!#REF!)</f>
        <v>#REF!</v>
      </c>
      <c r="AF7" s="165">
        <f>SUMIF('check report collat'!$B:$B,Check2!$AD7,'check report collat'!$E:$E)</f>
        <v>-38558755.963200003</v>
      </c>
      <c r="AG7" s="157"/>
      <c r="AH7" s="157"/>
      <c r="AI7" s="165">
        <f>SUMIF('FX FWD'!$D$1:$D$17,Check2!$AD7,'FX FWD'!M$1:M$17)</f>
        <v>0</v>
      </c>
      <c r="AJ7" s="165">
        <f>SUMIF('FX FWD'!$D$1:$D$17,Check2!$AD7,'FX FWD'!N$1:N$17)</f>
        <v>0</v>
      </c>
      <c r="AK7" s="166" t="e">
        <f t="shared" si="5"/>
        <v>#REF!</v>
      </c>
      <c r="AL7" s="166">
        <f t="shared" si="5"/>
        <v>-38558755.963200003</v>
      </c>
      <c r="AS7" s="56" t="s">
        <v>59</v>
      </c>
      <c r="AT7" s="119" t="s">
        <v>648</v>
      </c>
      <c r="AU7" s="177" t="s">
        <v>640</v>
      </c>
    </row>
    <row r="8" spans="1:47" x14ac:dyDescent="0.2">
      <c r="A8" s="169" t="s">
        <v>710</v>
      </c>
      <c r="B8" s="162" t="s">
        <v>372</v>
      </c>
      <c r="C8" s="170">
        <v>21848372</v>
      </c>
      <c r="D8" s="171">
        <v>-3956456</v>
      </c>
      <c r="E8" s="172">
        <v>-3933100</v>
      </c>
      <c r="F8" s="178"/>
      <c r="J8" s="162" t="s">
        <v>712</v>
      </c>
      <c r="K8" s="163">
        <f t="shared" si="0"/>
        <v>-11273657</v>
      </c>
      <c r="L8" s="163">
        <f t="shared" si="0"/>
        <v>-11310000</v>
      </c>
      <c r="M8" s="163" t="e">
        <f t="shared" si="1"/>
        <v>#REF!</v>
      </c>
      <c r="N8" s="163">
        <f t="shared" si="2"/>
        <v>-23960011.91</v>
      </c>
      <c r="O8" s="163" t="e">
        <f t="shared" si="3"/>
        <v>#REF!</v>
      </c>
      <c r="P8" s="163">
        <f t="shared" si="3"/>
        <v>12650011.91</v>
      </c>
      <c r="R8" s="162" t="s">
        <v>711</v>
      </c>
      <c r="S8" s="157" t="s">
        <v>643</v>
      </c>
      <c r="T8" s="165" t="e">
        <f>SUMIF('IRS - INF – XCCY'!#REF!,$S8,'IRS - INF – XCCY'!#REF!)</f>
        <v>#REF!</v>
      </c>
      <c r="U8" s="165">
        <f>SUMIF('check report collat'!$C:$C,Check2!$S8,'check report collat'!$E:$E)</f>
        <v>0</v>
      </c>
      <c r="V8" s="165">
        <f>SUMIF('BND FWD'!$C:$C,Check2!$S8,'BND FWD'!E:E)</f>
        <v>-23462725.180000003</v>
      </c>
      <c r="W8" s="165">
        <f>SUMIF('BND FWD'!$C:$C,Check2!$S8,'BND FWD'!F:F)</f>
        <v>-23406823.491</v>
      </c>
      <c r="X8" s="165">
        <f>SUMIF('FX FWD'!$C$1:$C$17,Check2!$S8,'FX FWD'!M$1:M$17)</f>
        <v>0</v>
      </c>
      <c r="Y8" s="165">
        <f>SUMIF('FX FWD'!$C$1:$C$17,Check2!$S8,'FX FWD'!N$1:N$17)</f>
        <v>0</v>
      </c>
      <c r="Z8" s="166" t="e">
        <f t="shared" si="4"/>
        <v>#REF!</v>
      </c>
      <c r="AA8" s="166">
        <f t="shared" si="4"/>
        <v>-23406823.491</v>
      </c>
      <c r="AC8" s="167" t="s">
        <v>767</v>
      </c>
      <c r="AD8" s="168" t="s">
        <v>594</v>
      </c>
      <c r="AE8" s="165" t="e">
        <f>SUMIF('IRS - INF – XCCY'!$B:$B,$AD8,'IRS - INF – XCCY'!#REF!)</f>
        <v>#REF!</v>
      </c>
      <c r="AF8" s="165">
        <f>SUMIF('check report collat'!$B:$B,Check2!$AD8,'check report collat'!$E:$E)</f>
        <v>0</v>
      </c>
      <c r="AG8" s="157"/>
      <c r="AH8" s="157"/>
      <c r="AI8" s="165">
        <f>SUMIF('FX FWD'!$D$1:$D$17,Check2!$AD8,'FX FWD'!M$1:M$17)</f>
        <v>0</v>
      </c>
      <c r="AJ8" s="165">
        <f>SUMIF('FX FWD'!$D$1:$D$17,Check2!$AD8,'FX FWD'!N$1:N$17)</f>
        <v>0</v>
      </c>
      <c r="AK8" s="166" t="e">
        <f t="shared" si="5"/>
        <v>#REF!</v>
      </c>
      <c r="AL8" s="166">
        <f t="shared" si="5"/>
        <v>0</v>
      </c>
      <c r="AS8" s="56" t="s">
        <v>226</v>
      </c>
      <c r="AT8" s="119" t="s">
        <v>685</v>
      </c>
      <c r="AU8" s="177" t="s">
        <v>637</v>
      </c>
    </row>
    <row r="9" spans="1:47" x14ac:dyDescent="0.2">
      <c r="A9" s="169" t="s">
        <v>710</v>
      </c>
      <c r="B9" s="162" t="s">
        <v>766</v>
      </c>
      <c r="C9" s="170">
        <v>290118808</v>
      </c>
      <c r="D9" s="171">
        <v>-24393079</v>
      </c>
      <c r="E9" s="172">
        <v>-24343295</v>
      </c>
      <c r="F9" s="178"/>
      <c r="J9" s="162" t="s">
        <v>713</v>
      </c>
      <c r="K9" s="163">
        <f t="shared" si="0"/>
        <v>-1549551</v>
      </c>
      <c r="L9" s="163">
        <f t="shared" si="0"/>
        <v>-1544507</v>
      </c>
      <c r="M9" s="163" t="e">
        <f t="shared" si="1"/>
        <v>#REF!</v>
      </c>
      <c r="N9" s="163">
        <f t="shared" si="2"/>
        <v>0</v>
      </c>
      <c r="O9" s="163" t="e">
        <f t="shared" si="3"/>
        <v>#REF!</v>
      </c>
      <c r="P9" s="163">
        <f t="shared" si="3"/>
        <v>-1544507</v>
      </c>
      <c r="R9" s="162" t="s">
        <v>712</v>
      </c>
      <c r="S9" s="157" t="s">
        <v>685</v>
      </c>
      <c r="T9" s="165" t="e">
        <f>SUMIF('IRS - INF – XCCY'!#REF!,$S9,'IRS - INF – XCCY'!#REF!)</f>
        <v>#REF!</v>
      </c>
      <c r="U9" s="165">
        <f>SUMIF('check report collat'!$C:$C,Check2!$S9,'check report collat'!$E:$E)</f>
        <v>0</v>
      </c>
      <c r="V9" s="165">
        <f>SUMIF('BND FWD'!$C:$C,Check2!$S9,'BND FWD'!E:E)</f>
        <v>-24270020.159999993</v>
      </c>
      <c r="W9" s="165">
        <f>SUMIF('BND FWD'!$C:$C,Check2!$S9,'BND FWD'!F:F)</f>
        <v>-23960011.91</v>
      </c>
      <c r="X9" s="165">
        <f>SUMIF('FX FWD'!$C$1:$C$17,Check2!$S9,'FX FWD'!M$1:M$17)</f>
        <v>0</v>
      </c>
      <c r="Y9" s="165">
        <f>SUMIF('FX FWD'!$C$1:$C$17,Check2!$S9,'FX FWD'!N$1:N$17)</f>
        <v>0</v>
      </c>
      <c r="Z9" s="166" t="e">
        <f t="shared" si="4"/>
        <v>#REF!</v>
      </c>
      <c r="AA9" s="166">
        <f t="shared" si="4"/>
        <v>-23960011.91</v>
      </c>
      <c r="AC9" s="167" t="s">
        <v>767</v>
      </c>
      <c r="AD9" s="168" t="s">
        <v>81</v>
      </c>
      <c r="AE9" s="165" t="e">
        <f>SUMIF('IRS - INF – XCCY'!$B:$B,$AD9,'IRS - INF – XCCY'!#REF!)</f>
        <v>#REF!</v>
      </c>
      <c r="AF9" s="165">
        <f>SUMIF('check report collat'!$B:$B,Check2!$AD9,'check report collat'!$E:$E)</f>
        <v>0</v>
      </c>
      <c r="AG9" s="157"/>
      <c r="AH9" s="157"/>
      <c r="AI9" s="165">
        <f>SUMIF('FX FWD'!$D$1:$D$17,Check2!$AD9,'FX FWD'!M$1:M$17)</f>
        <v>0</v>
      </c>
      <c r="AJ9" s="165">
        <f>SUMIF('FX FWD'!$D$1:$D$17,Check2!$AD9,'FX FWD'!N$1:N$17)</f>
        <v>0</v>
      </c>
      <c r="AK9" s="166" t="e">
        <f t="shared" si="5"/>
        <v>#REF!</v>
      </c>
      <c r="AL9" s="166">
        <f t="shared" si="5"/>
        <v>0</v>
      </c>
      <c r="AS9" s="56" t="s">
        <v>228</v>
      </c>
      <c r="AT9" s="119" t="s">
        <v>420</v>
      </c>
    </row>
    <row r="10" spans="1:47" x14ac:dyDescent="0.2">
      <c r="A10" s="169" t="s">
        <v>711</v>
      </c>
      <c r="B10" s="162" t="s">
        <v>626</v>
      </c>
      <c r="C10" s="170">
        <v>139000000</v>
      </c>
      <c r="D10" s="171">
        <v>-34600225</v>
      </c>
      <c r="E10" s="172">
        <v>-34547274</v>
      </c>
      <c r="F10" s="178"/>
      <c r="J10" s="162" t="s">
        <v>714</v>
      </c>
      <c r="K10" s="163">
        <f t="shared" si="0"/>
        <v>-16131506</v>
      </c>
      <c r="L10" s="163">
        <f t="shared" si="0"/>
        <v>-15904270</v>
      </c>
      <c r="M10" s="163" t="e">
        <f t="shared" si="1"/>
        <v>#REF!</v>
      </c>
      <c r="N10" s="163">
        <f t="shared" si="2"/>
        <v>0</v>
      </c>
      <c r="O10" s="163" t="e">
        <f t="shared" si="3"/>
        <v>#REF!</v>
      </c>
      <c r="P10" s="163">
        <f t="shared" si="3"/>
        <v>-15904270</v>
      </c>
      <c r="R10" s="162" t="s">
        <v>713</v>
      </c>
      <c r="S10" s="164" t="s">
        <v>226</v>
      </c>
      <c r="T10" s="165" t="e">
        <f>SUMIF('IRS - INF – XCCY'!#REF!,$S10,'IRS - INF – XCCY'!#REF!)</f>
        <v>#REF!</v>
      </c>
      <c r="U10" s="165">
        <f>SUMIF('check report collat'!$C:$C,Check2!$S10,'check report collat'!$E:$E)</f>
        <v>0</v>
      </c>
      <c r="V10" s="165">
        <f>SUMIF('BND FWD'!$C:$C,Check2!$S10,'BND FWD'!E:E)</f>
        <v>0</v>
      </c>
      <c r="W10" s="165">
        <f>SUMIF('BND FWD'!$C:$C,Check2!$S10,'BND FWD'!F:F)</f>
        <v>0</v>
      </c>
      <c r="X10" s="165">
        <f>SUMIF('FX FWD'!$C$1:$C$17,Check2!$S10,'FX FWD'!M$1:M$17)</f>
        <v>0</v>
      </c>
      <c r="Y10" s="165">
        <f>SUMIF('FX FWD'!$C$1:$C$17,Check2!$S10,'FX FWD'!N$1:N$17)</f>
        <v>0</v>
      </c>
      <c r="Z10" s="166" t="e">
        <f t="shared" si="4"/>
        <v>#REF!</v>
      </c>
      <c r="AA10" s="166">
        <f t="shared" si="4"/>
        <v>0</v>
      </c>
      <c r="AC10" s="167" t="s">
        <v>372</v>
      </c>
      <c r="AD10" s="174" t="s">
        <v>372</v>
      </c>
      <c r="AE10" s="165" t="e">
        <f>SUMIF('IRS - INF – XCCY'!$B:$B,$AD10,'IRS - INF – XCCY'!#REF!)</f>
        <v>#REF!</v>
      </c>
      <c r="AF10" s="165">
        <f>SUMIF('check report collat'!$B:$B,Check2!$AD10,'check report collat'!$E:$E)</f>
        <v>0</v>
      </c>
      <c r="AG10" s="157"/>
      <c r="AH10" s="157"/>
      <c r="AI10" s="165">
        <f>SUMIF('FX FWD'!$D$1:$D$17,Check2!$AD10,'FX FWD'!M$1:M$17)</f>
        <v>0</v>
      </c>
      <c r="AJ10" s="165">
        <f>SUMIF('FX FWD'!$D$1:$D$17,Check2!$AD10,'FX FWD'!N$1:N$17)</f>
        <v>0</v>
      </c>
      <c r="AK10" s="166" t="e">
        <f t="shared" si="5"/>
        <v>#REF!</v>
      </c>
      <c r="AL10" s="166">
        <f t="shared" si="5"/>
        <v>0</v>
      </c>
      <c r="AS10" s="56" t="s">
        <v>172</v>
      </c>
    </row>
    <row r="11" spans="1:47" x14ac:dyDescent="0.2">
      <c r="A11" s="169" t="s">
        <v>712</v>
      </c>
      <c r="B11" s="162" t="s">
        <v>626</v>
      </c>
      <c r="C11" s="170">
        <v>56600000</v>
      </c>
      <c r="D11" s="171">
        <v>-11273657</v>
      </c>
      <c r="E11" s="172">
        <v>-11310000</v>
      </c>
      <c r="F11" s="178"/>
      <c r="J11" s="162" t="s">
        <v>715</v>
      </c>
      <c r="K11" s="163">
        <f t="shared" si="0"/>
        <v>-2347044</v>
      </c>
      <c r="L11" s="163">
        <f t="shared" si="0"/>
        <v>-2322725</v>
      </c>
      <c r="M11" s="163" t="e">
        <f t="shared" si="1"/>
        <v>#REF!</v>
      </c>
      <c r="N11" s="163">
        <f t="shared" si="2"/>
        <v>0</v>
      </c>
      <c r="O11" s="163" t="e">
        <f t="shared" si="3"/>
        <v>#REF!</v>
      </c>
      <c r="P11" s="163">
        <f t="shared" si="3"/>
        <v>-2322725</v>
      </c>
      <c r="R11" s="173" t="s">
        <v>714</v>
      </c>
      <c r="S11" s="174" t="s">
        <v>313</v>
      </c>
      <c r="T11" s="165" t="e">
        <f>SUMIF('IRS - INF – XCCY'!#REF!,$S11,'IRS - INF – XCCY'!#REF!)</f>
        <v>#REF!</v>
      </c>
      <c r="U11" s="165">
        <f>SUMIF('check report collat'!$C:$C,Check2!$S11,'check report collat'!$E:$E)</f>
        <v>0</v>
      </c>
      <c r="V11" s="165">
        <f>SUMIF('BND FWD'!$C:$C,Check2!$S11,'BND FWD'!E:E)</f>
        <v>0</v>
      </c>
      <c r="W11" s="165">
        <f>SUMIF('BND FWD'!$C:$C,Check2!$S11,'BND FWD'!F:F)</f>
        <v>0</v>
      </c>
      <c r="X11" s="165">
        <f>SUMIF('FX FWD'!$C$1:$C$17,Check2!$S11,'FX FWD'!M$1:M$17)</f>
        <v>0</v>
      </c>
      <c r="Y11" s="165">
        <f>SUMIF('FX FWD'!$C$1:$C$17,Check2!$S11,'FX FWD'!N$1:N$17)</f>
        <v>0</v>
      </c>
      <c r="Z11" s="166" t="e">
        <f t="shared" si="4"/>
        <v>#REF!</v>
      </c>
      <c r="AA11" s="166">
        <f t="shared" si="4"/>
        <v>0</v>
      </c>
      <c r="AC11" s="167" t="s">
        <v>639</v>
      </c>
      <c r="AD11" s="174" t="s">
        <v>639</v>
      </c>
      <c r="AE11" s="165" t="e">
        <f>SUMIF('IRS - INF – XCCY'!$B:$B,$AD11,'IRS - INF – XCCY'!#REF!)</f>
        <v>#REF!</v>
      </c>
      <c r="AF11" s="165">
        <f>SUMIF('check report collat'!$B:$B,Check2!$AD11,'check report collat'!$E:$E)</f>
        <v>0</v>
      </c>
      <c r="AG11" s="157"/>
      <c r="AH11" s="157"/>
      <c r="AI11" s="165">
        <f>SUMIF('FX FWD'!$D$1:$D$17,Check2!$AD11,'FX FWD'!M$1:M$17)</f>
        <v>0</v>
      </c>
      <c r="AJ11" s="165">
        <f>SUMIF('FX FWD'!$D$1:$D$17,Check2!$AD11,'FX FWD'!N$1:N$17)</f>
        <v>0</v>
      </c>
      <c r="AK11" s="166" t="e">
        <f t="shared" si="5"/>
        <v>#REF!</v>
      </c>
      <c r="AL11" s="166">
        <f t="shared" si="5"/>
        <v>0</v>
      </c>
      <c r="AS11" s="56" t="s">
        <v>220</v>
      </c>
    </row>
    <row r="12" spans="1:47" x14ac:dyDescent="0.2">
      <c r="A12" s="169" t="s">
        <v>713</v>
      </c>
      <c r="B12" s="162" t="s">
        <v>766</v>
      </c>
      <c r="C12" s="170">
        <v>45000000</v>
      </c>
      <c r="D12" s="171">
        <v>-1549551</v>
      </c>
      <c r="E12" s="172">
        <v>-1544507</v>
      </c>
      <c r="F12" s="178"/>
      <c r="J12" s="162" t="s">
        <v>716</v>
      </c>
      <c r="K12" s="163">
        <f t="shared" si="0"/>
        <v>-13923726</v>
      </c>
      <c r="L12" s="163">
        <f t="shared" si="0"/>
        <v>-13818118</v>
      </c>
      <c r="M12" s="163" t="e">
        <f t="shared" si="1"/>
        <v>#REF!</v>
      </c>
      <c r="N12" s="163">
        <f t="shared" si="2"/>
        <v>-25542247.885303002</v>
      </c>
      <c r="O12" s="163" t="e">
        <f t="shared" si="3"/>
        <v>#REF!</v>
      </c>
      <c r="P12" s="163">
        <f t="shared" si="3"/>
        <v>11724129.885303002</v>
      </c>
      <c r="R12" s="173" t="s">
        <v>714</v>
      </c>
      <c r="S12" s="164" t="s">
        <v>59</v>
      </c>
      <c r="T12" s="165" t="e">
        <f>SUMIF('IRS - INF – XCCY'!#REF!,$S12,'IRS - INF – XCCY'!#REF!)</f>
        <v>#REF!</v>
      </c>
      <c r="U12" s="165">
        <f>SUMIF('check report collat'!$C:$C,Check2!$S12,'check report collat'!$E:$E)</f>
        <v>0</v>
      </c>
      <c r="V12" s="165">
        <f>SUMIF('BND FWD'!$C:$C,Check2!$S12,'BND FWD'!E:E)</f>
        <v>0</v>
      </c>
      <c r="W12" s="165">
        <f>SUMIF('BND FWD'!$C:$C,Check2!$S12,'BND FWD'!F:F)</f>
        <v>0</v>
      </c>
      <c r="X12" s="165">
        <f>SUMIF('FX FWD'!$C$1:$C$17,Check2!$S12,'FX FWD'!M$1:M$17)</f>
        <v>0</v>
      </c>
      <c r="Y12" s="165">
        <f>SUMIF('FX FWD'!$C$1:$C$17,Check2!$S12,'FX FWD'!N$1:N$17)</f>
        <v>0</v>
      </c>
      <c r="Z12" s="166" t="e">
        <f t="shared" si="4"/>
        <v>#REF!</v>
      </c>
      <c r="AA12" s="166">
        <f t="shared" si="4"/>
        <v>0</v>
      </c>
      <c r="AC12" s="167" t="s">
        <v>768</v>
      </c>
      <c r="AD12" s="168" t="s">
        <v>93</v>
      </c>
      <c r="AE12" s="165" t="e">
        <f>SUMIF('IRS - INF – XCCY'!$B:$B,$AD12,'IRS - INF – XCCY'!#REF!)</f>
        <v>#REF!</v>
      </c>
      <c r="AF12" s="165">
        <f>SUMIF('check report collat'!$B:$B,Check2!$AD12,'check report collat'!$E:$E)</f>
        <v>0</v>
      </c>
      <c r="AG12" s="157"/>
      <c r="AH12" s="157"/>
      <c r="AI12" s="165">
        <f>SUMIF('FX FWD'!$D$1:$D$17,Check2!$AD12,'FX FWD'!M$1:M$17)</f>
        <v>0</v>
      </c>
      <c r="AJ12" s="165">
        <f>SUMIF('FX FWD'!$D$1:$D$17,Check2!$AD12,'FX FWD'!N$1:N$17)</f>
        <v>0</v>
      </c>
      <c r="AK12" s="166" t="e">
        <f t="shared" si="5"/>
        <v>#REF!</v>
      </c>
      <c r="AL12" s="166">
        <f t="shared" si="5"/>
        <v>0</v>
      </c>
      <c r="AS12" s="56" t="s">
        <v>92</v>
      </c>
    </row>
    <row r="13" spans="1:47" x14ac:dyDescent="0.2">
      <c r="A13" s="169" t="s">
        <v>714</v>
      </c>
      <c r="B13" s="162" t="s">
        <v>639</v>
      </c>
      <c r="C13" s="170">
        <v>25490696</v>
      </c>
      <c r="D13" s="171">
        <v>185072</v>
      </c>
      <c r="E13" s="172">
        <v>198984</v>
      </c>
      <c r="F13" s="178"/>
      <c r="J13" s="162" t="s">
        <v>717</v>
      </c>
      <c r="K13" s="163">
        <f t="shared" si="0"/>
        <v>-808185</v>
      </c>
      <c r="L13" s="163">
        <f t="shared" si="0"/>
        <v>-806373</v>
      </c>
      <c r="M13" s="163" t="e">
        <f t="shared" si="1"/>
        <v>#REF!</v>
      </c>
      <c r="N13" s="163">
        <f t="shared" si="2"/>
        <v>0</v>
      </c>
      <c r="O13" s="163" t="e">
        <f t="shared" si="3"/>
        <v>#REF!</v>
      </c>
      <c r="P13" s="163">
        <f t="shared" si="3"/>
        <v>-806373</v>
      </c>
      <c r="R13" s="162" t="s">
        <v>715</v>
      </c>
      <c r="S13" s="164" t="s">
        <v>228</v>
      </c>
      <c r="T13" s="165" t="e">
        <f>SUMIF('IRS - INF – XCCY'!#REF!,$S13,'IRS - INF – XCCY'!#REF!)</f>
        <v>#REF!</v>
      </c>
      <c r="U13" s="165">
        <f>SUMIF('check report collat'!$C:$C,Check2!$S13,'check report collat'!$E:$E)</f>
        <v>0</v>
      </c>
      <c r="V13" s="165">
        <f>SUMIF('BND FWD'!$C:$C,Check2!$S13,'BND FWD'!E:E)</f>
        <v>0</v>
      </c>
      <c r="W13" s="165">
        <f>SUMIF('BND FWD'!$C:$C,Check2!$S13,'BND FWD'!F:F)</f>
        <v>0</v>
      </c>
      <c r="X13" s="165">
        <f>SUMIF('FX FWD'!$C$1:$C$17,Check2!$S13,'FX FWD'!M$1:M$17)</f>
        <v>0</v>
      </c>
      <c r="Y13" s="165">
        <f>SUMIF('FX FWD'!$C$1:$C$17,Check2!$S13,'FX FWD'!N$1:N$17)</f>
        <v>0</v>
      </c>
      <c r="Z13" s="166" t="e">
        <f t="shared" si="4"/>
        <v>#REF!</v>
      </c>
      <c r="AA13" s="166">
        <f t="shared" si="4"/>
        <v>0</v>
      </c>
      <c r="AD13" s="179" t="s">
        <v>889</v>
      </c>
      <c r="AE13" s="180" t="e">
        <f t="shared" ref="AE13:AL13" si="6">SUM(AE5:AE12)</f>
        <v>#REF!</v>
      </c>
      <c r="AF13" s="180">
        <f t="shared" si="6"/>
        <v>-144077114.827279</v>
      </c>
      <c r="AG13" s="180">
        <f t="shared" si="6"/>
        <v>-227952564.55999997</v>
      </c>
      <c r="AH13" s="180">
        <f t="shared" si="6"/>
        <v>-228423388.504792</v>
      </c>
      <c r="AI13" s="180">
        <f t="shared" si="6"/>
        <v>0</v>
      </c>
      <c r="AJ13" s="180">
        <f t="shared" si="6"/>
        <v>0</v>
      </c>
      <c r="AK13" s="180" t="e">
        <f t="shared" si="6"/>
        <v>#REF!</v>
      </c>
      <c r="AL13" s="180">
        <f t="shared" si="6"/>
        <v>-372500503.33207095</v>
      </c>
      <c r="AS13" s="56" t="s">
        <v>43</v>
      </c>
    </row>
    <row r="14" spans="1:47" x14ac:dyDescent="0.2">
      <c r="A14" s="169" t="s">
        <v>714</v>
      </c>
      <c r="B14" s="162" t="s">
        <v>372</v>
      </c>
      <c r="C14" s="170">
        <v>224806511</v>
      </c>
      <c r="D14" s="171">
        <v>-14629266</v>
      </c>
      <c r="E14" s="172">
        <v>-14415909</v>
      </c>
      <c r="F14" s="178"/>
      <c r="J14" s="162" t="s">
        <v>718</v>
      </c>
      <c r="K14" s="163">
        <f t="shared" si="0"/>
        <v>-13975341</v>
      </c>
      <c r="L14" s="163">
        <f t="shared" si="0"/>
        <v>-14453818</v>
      </c>
      <c r="M14" s="163" t="e">
        <f t="shared" si="1"/>
        <v>#REF!</v>
      </c>
      <c r="N14" s="163">
        <f t="shared" si="2"/>
        <v>0</v>
      </c>
      <c r="O14" s="163" t="e">
        <f t="shared" si="3"/>
        <v>#REF!</v>
      </c>
      <c r="P14" s="163">
        <f t="shared" si="3"/>
        <v>-14453818</v>
      </c>
      <c r="R14" s="162" t="s">
        <v>716</v>
      </c>
      <c r="S14" s="157" t="s">
        <v>648</v>
      </c>
      <c r="T14" s="165" t="e">
        <f>SUMIF('IRS - INF – XCCY'!#REF!,$S14,'IRS - INF – XCCY'!#REF!)</f>
        <v>#REF!</v>
      </c>
      <c r="U14" s="165">
        <f>SUMIF('check report collat'!$C:$C,Check2!$S14,'check report collat'!$E:$E)</f>
        <v>0</v>
      </c>
      <c r="V14" s="165">
        <f>SUMIF('BND FWD'!$C:$C,Check2!$S14,'BND FWD'!E:E)</f>
        <v>-25677743.990000002</v>
      </c>
      <c r="W14" s="165">
        <f>SUMIF('BND FWD'!$C:$C,Check2!$S14,'BND FWD'!F:F)</f>
        <v>-25542247.885303002</v>
      </c>
      <c r="X14" s="165">
        <f>SUMIF('FX FWD'!$C$1:$C$17,Check2!$S14,'FX FWD'!M$1:M$17)</f>
        <v>0</v>
      </c>
      <c r="Y14" s="165">
        <f>SUMIF('FX FWD'!$C$1:$C$17,Check2!$S14,'FX FWD'!N$1:N$17)</f>
        <v>0</v>
      </c>
      <c r="Z14" s="166" t="e">
        <f t="shared" si="4"/>
        <v>#REF!</v>
      </c>
      <c r="AA14" s="166">
        <f t="shared" si="4"/>
        <v>-25542247.885303002</v>
      </c>
      <c r="AE14" s="181"/>
      <c r="AF14" s="181"/>
      <c r="AG14" s="181"/>
      <c r="AH14" s="181"/>
      <c r="AI14" s="181"/>
      <c r="AJ14" s="181"/>
      <c r="AK14" s="181"/>
      <c r="AL14" s="181"/>
      <c r="AS14" s="56" t="s">
        <v>306</v>
      </c>
    </row>
    <row r="15" spans="1:47" x14ac:dyDescent="0.2">
      <c r="A15" s="169" t="s">
        <v>714</v>
      </c>
      <c r="B15" s="162" t="s">
        <v>766</v>
      </c>
      <c r="C15" s="170">
        <v>25000000</v>
      </c>
      <c r="D15" s="171">
        <v>-1687312</v>
      </c>
      <c r="E15" s="172">
        <v>-1687345</v>
      </c>
      <c r="F15" s="178"/>
      <c r="J15" s="162" t="s">
        <v>719</v>
      </c>
      <c r="K15" s="163">
        <f t="shared" si="0"/>
        <v>-27372547</v>
      </c>
      <c r="L15" s="163">
        <f t="shared" si="0"/>
        <v>-27199828</v>
      </c>
      <c r="M15" s="163" t="e">
        <f t="shared" si="1"/>
        <v>#REF!</v>
      </c>
      <c r="N15" s="163">
        <f t="shared" si="2"/>
        <v>0</v>
      </c>
      <c r="O15" s="163" t="e">
        <f t="shared" si="3"/>
        <v>#REF!</v>
      </c>
      <c r="P15" s="163">
        <f t="shared" si="3"/>
        <v>-27199828</v>
      </c>
      <c r="R15" s="162" t="s">
        <v>717</v>
      </c>
      <c r="S15" s="164" t="s">
        <v>172</v>
      </c>
      <c r="T15" s="165" t="e">
        <f>SUMIF('IRS - INF – XCCY'!#REF!,$S15,'IRS - INF – XCCY'!#REF!)</f>
        <v>#REF!</v>
      </c>
      <c r="U15" s="165">
        <f>SUMIF('check report collat'!$C:$C,Check2!$S15,'check report collat'!$E:$E)</f>
        <v>0</v>
      </c>
      <c r="V15" s="165">
        <f>SUMIF('BND FWD'!$C:$C,Check2!$S15,'BND FWD'!E:E)</f>
        <v>0</v>
      </c>
      <c r="W15" s="165">
        <f>SUMIF('BND FWD'!$C:$C,Check2!$S15,'BND FWD'!F:F)</f>
        <v>0</v>
      </c>
      <c r="X15" s="165">
        <f>SUMIF('FX FWD'!$C$1:$C$17,Check2!$S15,'FX FWD'!M$1:M$17)</f>
        <v>0</v>
      </c>
      <c r="Y15" s="165">
        <f>SUMIF('FX FWD'!$C$1:$C$17,Check2!$S15,'FX FWD'!N$1:N$17)</f>
        <v>0</v>
      </c>
      <c r="Z15" s="166" t="e">
        <f t="shared" si="4"/>
        <v>#REF!</v>
      </c>
      <c r="AA15" s="166">
        <f t="shared" si="4"/>
        <v>0</v>
      </c>
      <c r="AS15" s="56" t="s">
        <v>77</v>
      </c>
    </row>
    <row r="16" spans="1:47" x14ac:dyDescent="0.2">
      <c r="A16" s="169" t="s">
        <v>715</v>
      </c>
      <c r="B16" s="162" t="s">
        <v>766</v>
      </c>
      <c r="C16" s="170">
        <v>200000000</v>
      </c>
      <c r="D16" s="171">
        <v>-2347044</v>
      </c>
      <c r="E16" s="172">
        <v>-2322725</v>
      </c>
      <c r="F16" s="178"/>
      <c r="J16" s="162" t="s">
        <v>720</v>
      </c>
      <c r="K16" s="163">
        <f t="shared" si="0"/>
        <v>-1675069</v>
      </c>
      <c r="L16" s="163">
        <f t="shared" si="0"/>
        <v>-1681453</v>
      </c>
      <c r="M16" s="163" t="e">
        <f t="shared" si="1"/>
        <v>#REF!</v>
      </c>
      <c r="N16" s="163">
        <f t="shared" si="2"/>
        <v>0</v>
      </c>
      <c r="O16" s="163" t="e">
        <f t="shared" si="3"/>
        <v>#REF!</v>
      </c>
      <c r="P16" s="163">
        <f t="shared" si="3"/>
        <v>-1681453</v>
      </c>
      <c r="R16" s="173" t="s">
        <v>718</v>
      </c>
      <c r="S16" s="174" t="s">
        <v>637</v>
      </c>
      <c r="T16" s="165" t="e">
        <f>SUMIF('IRS - INF – XCCY'!#REF!,$S16,'IRS - INF – XCCY'!#REF!)</f>
        <v>#REF!</v>
      </c>
      <c r="U16" s="165">
        <f>SUMIF('check report collat'!$C:$C,Check2!$S16,'check report collat'!$E:$E)</f>
        <v>0</v>
      </c>
      <c r="V16" s="165">
        <f>SUMIF('BND FWD'!$C:$C,Check2!$S16,'BND FWD'!E:E)</f>
        <v>0</v>
      </c>
      <c r="W16" s="165">
        <f>SUMIF('BND FWD'!$C:$C,Check2!$S16,'BND FWD'!F:F)</f>
        <v>0</v>
      </c>
      <c r="X16" s="165">
        <f>SUMIF('FX FWD'!$C$1:$C$17,Check2!$S16,'FX FWD'!M$1:M$17)</f>
        <v>0</v>
      </c>
      <c r="Y16" s="165">
        <f>SUMIF('FX FWD'!$C$1:$C$17,Check2!$S16,'FX FWD'!N$1:N$17)</f>
        <v>0</v>
      </c>
      <c r="Z16" s="166" t="e">
        <f t="shared" si="4"/>
        <v>#REF!</v>
      </c>
      <c r="AA16" s="166">
        <f t="shared" si="4"/>
        <v>0</v>
      </c>
      <c r="AD16" s="157" t="s">
        <v>894</v>
      </c>
      <c r="AE16" s="165" t="e">
        <f>SUM('IRS - INF – XCCY'!#REF!)</f>
        <v>#REF!</v>
      </c>
      <c r="AF16" s="165">
        <f>SUM('check report collat'!E:E)</f>
        <v>-144077114.82727897</v>
      </c>
      <c r="AG16" s="165">
        <f>SUM('BND FWD'!E$1:E$43)</f>
        <v>-227952564.55999997</v>
      </c>
      <c r="AH16" s="165">
        <f>SUM('BND FWD'!F$1:F$43)</f>
        <v>-228423388.504792</v>
      </c>
      <c r="AI16" s="165">
        <f>SUM('FX FWD'!M$1:M$17)</f>
        <v>0</v>
      </c>
      <c r="AJ16" s="165">
        <f>SUM('FX FWD'!N$1:N$17)</f>
        <v>0</v>
      </c>
      <c r="AK16" s="165" t="e">
        <f>+AE16+AG16+AI16</f>
        <v>#REF!</v>
      </c>
      <c r="AL16" s="165">
        <f>+AF16+AH16+AJ16</f>
        <v>-372500503.33207095</v>
      </c>
      <c r="AS16" s="56" t="s">
        <v>157</v>
      </c>
    </row>
    <row r="17" spans="1:45" x14ac:dyDescent="0.2">
      <c r="A17" s="169" t="s">
        <v>716</v>
      </c>
      <c r="B17" s="162" t="s">
        <v>626</v>
      </c>
      <c r="C17" s="170">
        <v>84000000</v>
      </c>
      <c r="D17" s="171">
        <v>-13923726</v>
      </c>
      <c r="E17" s="172">
        <v>-13818118</v>
      </c>
      <c r="F17" s="178"/>
      <c r="J17" s="162" t="s">
        <v>721</v>
      </c>
      <c r="K17" s="163">
        <f t="shared" si="0"/>
        <v>-22294095</v>
      </c>
      <c r="L17" s="163">
        <f t="shared" si="0"/>
        <v>-22173172</v>
      </c>
      <c r="M17" s="163" t="e">
        <f t="shared" si="1"/>
        <v>#REF!</v>
      </c>
      <c r="N17" s="163">
        <f t="shared" si="2"/>
        <v>0</v>
      </c>
      <c r="O17" s="163" t="e">
        <f t="shared" si="3"/>
        <v>#REF!</v>
      </c>
      <c r="P17" s="163">
        <f t="shared" si="3"/>
        <v>-22173172</v>
      </c>
      <c r="R17" s="173" t="s">
        <v>718</v>
      </c>
      <c r="S17" s="164" t="s">
        <v>220</v>
      </c>
      <c r="T17" s="165" t="e">
        <f>SUMIF('IRS - INF – XCCY'!#REF!,$S17,'IRS - INF – XCCY'!#REF!)</f>
        <v>#REF!</v>
      </c>
      <c r="U17" s="165">
        <f>SUMIF('check report collat'!$C:$C,Check2!$S17,'check report collat'!$E:$E)</f>
        <v>0</v>
      </c>
      <c r="V17" s="165">
        <f>SUMIF('BND FWD'!$C:$C,Check2!$S17,'BND FWD'!E:E)</f>
        <v>0</v>
      </c>
      <c r="W17" s="165">
        <f>SUMIF('BND FWD'!$C:$C,Check2!$S17,'BND FWD'!F:F)</f>
        <v>0</v>
      </c>
      <c r="X17" s="165">
        <f>SUMIF('FX FWD'!$C$1:$C$17,Check2!$S17,'FX FWD'!M$1:M$17)</f>
        <v>0</v>
      </c>
      <c r="Y17" s="165">
        <f>SUMIF('FX FWD'!$C$1:$C$17,Check2!$S17,'FX FWD'!N$1:N$17)</f>
        <v>0</v>
      </c>
      <c r="Z17" s="166" t="e">
        <f t="shared" si="4"/>
        <v>#REF!</v>
      </c>
      <c r="AA17" s="166">
        <f t="shared" si="4"/>
        <v>0</v>
      </c>
      <c r="AD17" s="157" t="s">
        <v>895</v>
      </c>
      <c r="AE17" s="165" t="e">
        <f t="shared" ref="AE17:AL17" si="7">+AE16-AE13</f>
        <v>#REF!</v>
      </c>
      <c r="AF17" s="165">
        <f t="shared" si="7"/>
        <v>0</v>
      </c>
      <c r="AG17" s="165">
        <f t="shared" si="7"/>
        <v>0</v>
      </c>
      <c r="AH17" s="165">
        <f t="shared" si="7"/>
        <v>0</v>
      </c>
      <c r="AI17" s="165">
        <f t="shared" si="7"/>
        <v>0</v>
      </c>
      <c r="AJ17" s="165">
        <f t="shared" si="7"/>
        <v>0</v>
      </c>
      <c r="AK17" s="165" t="e">
        <f t="shared" si="7"/>
        <v>#REF!</v>
      </c>
      <c r="AL17" s="165">
        <f t="shared" si="7"/>
        <v>0</v>
      </c>
      <c r="AS17" s="56" t="s">
        <v>75</v>
      </c>
    </row>
    <row r="18" spans="1:45" x14ac:dyDescent="0.2">
      <c r="A18" s="169" t="s">
        <v>717</v>
      </c>
      <c r="B18" s="162" t="s">
        <v>767</v>
      </c>
      <c r="C18" s="170">
        <v>45000000</v>
      </c>
      <c r="D18" s="171">
        <v>-808185</v>
      </c>
      <c r="E18" s="172">
        <v>-806373</v>
      </c>
      <c r="F18" s="178"/>
      <c r="J18" s="162" t="s">
        <v>722</v>
      </c>
      <c r="K18" s="163">
        <f t="shared" si="0"/>
        <v>-41876560</v>
      </c>
      <c r="L18" s="163">
        <f t="shared" si="0"/>
        <v>-41960685</v>
      </c>
      <c r="M18" s="163" t="e">
        <f t="shared" si="1"/>
        <v>#REF!</v>
      </c>
      <c r="N18" s="163">
        <f t="shared" si="2"/>
        <v>0</v>
      </c>
      <c r="O18" s="163" t="e">
        <f t="shared" si="3"/>
        <v>#REF!</v>
      </c>
      <c r="P18" s="163">
        <f t="shared" si="3"/>
        <v>-41960685</v>
      </c>
      <c r="R18" s="162" t="s">
        <v>719</v>
      </c>
      <c r="S18" s="164" t="s">
        <v>92</v>
      </c>
      <c r="T18" s="165" t="e">
        <f>SUMIF('IRS - INF – XCCY'!#REF!,$S18,'IRS - INF – XCCY'!#REF!)</f>
        <v>#REF!</v>
      </c>
      <c r="U18" s="165">
        <f>SUMIF('check report collat'!$C:$C,Check2!$S18,'check report collat'!$E:$E)</f>
        <v>0</v>
      </c>
      <c r="V18" s="165">
        <f>SUMIF('BND FWD'!$C:$C,Check2!$S18,'BND FWD'!E:E)</f>
        <v>0</v>
      </c>
      <c r="W18" s="165">
        <f>SUMIF('BND FWD'!$C:$C,Check2!$S18,'BND FWD'!F:F)</f>
        <v>0</v>
      </c>
      <c r="X18" s="165">
        <f>SUMIF('FX FWD'!$C$1:$C$17,Check2!$S18,'FX FWD'!M$1:M$17)</f>
        <v>0</v>
      </c>
      <c r="Y18" s="165">
        <f>SUMIF('FX FWD'!$C$1:$C$17,Check2!$S18,'FX FWD'!N$1:N$17)</f>
        <v>0</v>
      </c>
      <c r="Z18" s="166" t="e">
        <f t="shared" si="4"/>
        <v>#REF!</v>
      </c>
      <c r="AA18" s="166">
        <f t="shared" si="4"/>
        <v>0</v>
      </c>
      <c r="AS18" s="56" t="s">
        <v>305</v>
      </c>
    </row>
    <row r="19" spans="1:45" x14ac:dyDescent="0.2">
      <c r="A19" s="169" t="s">
        <v>718</v>
      </c>
      <c r="B19" s="162" t="s">
        <v>639</v>
      </c>
      <c r="C19" s="170">
        <v>33042833</v>
      </c>
      <c r="D19" s="171">
        <v>-503443</v>
      </c>
      <c r="E19" s="172">
        <v>-530610</v>
      </c>
      <c r="F19" s="178"/>
      <c r="J19" s="162" t="s">
        <v>723</v>
      </c>
      <c r="K19" s="163">
        <f t="shared" si="0"/>
        <v>-25429910</v>
      </c>
      <c r="L19" s="163">
        <f t="shared" si="0"/>
        <v>-25082925</v>
      </c>
      <c r="M19" s="163" t="e">
        <f t="shared" si="1"/>
        <v>#REF!</v>
      </c>
      <c r="N19" s="163">
        <f t="shared" si="2"/>
        <v>-8264362.6099999994</v>
      </c>
      <c r="O19" s="163" t="e">
        <f t="shared" si="3"/>
        <v>#REF!</v>
      </c>
      <c r="P19" s="163">
        <f t="shared" si="3"/>
        <v>-16818562.390000001</v>
      </c>
      <c r="R19" s="173" t="s">
        <v>720</v>
      </c>
      <c r="S19" s="164" t="s">
        <v>43</v>
      </c>
      <c r="T19" s="165" t="e">
        <f>SUMIF('IRS - INF – XCCY'!#REF!,$S19,'IRS - INF – XCCY'!#REF!)</f>
        <v>#REF!</v>
      </c>
      <c r="U19" s="165">
        <f>SUMIF('check report collat'!$C:$C,Check2!$S19,'check report collat'!$E:$E)</f>
        <v>0</v>
      </c>
      <c r="V19" s="165">
        <f>SUMIF('BND FWD'!$C:$C,Check2!$S19,'BND FWD'!E:E)</f>
        <v>0</v>
      </c>
      <c r="W19" s="165">
        <f>SUMIF('BND FWD'!$C:$C,Check2!$S19,'BND FWD'!F:F)</f>
        <v>0</v>
      </c>
      <c r="X19" s="165">
        <f>SUMIF('FX FWD'!$C$1:$C$17,Check2!$S19,'FX FWD'!M$1:M$17)</f>
        <v>0</v>
      </c>
      <c r="Y19" s="165">
        <f>SUMIF('FX FWD'!$C$1:$C$17,Check2!$S19,'FX FWD'!N$1:N$17)</f>
        <v>0</v>
      </c>
      <c r="Z19" s="166" t="e">
        <f t="shared" si="4"/>
        <v>#REF!</v>
      </c>
      <c r="AA19" s="166">
        <f t="shared" si="4"/>
        <v>0</v>
      </c>
      <c r="AF19" s="181"/>
    </row>
    <row r="20" spans="1:45" x14ac:dyDescent="0.2">
      <c r="A20" s="169" t="s">
        <v>718</v>
      </c>
      <c r="B20" s="162" t="s">
        <v>372</v>
      </c>
      <c r="C20" s="170">
        <v>162338888</v>
      </c>
      <c r="D20" s="171">
        <v>1200620</v>
      </c>
      <c r="E20" s="172">
        <v>641228</v>
      </c>
      <c r="F20" s="178"/>
      <c r="J20" s="182" t="s">
        <v>896</v>
      </c>
      <c r="K20" s="183" t="e">
        <f>+K34+K35</f>
        <v>#REF!</v>
      </c>
      <c r="L20" s="183"/>
      <c r="M20" s="183"/>
      <c r="N20" s="183"/>
      <c r="O20" s="183" t="e">
        <f t="shared" ref="O20:P20" si="8">+O34+O35</f>
        <v>#REF!</v>
      </c>
      <c r="P20" s="183">
        <f t="shared" si="8"/>
        <v>0</v>
      </c>
      <c r="R20" s="173" t="s">
        <v>720</v>
      </c>
      <c r="S20" s="164" t="s">
        <v>306</v>
      </c>
      <c r="T20" s="165" t="e">
        <f>SUMIF('IRS - INF – XCCY'!#REF!,$S20,'IRS - INF – XCCY'!#REF!)</f>
        <v>#REF!</v>
      </c>
      <c r="U20" s="165">
        <f>SUMIF('check report collat'!$C:$C,Check2!$S20,'check report collat'!$E:$E)</f>
        <v>0</v>
      </c>
      <c r="V20" s="165">
        <f>SUMIF('BND FWD'!$C:$C,Check2!$S20,'BND FWD'!E:E)</f>
        <v>0</v>
      </c>
      <c r="W20" s="165">
        <f>SUMIF('BND FWD'!$C:$C,Check2!$S20,'BND FWD'!F:F)</f>
        <v>0</v>
      </c>
      <c r="X20" s="165">
        <f>SUMIF('FX FWD'!$C$1:$C$17,Check2!$S20,'FX FWD'!M$1:M$17)</f>
        <v>0</v>
      </c>
      <c r="Y20" s="165">
        <f>SUMIF('FX FWD'!$C$1:$C$17,Check2!$S20,'FX FWD'!N$1:N$17)</f>
        <v>0</v>
      </c>
      <c r="Z20" s="166" t="e">
        <f t="shared" si="4"/>
        <v>#REF!</v>
      </c>
      <c r="AA20" s="166">
        <f t="shared" si="4"/>
        <v>0</v>
      </c>
      <c r="AE20" s="181"/>
    </row>
    <row r="21" spans="1:45" x14ac:dyDescent="0.2">
      <c r="A21" s="169" t="s">
        <v>718</v>
      </c>
      <c r="B21" s="162" t="s">
        <v>766</v>
      </c>
      <c r="C21" s="170">
        <v>104000000</v>
      </c>
      <c r="D21" s="171">
        <v>-14672518</v>
      </c>
      <c r="E21" s="172">
        <v>-14564436</v>
      </c>
      <c r="F21" s="178"/>
      <c r="J21" s="159" t="s">
        <v>889</v>
      </c>
      <c r="K21" s="184" t="e">
        <f>SUM(K5:K20)</f>
        <v>#REF!</v>
      </c>
      <c r="L21" s="184">
        <f t="shared" ref="L21:P21" si="9">SUM(L5:L20)</f>
        <v>-289189902</v>
      </c>
      <c r="M21" s="184" t="e">
        <f t="shared" si="9"/>
        <v>#REF!</v>
      </c>
      <c r="N21" s="184">
        <f t="shared" si="9"/>
        <v>-101683888.01339601</v>
      </c>
      <c r="O21" s="185" t="e">
        <f>SUM(O5:O20)</f>
        <v>#REF!</v>
      </c>
      <c r="P21" s="184">
        <f t="shared" si="9"/>
        <v>-187506013.98660398</v>
      </c>
      <c r="R21" s="162" t="s">
        <v>721</v>
      </c>
      <c r="S21" s="164" t="s">
        <v>77</v>
      </c>
      <c r="T21" s="165" t="e">
        <f>SUMIF('IRS - INF – XCCY'!#REF!,$S21,'IRS - INF – XCCY'!#REF!)</f>
        <v>#REF!</v>
      </c>
      <c r="U21" s="165">
        <f>SUMIF('check report collat'!$C:$C,Check2!$S21,'check report collat'!$E:$E)</f>
        <v>0</v>
      </c>
      <c r="V21" s="165">
        <f>SUMIF('BND FWD'!$C:$C,Check2!$S21,'BND FWD'!E:E)</f>
        <v>0</v>
      </c>
      <c r="W21" s="165">
        <f>SUMIF('BND FWD'!$C:$C,Check2!$S21,'BND FWD'!F:F)</f>
        <v>0</v>
      </c>
      <c r="X21" s="165">
        <f>SUMIF('FX FWD'!$C$1:$C$17,Check2!$S21,'FX FWD'!M$1:M$17)</f>
        <v>0</v>
      </c>
      <c r="Y21" s="165">
        <f>SUMIF('FX FWD'!$C$1:$C$17,Check2!$S21,'FX FWD'!N$1:N$17)</f>
        <v>0</v>
      </c>
      <c r="Z21" s="166" t="e">
        <f t="shared" si="4"/>
        <v>#REF!</v>
      </c>
      <c r="AA21" s="166">
        <f t="shared" si="4"/>
        <v>0</v>
      </c>
    </row>
    <row r="22" spans="1:45" x14ac:dyDescent="0.2">
      <c r="A22" s="169" t="s">
        <v>719</v>
      </c>
      <c r="B22" s="162" t="s">
        <v>552</v>
      </c>
      <c r="C22" s="170">
        <v>75841000</v>
      </c>
      <c r="D22" s="171">
        <v>-25706206</v>
      </c>
      <c r="E22" s="172">
        <v>-25661831</v>
      </c>
      <c r="F22" s="178"/>
      <c r="R22" s="162" t="s">
        <v>722</v>
      </c>
      <c r="S22" s="164" t="s">
        <v>157</v>
      </c>
      <c r="T22" s="165" t="e">
        <f>SUMIF('IRS - INF – XCCY'!#REF!,$S22,'IRS - INF – XCCY'!#REF!)</f>
        <v>#REF!</v>
      </c>
      <c r="U22" s="165">
        <f>SUMIF('check report collat'!$C:$C,Check2!$S22,'check report collat'!$E:$E)</f>
        <v>0</v>
      </c>
      <c r="V22" s="165">
        <f>SUMIF('BND FWD'!$C:$C,Check2!$S22,'BND FWD'!E:E)</f>
        <v>0</v>
      </c>
      <c r="W22" s="165">
        <f>SUMIF('BND FWD'!$C:$C,Check2!$S22,'BND FWD'!F:F)</f>
        <v>0</v>
      </c>
      <c r="X22" s="165">
        <f>SUMIF('FX FWD'!$C$1:$C$17,Check2!$S22,'FX FWD'!M$1:M$17)</f>
        <v>0</v>
      </c>
      <c r="Y22" s="165">
        <f>SUMIF('FX FWD'!$C$1:$C$17,Check2!$S22,'FX FWD'!N$1:N$17)</f>
        <v>0</v>
      </c>
      <c r="Z22" s="166" t="e">
        <f t="shared" si="4"/>
        <v>#REF!</v>
      </c>
      <c r="AA22" s="166">
        <f t="shared" si="4"/>
        <v>0</v>
      </c>
    </row>
    <row r="23" spans="1:45" x14ac:dyDescent="0.2">
      <c r="A23" s="169" t="s">
        <v>719</v>
      </c>
      <c r="B23" s="162" t="s">
        <v>768</v>
      </c>
      <c r="C23" s="170">
        <v>39463525</v>
      </c>
      <c r="D23" s="171">
        <v>187463</v>
      </c>
      <c r="E23" s="172">
        <v>330130</v>
      </c>
      <c r="F23" s="178"/>
      <c r="J23" s="151" t="s">
        <v>898</v>
      </c>
      <c r="K23" s="151" t="s">
        <v>834</v>
      </c>
      <c r="L23" s="151" t="s">
        <v>835</v>
      </c>
      <c r="M23" s="153" t="s">
        <v>891</v>
      </c>
      <c r="N23" s="153" t="s">
        <v>319</v>
      </c>
      <c r="O23" s="151" t="s">
        <v>892</v>
      </c>
      <c r="P23" s="151" t="s">
        <v>893</v>
      </c>
      <c r="R23" s="173" t="s">
        <v>723</v>
      </c>
      <c r="S23" s="174" t="s">
        <v>640</v>
      </c>
      <c r="T23" s="165" t="e">
        <f>SUMIF('IRS - INF – XCCY'!#REF!,$S23,'IRS - INF – XCCY'!#REF!)</f>
        <v>#REF!</v>
      </c>
      <c r="U23" s="165">
        <f>SUMIF('check report collat'!$C:$C,Check2!$S23,'check report collat'!$E:$E)</f>
        <v>0</v>
      </c>
      <c r="V23" s="165">
        <f>SUMIF('BND FWD'!$C:$C,Check2!$S23,'BND FWD'!E:E)</f>
        <v>0</v>
      </c>
      <c r="W23" s="165">
        <f>SUMIF('BND FWD'!$C:$C,Check2!$S23,'BND FWD'!F:F)</f>
        <v>0</v>
      </c>
      <c r="X23" s="165">
        <f>SUMIF('FX FWD'!$C$1:$C$17,Check2!$S23,'FX FWD'!M$1:M$17)</f>
        <v>0</v>
      </c>
      <c r="Y23" s="165">
        <f>SUMIF('FX FWD'!$C$1:$C$17,Check2!$S23,'FX FWD'!N$1:N$17)</f>
        <v>0</v>
      </c>
      <c r="Z23" s="166" t="e">
        <f t="shared" si="4"/>
        <v>#REF!</v>
      </c>
      <c r="AA23" s="166">
        <f t="shared" si="4"/>
        <v>0</v>
      </c>
    </row>
    <row r="24" spans="1:45" x14ac:dyDescent="0.2">
      <c r="A24" s="169" t="s">
        <v>719</v>
      </c>
      <c r="B24" s="162" t="s">
        <v>766</v>
      </c>
      <c r="C24" s="170">
        <v>100000000</v>
      </c>
      <c r="D24" s="171">
        <v>-1853804</v>
      </c>
      <c r="E24" s="172">
        <v>-1868127</v>
      </c>
      <c r="F24" s="178"/>
      <c r="J24" s="162" t="s">
        <v>552</v>
      </c>
      <c r="K24" s="163">
        <f t="shared" ref="K24:L28" si="10">SUMIF($B$2:$B$31,$J24,D$2:D$31)</f>
        <v>-107665395</v>
      </c>
      <c r="L24" s="163">
        <f t="shared" si="10"/>
        <v>-107501796</v>
      </c>
      <c r="M24" s="163" t="e">
        <f t="shared" ref="M24:N28" si="11">SUMIF($AC:$AC,$J24,AK:AK)</f>
        <v>#REF!</v>
      </c>
      <c r="N24" s="163">
        <f t="shared" si="11"/>
        <v>-105518358.864079</v>
      </c>
      <c r="O24" s="163" t="e">
        <f>+K24-M24</f>
        <v>#REF!</v>
      </c>
      <c r="P24" s="163">
        <f>+L24-N24</f>
        <v>-1983437.1359210014</v>
      </c>
      <c r="R24" s="173" t="s">
        <v>723</v>
      </c>
      <c r="S24" s="157" t="s">
        <v>420</v>
      </c>
      <c r="T24" s="165" t="e">
        <f>SUMIF('IRS - INF – XCCY'!#REF!,$S24,'IRS - INF – XCCY'!#REF!)</f>
        <v>#REF!</v>
      </c>
      <c r="U24" s="165">
        <f>SUMIF('check report collat'!$C:$C,Check2!$S24,'check report collat'!$E:$E)</f>
        <v>0</v>
      </c>
      <c r="V24" s="165">
        <f>SUMIF('BND FWD'!$C:$C,Check2!$S24,'BND FWD'!E:E)</f>
        <v>-8191329.6799999997</v>
      </c>
      <c r="W24" s="165">
        <f>SUMIF('BND FWD'!$C:$C,Check2!$S24,'BND FWD'!F:F)</f>
        <v>-8264362.6099999994</v>
      </c>
      <c r="X24" s="165">
        <f>SUMIF('FX FWD'!$C$1:$C$17,Check2!$S24,'FX FWD'!M$1:M$17)</f>
        <v>0</v>
      </c>
      <c r="Y24" s="165">
        <f>SUMIF('FX FWD'!$C$1:$C$17,Check2!$S24,'FX FWD'!N$1:N$17)</f>
        <v>0</v>
      </c>
      <c r="Z24" s="166" t="e">
        <f t="shared" si="4"/>
        <v>#REF!</v>
      </c>
      <c r="AA24" s="166">
        <f t="shared" si="4"/>
        <v>-8264362.6099999994</v>
      </c>
      <c r="AE24" s="120"/>
    </row>
    <row r="25" spans="1:45" x14ac:dyDescent="0.2">
      <c r="A25" s="169" t="s">
        <v>720</v>
      </c>
      <c r="B25" s="162" t="s">
        <v>766</v>
      </c>
      <c r="C25" s="170">
        <v>25000000</v>
      </c>
      <c r="D25" s="171">
        <v>-1675069</v>
      </c>
      <c r="E25" s="172">
        <v>-1681453</v>
      </c>
      <c r="F25" s="178"/>
      <c r="J25" s="162" t="s">
        <v>626</v>
      </c>
      <c r="K25" s="163">
        <f t="shared" si="10"/>
        <v>-93234432</v>
      </c>
      <c r="L25" s="163">
        <f t="shared" si="10"/>
        <v>-93080188</v>
      </c>
      <c r="M25" s="163" t="e">
        <f t="shared" si="11"/>
        <v>#REF!</v>
      </c>
      <c r="N25" s="163">
        <f t="shared" si="11"/>
        <v>-228423388.504792</v>
      </c>
      <c r="O25" s="163" t="e">
        <f t="shared" ref="O25:P28" si="12">+K25-M25</f>
        <v>#REF!</v>
      </c>
      <c r="P25" s="163">
        <f t="shared" si="12"/>
        <v>135343200.504792</v>
      </c>
      <c r="R25" s="173" t="s">
        <v>723</v>
      </c>
      <c r="S25" s="164" t="s">
        <v>75</v>
      </c>
      <c r="T25" s="165" t="e">
        <f>SUMIF('IRS - INF – XCCY'!#REF!,$S25,'IRS - INF – XCCY'!#REF!)</f>
        <v>#REF!</v>
      </c>
      <c r="U25" s="165">
        <f>SUMIF('check report collat'!$C:$C,Check2!$S25,'check report collat'!$E:$E)</f>
        <v>0</v>
      </c>
      <c r="V25" s="165">
        <f>SUMIF('BND FWD'!$C:$C,Check2!$S25,'BND FWD'!E:E)</f>
        <v>0</v>
      </c>
      <c r="W25" s="165">
        <f>SUMIF('BND FWD'!$C:$C,Check2!$S25,'BND FWD'!F:F)</f>
        <v>0</v>
      </c>
      <c r="X25" s="165">
        <f>SUMIF('FX FWD'!$C$1:$C$17,Check2!$S25,'FX FWD'!M$1:M$17)</f>
        <v>0</v>
      </c>
      <c r="Y25" s="165">
        <f>SUMIF('FX FWD'!$C$1:$C$17,Check2!$S25,'FX FWD'!N$1:N$17)</f>
        <v>0</v>
      </c>
      <c r="Z25" s="166" t="e">
        <f t="shared" si="4"/>
        <v>#REF!</v>
      </c>
      <c r="AA25" s="166">
        <f t="shared" si="4"/>
        <v>0</v>
      </c>
      <c r="AE25" s="120"/>
    </row>
    <row r="26" spans="1:45" x14ac:dyDescent="0.2">
      <c r="A26" s="169" t="s">
        <v>721</v>
      </c>
      <c r="B26" s="162" t="s">
        <v>552</v>
      </c>
      <c r="C26" s="170">
        <v>40600000</v>
      </c>
      <c r="D26" s="171">
        <v>-22294095</v>
      </c>
      <c r="E26" s="172">
        <v>-22173172</v>
      </c>
      <c r="F26" s="178"/>
      <c r="J26" s="162" t="s">
        <v>766</v>
      </c>
      <c r="K26" s="163">
        <f t="shared" si="10"/>
        <v>-60610605</v>
      </c>
      <c r="L26" s="163">
        <f t="shared" si="10"/>
        <v>-60261630</v>
      </c>
      <c r="M26" s="163" t="e">
        <f t="shared" si="11"/>
        <v>#REF!</v>
      </c>
      <c r="N26" s="163">
        <f t="shared" si="11"/>
        <v>-38558755.963200003</v>
      </c>
      <c r="O26" s="163" t="e">
        <f t="shared" si="12"/>
        <v>#REF!</v>
      </c>
      <c r="P26" s="163">
        <f t="shared" si="12"/>
        <v>-21702874.036799997</v>
      </c>
      <c r="R26" s="173" t="s">
        <v>723</v>
      </c>
      <c r="S26" s="164" t="s">
        <v>305</v>
      </c>
      <c r="T26" s="165" t="e">
        <f>SUMIF('IRS - INF – XCCY'!#REF!,$S26,'IRS - INF – XCCY'!#REF!)</f>
        <v>#REF!</v>
      </c>
      <c r="U26" s="165">
        <f>SUMIF('check report collat'!$C:$C,Check2!$S26,'check report collat'!$E:$E)</f>
        <v>0</v>
      </c>
      <c r="V26" s="165">
        <f>SUMIF('BND FWD'!$C:$C,Check2!$S26,'BND FWD'!E:E)</f>
        <v>0</v>
      </c>
      <c r="W26" s="165">
        <f>SUMIF('BND FWD'!$C:$C,Check2!$S26,'BND FWD'!F:F)</f>
        <v>0</v>
      </c>
      <c r="X26" s="165">
        <f>SUMIF('FX FWD'!$C$1:$C$17,Check2!$S26,'FX FWD'!M$1:M$17)</f>
        <v>0</v>
      </c>
      <c r="Y26" s="165">
        <f>SUMIF('FX FWD'!$C$1:$C$17,Check2!$S26,'FX FWD'!N$1:N$17)</f>
        <v>0</v>
      </c>
      <c r="Z26" s="166" t="e">
        <f t="shared" si="4"/>
        <v>#REF!</v>
      </c>
      <c r="AA26" s="166">
        <f t="shared" si="4"/>
        <v>0</v>
      </c>
      <c r="AE26" s="120"/>
    </row>
    <row r="27" spans="1:45" x14ac:dyDescent="0.2">
      <c r="A27" s="169" t="s">
        <v>722</v>
      </c>
      <c r="B27" s="162" t="s">
        <v>552</v>
      </c>
      <c r="C27" s="170">
        <v>65000000</v>
      </c>
      <c r="D27" s="171">
        <v>-41876560</v>
      </c>
      <c r="E27" s="172">
        <v>-41960685</v>
      </c>
      <c r="F27" s="178"/>
      <c r="J27" s="162" t="s">
        <v>767</v>
      </c>
      <c r="K27" s="163">
        <f t="shared" si="10"/>
        <v>-808185</v>
      </c>
      <c r="L27" s="163">
        <f t="shared" si="10"/>
        <v>-806373</v>
      </c>
      <c r="M27" s="163" t="e">
        <f t="shared" si="11"/>
        <v>#REF!</v>
      </c>
      <c r="N27" s="163">
        <f t="shared" si="11"/>
        <v>0</v>
      </c>
      <c r="O27" s="163" t="e">
        <f t="shared" si="12"/>
        <v>#REF!</v>
      </c>
      <c r="P27" s="163">
        <f t="shared" si="12"/>
        <v>-806373</v>
      </c>
      <c r="S27" s="179" t="s">
        <v>889</v>
      </c>
      <c r="T27" s="180" t="e">
        <f>SUM(T5:T26)</f>
        <v>#REF!</v>
      </c>
      <c r="U27" s="180">
        <f t="shared" ref="U27:AA27" si="13">SUM(U5:U26)</f>
        <v>0</v>
      </c>
      <c r="V27" s="180">
        <f t="shared" si="13"/>
        <v>-102237169.63</v>
      </c>
      <c r="W27" s="180">
        <f t="shared" si="13"/>
        <v>-101683888.01339601</v>
      </c>
      <c r="X27" s="180">
        <f t="shared" si="13"/>
        <v>0</v>
      </c>
      <c r="Y27" s="180">
        <f t="shared" si="13"/>
        <v>0</v>
      </c>
      <c r="Z27" s="180" t="e">
        <f t="shared" si="13"/>
        <v>#REF!</v>
      </c>
      <c r="AA27" s="180">
        <f t="shared" si="13"/>
        <v>-101683888.01339601</v>
      </c>
      <c r="AE27" s="120"/>
    </row>
    <row r="28" spans="1:45" x14ac:dyDescent="0.2">
      <c r="A28" s="169" t="s">
        <v>723</v>
      </c>
      <c r="B28" s="162" t="s">
        <v>768</v>
      </c>
      <c r="C28" s="170">
        <v>68663056</v>
      </c>
      <c r="D28" s="171">
        <v>-4127624</v>
      </c>
      <c r="E28" s="172">
        <v>-4043498</v>
      </c>
      <c r="F28" s="178"/>
      <c r="J28" s="162" t="s">
        <v>768</v>
      </c>
      <c r="K28" s="163">
        <f t="shared" si="10"/>
        <v>-3940161</v>
      </c>
      <c r="L28" s="163">
        <f t="shared" si="10"/>
        <v>-3713368</v>
      </c>
      <c r="M28" s="163" t="e">
        <f t="shared" si="11"/>
        <v>#REF!</v>
      </c>
      <c r="N28" s="163">
        <f t="shared" si="11"/>
        <v>0</v>
      </c>
      <c r="O28" s="163" t="e">
        <f t="shared" si="12"/>
        <v>#REF!</v>
      </c>
      <c r="P28" s="163">
        <f t="shared" si="12"/>
        <v>-3713368</v>
      </c>
      <c r="AE28" s="120"/>
    </row>
    <row r="29" spans="1:45" x14ac:dyDescent="0.2">
      <c r="A29" s="169" t="s">
        <v>723</v>
      </c>
      <c r="B29" s="162" t="s">
        <v>626</v>
      </c>
      <c r="C29" s="170">
        <v>27000000</v>
      </c>
      <c r="D29" s="171">
        <v>-2426297</v>
      </c>
      <c r="E29" s="172">
        <v>-2421858</v>
      </c>
      <c r="F29" s="178"/>
      <c r="J29" s="182" t="s">
        <v>896</v>
      </c>
      <c r="K29" s="183" t="e">
        <f>+K34+K35</f>
        <v>#REF!</v>
      </c>
      <c r="L29" s="183"/>
      <c r="M29" s="183"/>
      <c r="N29" s="183"/>
      <c r="O29" s="183" t="e">
        <f>+O34+O35</f>
        <v>#REF!</v>
      </c>
      <c r="P29" s="183">
        <f t="shared" ref="P29" si="14">+P34+P35</f>
        <v>0</v>
      </c>
    </row>
    <row r="30" spans="1:45" x14ac:dyDescent="0.2">
      <c r="A30" s="169" t="s">
        <v>723</v>
      </c>
      <c r="B30" s="162" t="s">
        <v>372</v>
      </c>
      <c r="C30" s="170">
        <v>34843964</v>
      </c>
      <c r="D30" s="171">
        <v>-6443761</v>
      </c>
      <c r="E30" s="172">
        <v>-6367827</v>
      </c>
      <c r="F30" s="178"/>
      <c r="J30" s="182" t="s">
        <v>897</v>
      </c>
      <c r="K30" s="183">
        <f t="shared" ref="K30:P30" si="15">+K38+K39</f>
        <v>-23564741</v>
      </c>
      <c r="L30" s="183">
        <f t="shared" si="15"/>
        <v>-23826547</v>
      </c>
      <c r="M30" s="183" t="e">
        <f t="shared" si="15"/>
        <v>#REF!</v>
      </c>
      <c r="N30" s="183">
        <f t="shared" si="15"/>
        <v>0</v>
      </c>
      <c r="O30" s="183" t="e">
        <f t="shared" si="15"/>
        <v>#REF!</v>
      </c>
      <c r="P30" s="183">
        <f t="shared" si="15"/>
        <v>-23826547</v>
      </c>
      <c r="S30" s="157" t="s">
        <v>894</v>
      </c>
      <c r="T30" s="165" t="e">
        <f>SUM('IRS - INF – XCCY'!#REF!)</f>
        <v>#REF!</v>
      </c>
      <c r="U30" s="165">
        <f>SUM('check report collat'!E:E)</f>
        <v>-144077114.82727897</v>
      </c>
      <c r="V30" s="165">
        <f>SUM('BND FWD'!E$1:E$43)</f>
        <v>-227952564.55999997</v>
      </c>
      <c r="W30" s="165">
        <f>SUM('BND FWD'!F$1:F$43)</f>
        <v>-228423388.504792</v>
      </c>
      <c r="X30" s="165">
        <f>SUM('FX FWD'!M$1:M$17)</f>
        <v>0</v>
      </c>
      <c r="Y30" s="165">
        <f>SUM('FX FWD'!N$1:N$17)</f>
        <v>0</v>
      </c>
      <c r="Z30" s="165" t="e">
        <f>+T30+V30+X30</f>
        <v>#REF!</v>
      </c>
      <c r="AA30" s="165">
        <f>+U30+W30+Y30</f>
        <v>-372500503.33207095</v>
      </c>
    </row>
    <row r="31" spans="1:45" ht="13.5" thickBot="1" x14ac:dyDescent="0.25">
      <c r="A31" s="187" t="s">
        <v>723</v>
      </c>
      <c r="B31" s="188" t="s">
        <v>766</v>
      </c>
      <c r="C31" s="189">
        <v>166200000</v>
      </c>
      <c r="D31" s="190">
        <v>-12432228</v>
      </c>
      <c r="E31" s="191">
        <v>-12249742</v>
      </c>
      <c r="F31" s="178"/>
      <c r="J31" s="159" t="s">
        <v>889</v>
      </c>
      <c r="K31" s="184" t="e">
        <f t="shared" ref="K31:P31" si="16">SUM(K24:K30)</f>
        <v>#REF!</v>
      </c>
      <c r="L31" s="184">
        <f t="shared" si="16"/>
        <v>-289189902</v>
      </c>
      <c r="M31" s="184" t="e">
        <f t="shared" si="16"/>
        <v>#REF!</v>
      </c>
      <c r="N31" s="184">
        <f t="shared" si="16"/>
        <v>-372500503.33207095</v>
      </c>
      <c r="O31" s="185" t="e">
        <f t="shared" si="16"/>
        <v>#REF!</v>
      </c>
      <c r="P31" s="184">
        <f t="shared" si="16"/>
        <v>83310601.332071006</v>
      </c>
      <c r="S31" s="157" t="s">
        <v>895</v>
      </c>
      <c r="T31" s="165" t="e">
        <f t="shared" ref="T31:AA31" si="17">+T30-T27</f>
        <v>#REF!</v>
      </c>
      <c r="U31" s="165">
        <f t="shared" si="17"/>
        <v>-144077114.82727897</v>
      </c>
      <c r="V31" s="165">
        <f t="shared" si="17"/>
        <v>-125715394.92999998</v>
      </c>
      <c r="W31" s="165">
        <f t="shared" si="17"/>
        <v>-126739500.491396</v>
      </c>
      <c r="X31" s="165">
        <f t="shared" si="17"/>
        <v>0</v>
      </c>
      <c r="Y31" s="165">
        <f t="shared" si="17"/>
        <v>0</v>
      </c>
      <c r="Z31" s="165" t="e">
        <f t="shared" si="17"/>
        <v>#REF!</v>
      </c>
      <c r="AA31" s="165">
        <f t="shared" si="17"/>
        <v>-270816615.31867492</v>
      </c>
    </row>
    <row r="32" spans="1:45" x14ac:dyDescent="0.2">
      <c r="F32" s="178"/>
      <c r="O32" s="186"/>
      <c r="P32" s="186"/>
    </row>
    <row r="33" spans="10:16" x14ac:dyDescent="0.2">
      <c r="J33" s="182" t="s">
        <v>896</v>
      </c>
    </row>
    <row r="34" spans="10:16" x14ac:dyDescent="0.2">
      <c r="J34" s="162" t="s">
        <v>251</v>
      </c>
      <c r="K34" s="163" t="e">
        <f>SUMIF('IRS - INF – XCCY'!$A:$A,$J34,'IRS - INF – XCCY'!#REF!)</f>
        <v>#REF!</v>
      </c>
      <c r="L34" s="183"/>
      <c r="M34" s="183"/>
      <c r="N34" s="183"/>
      <c r="O34" s="163" t="e">
        <f t="shared" ref="O34:P35" si="18">+K34-M34</f>
        <v>#REF!</v>
      </c>
      <c r="P34" s="163">
        <f t="shared" si="18"/>
        <v>0</v>
      </c>
    </row>
    <row r="35" spans="10:16" x14ac:dyDescent="0.2">
      <c r="J35" s="162" t="s">
        <v>254</v>
      </c>
      <c r="K35" s="163" t="e">
        <f>SUMIF('IRS - INF – XCCY'!$A:$A,$J35,'IRS - INF – XCCY'!#REF!)</f>
        <v>#REF!</v>
      </c>
      <c r="L35" s="183"/>
      <c r="M35" s="183"/>
      <c r="N35" s="183"/>
      <c r="O35" s="163" t="e">
        <f t="shared" si="18"/>
        <v>#REF!</v>
      </c>
      <c r="P35" s="163">
        <f t="shared" si="18"/>
        <v>0</v>
      </c>
    </row>
    <row r="37" spans="10:16" x14ac:dyDescent="0.2">
      <c r="J37" s="182" t="s">
        <v>897</v>
      </c>
    </row>
    <row r="38" spans="10:16" x14ac:dyDescent="0.2">
      <c r="J38" s="162" t="s">
        <v>639</v>
      </c>
      <c r="K38" s="163">
        <f>SUMIF($B$2:$B$31,$J38,D$2:D$31)</f>
        <v>264122</v>
      </c>
      <c r="L38" s="163">
        <f>SUMIF($B$2:$B$31,$J38,E$2:E$31)</f>
        <v>249061</v>
      </c>
      <c r="M38" s="163" t="e">
        <f>SUMIF($AC:$AC,$J38,AK:AK)</f>
        <v>#REF!</v>
      </c>
      <c r="N38" s="163">
        <f>SUMIF($AC:$AC,$J38,AL:AL)</f>
        <v>0</v>
      </c>
      <c r="O38" s="163" t="e">
        <f>+K38-M38</f>
        <v>#REF!</v>
      </c>
      <c r="P38" s="163">
        <f>+L38-N38</f>
        <v>249061</v>
      </c>
    </row>
    <row r="39" spans="10:16" x14ac:dyDescent="0.2">
      <c r="J39" s="162" t="s">
        <v>372</v>
      </c>
      <c r="K39" s="163">
        <f>SUMIF($B$2:$B$31,$J39,D$2:D$31)</f>
        <v>-23828863</v>
      </c>
      <c r="L39" s="163">
        <f>SUMIF($B$2:$B$31,$J39,E$2:E$31)</f>
        <v>-24075608</v>
      </c>
      <c r="M39" s="163" t="e">
        <f>SUMIF($AC:$AC,$J39,AK:AK)</f>
        <v>#REF!</v>
      </c>
      <c r="N39" s="163">
        <f>SUMIF($AC:$AC,$J39,AL:AL)</f>
        <v>0</v>
      </c>
      <c r="O39" s="163" t="e">
        <f>+K39-M39</f>
        <v>#REF!</v>
      </c>
      <c r="P39" s="163">
        <f>+L39-N39</f>
        <v>-24075608</v>
      </c>
    </row>
    <row r="40" spans="10:16" x14ac:dyDescent="0.2">
      <c r="K40" s="186"/>
      <c r="L40" s="186"/>
      <c r="M40" s="186"/>
      <c r="N40" s="186"/>
    </row>
  </sheetData>
  <autoFilter ref="AS4:AS18" xr:uid="{907D5F84-0226-4C14-89D9-B59AA69377EA}">
    <sortState xmlns:xlrd2="http://schemas.microsoft.com/office/spreadsheetml/2017/richdata2" ref="AS5:AS18">
      <sortCondition ref="AS4:AS18"/>
    </sortState>
  </autoFilter>
  <mergeCells count="1">
    <mergeCell ref="J1:P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A0D51C674536B4D84E0E8FCA65F67E7" ma:contentTypeVersion="19" ma:contentTypeDescription="Crée un document." ma:contentTypeScope="" ma:versionID="c8b274dda5339b4ab1e91fde2d4e48f4">
  <xsd:schema xmlns:xsd="http://www.w3.org/2001/XMLSchema" xmlns:xs="http://www.w3.org/2001/XMLSchema" xmlns:p="http://schemas.microsoft.com/office/2006/metadata/properties" xmlns:ns2="8e344e44-3080-4d3e-a82e-9d08c6661d0d" xmlns:ns3="91ca790f-8076-4ab6-8a4d-a3d824597b85" xmlns:ns4="a7827d2d-9029-4da6-a61b-587828a986ef" targetNamespace="http://schemas.microsoft.com/office/2006/metadata/properties" ma:root="true" ma:fieldsID="a0581097ef93e841daf3c4c8b5a3ee49" ns2:_="" ns3:_="" ns4:_="">
    <xsd:import namespace="8e344e44-3080-4d3e-a82e-9d08c6661d0d"/>
    <xsd:import namespace="91ca790f-8076-4ab6-8a4d-a3d824597b85"/>
    <xsd:import namespace="a7827d2d-9029-4da6-a61b-587828a986e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344e44-3080-4d3e-a82e-9d08c6661d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6b1e2251-3249-4a8d-b2f4-24c3095a1df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1ca790f-8076-4ab6-8a4d-a3d824597b85" elementFormDefault="qualified">
    <xsd:import namespace="http://schemas.microsoft.com/office/2006/documentManagement/types"/>
    <xsd:import namespace="http://schemas.microsoft.com/office/infopath/2007/PartnerControls"/>
    <xsd:element name="SharedWithUsers" ma:index="12"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Partagé avec dé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7827d2d-9029-4da6-a61b-587828a986ef"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d04ce527-2e86-4cb1-85fc-97b65f87d080}" ma:internalName="TaxCatchAll" ma:showField="CatchAllData" ma:web="b1987c49-28e6-48bb-aecb-4b73af75902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a7827d2d-9029-4da6-a61b-587828a986ef" xsi:nil="true"/>
    <lcf76f155ced4ddcb4097134ff3c332f xmlns="8e344e44-3080-4d3e-a82e-9d08c6661d0d">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B2041FB-5E9E-40B3-B649-5009E2765A36}">
  <ds:schemaRefs>
    <ds:schemaRef ds:uri="http://schemas.microsoft.com/sharepoint/v3/contenttype/forms"/>
  </ds:schemaRefs>
</ds:datastoreItem>
</file>

<file path=customXml/itemProps2.xml><?xml version="1.0" encoding="utf-8"?>
<ds:datastoreItem xmlns:ds="http://schemas.openxmlformats.org/officeDocument/2006/customXml" ds:itemID="{C41AB533-EBFD-41E4-A719-52C9D18D65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344e44-3080-4d3e-a82e-9d08c6661d0d"/>
    <ds:schemaRef ds:uri="91ca790f-8076-4ab6-8a4d-a3d824597b85"/>
    <ds:schemaRef ds:uri="a7827d2d-9029-4da6-a61b-587828a986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59FE478-8853-478D-B524-C0421BD8C4C7}">
  <ds:schemaRefs>
    <ds:schemaRef ds:uri="http://schemas.microsoft.com/office/2006/metadata/properties"/>
    <ds:schemaRef ds:uri="http://schemas.microsoft.com/office/infopath/2007/PartnerControls"/>
    <ds:schemaRef ds:uri="a7827d2d-9029-4da6-a61b-587828a986ef"/>
    <ds:schemaRef ds:uri="8e344e44-3080-4d3e-a82e-9d08c6661d0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19</vt:i4>
      </vt:variant>
    </vt:vector>
  </HeadingPairs>
  <TitlesOfParts>
    <vt:vector size="19" baseType="lpstr">
      <vt:lpstr>Main</vt:lpstr>
      <vt:lpstr>IRS - INF – XCCY</vt:lpstr>
      <vt:lpstr>Backup IRS - INF – XCCY</vt:lpstr>
      <vt:lpstr>IRS - INF – XCCY précédent</vt:lpstr>
      <vt:lpstr>Feuil1</vt:lpstr>
      <vt:lpstr>BND FWD</vt:lpstr>
      <vt:lpstr>BND FWD précédent</vt:lpstr>
      <vt:lpstr>FX FWD</vt:lpstr>
      <vt:lpstr>FX FWD precedent</vt:lpstr>
      <vt:lpstr>TRS</vt:lpstr>
      <vt:lpstr>TRS precedent</vt:lpstr>
      <vt:lpstr>Triopti</vt:lpstr>
      <vt:lpstr>analyse trimestrielle</vt:lpstr>
      <vt:lpstr>IFT précédent</vt:lpstr>
      <vt:lpstr>check report collat</vt:lpstr>
      <vt:lpstr>TCD check report collat</vt:lpstr>
      <vt:lpstr>TCD Sensi SD IPA</vt:lpstr>
      <vt:lpstr>Sensi SD IPA input</vt:lpstr>
      <vt:lpstr>Check2</vt:lpstr>
    </vt:vector>
  </TitlesOfParts>
  <Company>SD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BONAL Christophe</cp:lastModifiedBy>
  <dcterms:created xsi:type="dcterms:W3CDTF">2007-03-12T08:00:11Z</dcterms:created>
  <dcterms:modified xsi:type="dcterms:W3CDTF">2025-04-01T07:49:11Z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0x010100FA0D51C674536B4D84E0E8FCA65F67E7</vt:lpwstr>
  </property>
  <property fmtid="{D5CDD505-2E9C-101B-9397-08002B2CF9AE}" pid="3" name="MediaServiceImageTags">
    <vt:lpwstr/>
  </property>
</Properties>
</file>